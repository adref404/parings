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rings NB" sheetId="1" state="visible" r:id="rId1"/>
    <sheet name="Instructores" sheetId="2" state="visible" r:id="rId2"/>
    <sheet name="Resumen Final" sheetId="3" state="visible" r:id="rId3"/>
    <sheet name="Tripulantes (SIMULADO)" sheetId="4" state="visible" r:id="rId4"/>
    <sheet name="Grupos Instructores" sheetId="5" state="visible" r:id="rId5"/>
  </sheets>
  <definedNames>
    <definedName name="_xlnm._FilterDatabase" localSheetId="2" hidden="1">'Resumen Final'!$A$1:$M$630</definedName>
    <definedName name="_xlnm._FilterDatabase" localSheetId="3" hidden="1">'Tripulantes (SIMULADO)'!$A$2:$H$34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7">
    <fill>
      <patternFill/>
    </fill>
    <fill>
      <patternFill patternType="gray125"/>
    </fill>
    <fill>
      <patternFill patternType="solid">
        <fgColor rgb="00D9E1F2"/>
      </patternFill>
    </fill>
    <fill>
      <patternFill patternType="solid">
        <fgColor rgb="00C6E8C6"/>
      </patternFill>
    </fill>
    <fill>
      <patternFill patternType="solid">
        <fgColor rgb="00FFC000"/>
      </patternFill>
    </fill>
    <fill>
      <patternFill patternType="solid">
        <fgColor rgb="00E2EFDA"/>
      </patternFill>
    </fill>
    <fill>
      <patternFill patternType="solid">
        <f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center" wrapText="1"/>
    </xf>
    <xf numFmtId="0" fontId="1" fillId="4" borderId="0" pivotButton="0" quotePrefix="0" xfId="0"/>
    <xf numFmtId="0" fontId="0" fillId="5" borderId="0" applyAlignment="1" pivotButton="0" quotePrefix="0" xfId="0">
      <alignment vertical="top" wrapText="1"/>
    </xf>
    <xf numFmtId="0" fontId="1" fillId="3" borderId="0" pivotButton="0" quotePrefix="0" xfId="0"/>
    <xf numFmtId="0" fontId="1" fillId="6" borderId="0" pivotButton="0" quotePrefix="0" xfId="0"/>
    <xf numFmtId="0" fontId="0" fillId="6" borderId="0" pivotButton="0" quotePrefix="0" xfId="0"/>
    <xf numFmtId="0" fontId="1" fillId="0" borderId="1" pivotButton="0" quotePrefix="0" xfId="0"/>
    <xf numFmtId="0" fontId="0" fillId="0" borderId="1"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generar_pairings_nb_v4.py</author>
  </authors>
  <commentList>
    <comment ref="M9" authorId="0" shapeId="0">
      <text>
        <t>AUTO (simulado): Grupo Grupo 1. Verificar igual antes de confirmar.</t>
      </text>
    </comment>
    <comment ref="N9" authorId="0" shapeId="0">
      <text>
        <t>*** SIMULADO: nombres ficticios de ejemplo, reemplazar por el roster real ***</t>
      </text>
    </comment>
    <comment ref="O9" authorId="0" shapeId="0">
      <text>
        <t>Tipo de actividad (elegir de la lista si se corrige a mano)</t>
      </text>
    </comment>
    <comment ref="M16" authorId="0" shapeId="0">
      <text>
        <t>AUTO (simulado): Grupo Grupo 1. Verificar igual antes de confirmar.</t>
      </text>
    </comment>
    <comment ref="N16" authorId="0" shapeId="0">
      <text>
        <t>*** SIMULADO: nombres ficticios de ejemplo, reemplazar por el roster real ***</t>
      </text>
    </comment>
    <comment ref="O16" authorId="0" shapeId="0">
      <text>
        <t>Tipo de actividad (elegir de la lista si se corrige a mano)</t>
      </text>
    </comment>
    <comment ref="M23" authorId="0" shapeId="0">
      <text>
        <t>AUTO (simulado): Grupo Grupo 1. Verificar igual antes de confirmar.</t>
      </text>
    </comment>
    <comment ref="N23" authorId="0" shapeId="0">
      <text>
        <t>*** SIMULADO: nombres ficticios de ejemplo, reemplazar por el roster real ***</t>
      </text>
    </comment>
    <comment ref="O23" authorId="0" shapeId="0">
      <text>
        <t>Tipo de actividad (elegir de la lista si se corrige a mano)</t>
      </text>
    </comment>
    <comment ref="M30" authorId="0" shapeId="0">
      <text>
        <t>AUTO (simulado): Grupo Grupo 1. Verificar igual antes de confirmar.</t>
      </text>
    </comment>
    <comment ref="N30" authorId="0" shapeId="0">
      <text>
        <t>*** SIMULADO: nombres ficticios de ejemplo, reemplazar por el roster real ***</t>
      </text>
    </comment>
    <comment ref="O30" authorId="0" shapeId="0">
      <text>
        <t>Tipo de actividad (elegir de la lista si se corrige a mano)</t>
      </text>
    </comment>
    <comment ref="M35" authorId="0" shapeId="0">
      <text>
        <t>AUTO (simulado): Grupo Grupo 2. Verificar igual antes de confirmar.</t>
      </text>
    </comment>
    <comment ref="N35" authorId="0" shapeId="0">
      <text>
        <t>*** SIMULADO: nombres ficticios de ejemplo, reemplazar por el roster real ***</t>
      </text>
    </comment>
    <comment ref="O35" authorId="0" shapeId="0">
      <text>
        <t>Tipo de actividad (elegir de la lista si se corrige a mano)</t>
      </text>
    </comment>
    <comment ref="M42" authorId="0" shapeId="0">
      <text>
        <t>AUTO (simulado): Grupo Grupo 2. Verificar igual antes de confirmar.</t>
      </text>
    </comment>
    <comment ref="N42" authorId="0" shapeId="0">
      <text>
        <t>*** SIMULADO: nombres ficticios de ejemplo, reemplazar por el roster real ***</t>
      </text>
    </comment>
    <comment ref="O42" authorId="0" shapeId="0">
      <text>
        <t>Tipo de actividad (elegir de la lista si se corrige a mano)</t>
      </text>
    </comment>
    <comment ref="M49" authorId="0" shapeId="0">
      <text>
        <t>AUTO (simulado): Grupo Grupo 2. Verificar igual antes de confirmar.</t>
      </text>
    </comment>
    <comment ref="N49" authorId="0" shapeId="0">
      <text>
        <t>*** SIMULADO: nombres ficticios de ejemplo, reemplazar por el roster real ***</t>
      </text>
    </comment>
    <comment ref="O49" authorId="0" shapeId="0">
      <text>
        <t>Tipo de actividad (elegir de la lista si se corrige a mano)</t>
      </text>
    </comment>
    <comment ref="M54" authorId="0" shapeId="0">
      <text>
        <t>AUTO (simulado): Grupo Grupo 2. Verificar igual antes de confirmar.</t>
      </text>
    </comment>
    <comment ref="N54" authorId="0" shapeId="0">
      <text>
        <t>*** SIMULADO: nombres ficticios de ejemplo, reemplazar por el roster real ***</t>
      </text>
    </comment>
    <comment ref="O54" authorId="0" shapeId="0">
      <text>
        <t>Tipo de actividad (elegir de la lista si se corrige a mano)</t>
      </text>
    </comment>
    <comment ref="M59" authorId="0" shapeId="0">
      <text>
        <t>AUTO (simulado): Grupo Grupo 3. Verificar igual antes de confirmar.</t>
      </text>
    </comment>
    <comment ref="N59" authorId="0" shapeId="0">
      <text>
        <t>*** SIMULADO: nombres ficticios de ejemplo, reemplazar por el roster real ***</t>
      </text>
    </comment>
    <comment ref="O59" authorId="0" shapeId="0">
      <text>
        <t>Tipo de actividad (elegir de la lista si se corrige a mano)</t>
      </text>
    </comment>
    <comment ref="M64" authorId="0" shapeId="0">
      <text>
        <t>Elegir el instructor de la lista</t>
      </text>
    </comment>
    <comment ref="N64" authorId="0" shapeId="0">
      <text>
        <t/>
      </text>
    </comment>
    <comment ref="O64" authorId="0" shapeId="0">
      <text>
        <t>Tipo de actividad (elegir de la lista si se corrige a mano)</t>
      </text>
    </comment>
    <comment ref="M69" authorId="0" shapeId="0">
      <text>
        <t>Elegir el instructor de la lista</t>
      </text>
    </comment>
    <comment ref="N69" authorId="0" shapeId="0">
      <text>
        <t/>
      </text>
    </comment>
    <comment ref="O69" authorId="0" shapeId="0">
      <text>
        <t>Tipo de actividad (elegir de la lista si se corrige a mano)</t>
      </text>
    </comment>
    <comment ref="M74" authorId="0" shapeId="0">
      <text>
        <t>Elegir el instructor de la lista</t>
      </text>
    </comment>
    <comment ref="N74" authorId="0" shapeId="0">
      <text>
        <t/>
      </text>
    </comment>
    <comment ref="O74" authorId="0" shapeId="0">
      <text>
        <t>Tipo de actividad (elegir de la lista si se corrige a mano)</t>
      </text>
    </comment>
    <comment ref="M79" authorId="0" shapeId="0">
      <text>
        <t>Elegir el instructor de la lista</t>
      </text>
    </comment>
    <comment ref="N79" authorId="0" shapeId="0">
      <text>
        <t/>
      </text>
    </comment>
    <comment ref="O79" authorId="0" shapeId="0">
      <text>
        <t>Tipo de actividad (elegir de la lista si se corrige a mano)</t>
      </text>
    </comment>
    <comment ref="M84" authorId="0" shapeId="0">
      <text>
        <t>Elegir el instructor de la lista</t>
      </text>
    </comment>
    <comment ref="N84" authorId="0" shapeId="0">
      <text>
        <t/>
      </text>
    </comment>
    <comment ref="O84" authorId="0" shapeId="0">
      <text>
        <t>Tipo de actividad (elegir de la lista si se corrige a mano)</t>
      </text>
    </comment>
    <comment ref="M89" authorId="0" shapeId="0">
      <text>
        <t>Elegir el instructor de la lista</t>
      </text>
    </comment>
    <comment ref="N89" authorId="0" shapeId="0">
      <text>
        <t/>
      </text>
    </comment>
    <comment ref="O89" authorId="0" shapeId="0">
      <text>
        <t>Tipo de actividad (elegir de la lista si se corrige a mano)</t>
      </text>
    </comment>
    <comment ref="M94" authorId="0" shapeId="0">
      <text>
        <t>Elegir el instructor de la lista</t>
      </text>
    </comment>
    <comment ref="N94" authorId="0" shapeId="0">
      <text>
        <t/>
      </text>
    </comment>
    <comment ref="O94" authorId="0" shapeId="0">
      <text>
        <t>Tipo de actividad (elegir de la lista si se corrige a mano)</t>
      </text>
    </comment>
    <comment ref="M99" authorId="0" shapeId="0">
      <text>
        <t>Elegir el instructor de la lista</t>
      </text>
    </comment>
    <comment ref="N99" authorId="0" shapeId="0">
      <text>
        <t/>
      </text>
    </comment>
    <comment ref="O99" authorId="0" shapeId="0">
      <text>
        <t>Tipo de actividad (elegir de la lista si se corrige a mano)</t>
      </text>
    </comment>
    <comment ref="M106" authorId="0" shapeId="0">
      <text>
        <t>Elegir el instructor de la lista</t>
      </text>
    </comment>
    <comment ref="N106" authorId="0" shapeId="0">
      <text>
        <t/>
      </text>
    </comment>
    <comment ref="O106" authorId="0" shapeId="0">
      <text>
        <t>Tipo de actividad (elegir de la lista si se corrige a mano)</t>
      </text>
    </comment>
    <comment ref="M111" authorId="0" shapeId="0">
      <text>
        <t>Elegir el instructor de la lista</t>
      </text>
    </comment>
    <comment ref="N111" authorId="0" shapeId="0">
      <text>
        <t/>
      </text>
    </comment>
    <comment ref="O111" authorId="0" shapeId="0">
      <text>
        <t>Tipo de actividad (elegir de la lista si se corrige a mano)</t>
      </text>
    </comment>
    <comment ref="M116" authorId="0" shapeId="0">
      <text>
        <t>Elegir el instructor de la lista</t>
      </text>
    </comment>
    <comment ref="N116" authorId="0" shapeId="0">
      <text>
        <t/>
      </text>
    </comment>
    <comment ref="O116" authorId="0" shapeId="0">
      <text>
        <t>Tipo de actividad (elegir de la lista si se corrige a mano)</t>
      </text>
    </comment>
    <comment ref="M123" authorId="0" shapeId="0">
      <text>
        <t>Elegir el instructor de la lista</t>
      </text>
    </comment>
    <comment ref="N123" authorId="0" shapeId="0">
      <text>
        <t/>
      </text>
    </comment>
    <comment ref="O123" authorId="0" shapeId="0">
      <text>
        <t>Tipo de actividad (elegir de la lista si se corrige a mano)</t>
      </text>
    </comment>
    <comment ref="M130" authorId="0" shapeId="0">
      <text>
        <t>Elegir el instructor de la lista</t>
      </text>
    </comment>
    <comment ref="N130" authorId="0" shapeId="0">
      <text>
        <t/>
      </text>
    </comment>
    <comment ref="O130" authorId="0" shapeId="0">
      <text>
        <t>Tipo de actividad (elegir de la lista si se corrige a mano)</t>
      </text>
    </comment>
    <comment ref="M137" authorId="0" shapeId="0">
      <text>
        <t>Elegir el instructor de la lista</t>
      </text>
    </comment>
    <comment ref="N137" authorId="0" shapeId="0">
      <text>
        <t/>
      </text>
    </comment>
    <comment ref="O137" authorId="0" shapeId="0">
      <text>
        <t>Tipo de actividad (elegir de la lista si se corrige a mano)</t>
      </text>
    </comment>
    <comment ref="M142" authorId="0" shapeId="0">
      <text>
        <t>Elegir el instructor de la lista</t>
      </text>
    </comment>
    <comment ref="N142" authorId="0" shapeId="0">
      <text>
        <t/>
      </text>
    </comment>
    <comment ref="O142" authorId="0" shapeId="0">
      <text>
        <t>Tipo de actividad (elegir de la lista si se corrige a mano)</t>
      </text>
    </comment>
    <comment ref="M147" authorId="0" shapeId="0">
      <text>
        <t>Elegir el instructor de la lista</t>
      </text>
    </comment>
    <comment ref="N147" authorId="0" shapeId="0">
      <text>
        <t/>
      </text>
    </comment>
    <comment ref="O147" authorId="0" shapeId="0">
      <text>
        <t>Tipo de actividad (elegir de la lista si se corrige a mano)</t>
      </text>
    </comment>
    <comment ref="M154" authorId="0" shapeId="0">
      <text>
        <t>Elegir el instructor de la lista</t>
      </text>
    </comment>
    <comment ref="N154" authorId="0" shapeId="0">
      <text>
        <t/>
      </text>
    </comment>
    <comment ref="O154" authorId="0" shapeId="0">
      <text>
        <t>Tipo de actividad (elegir de la lista si se corrige a mano)</t>
      </text>
    </comment>
    <comment ref="M159" authorId="0" shapeId="0">
      <text>
        <t>Elegir el instructor de la lista</t>
      </text>
    </comment>
    <comment ref="N159" authorId="0" shapeId="0">
      <text>
        <t/>
      </text>
    </comment>
    <comment ref="O159" authorId="0" shapeId="0">
      <text>
        <t>Tipo de actividad (elegir de la lista si se corrige a mano)</t>
      </text>
    </comment>
    <comment ref="M164" authorId="0" shapeId="0">
      <text>
        <t>Elegir el instructor de la lista</t>
      </text>
    </comment>
    <comment ref="N164" authorId="0" shapeId="0">
      <text>
        <t/>
      </text>
    </comment>
    <comment ref="O164" authorId="0" shapeId="0">
      <text>
        <t>Tipo de actividad (elegir de la lista si se corrige a mano)</t>
      </text>
    </comment>
    <comment ref="M169" authorId="0" shapeId="0">
      <text>
        <t>Elegir el instructor de la lista</t>
      </text>
    </comment>
    <comment ref="N169" authorId="0" shapeId="0">
      <text>
        <t/>
      </text>
    </comment>
    <comment ref="O169" authorId="0" shapeId="0">
      <text>
        <t>Tipo de actividad (elegir de la lista si se corrige a mano)</t>
      </text>
    </comment>
    <comment ref="M174" authorId="0" shapeId="0">
      <text>
        <t>Elegir el instructor de la lista</t>
      </text>
    </comment>
    <comment ref="N174" authorId="0" shapeId="0">
      <text>
        <t/>
      </text>
    </comment>
    <comment ref="O174" authorId="0" shapeId="0">
      <text>
        <t>Tipo de actividad (elegir de la lista si se corrige a mano)</t>
      </text>
    </comment>
    <comment ref="M179" authorId="0" shapeId="0">
      <text>
        <t>Elegir el instructor de la lista</t>
      </text>
    </comment>
    <comment ref="N179" authorId="0" shapeId="0">
      <text>
        <t/>
      </text>
    </comment>
    <comment ref="O179" authorId="0" shapeId="0">
      <text>
        <t>Tipo de actividad (elegir de la lista si se corrige a mano)</t>
      </text>
    </comment>
    <comment ref="M184" authorId="0" shapeId="0">
      <text>
        <t>Elegir el instructor de la lista</t>
      </text>
    </comment>
    <comment ref="N184" authorId="0" shapeId="0">
      <text>
        <t/>
      </text>
    </comment>
    <comment ref="O184" authorId="0" shapeId="0">
      <text>
        <t>Tipo de actividad (elegir de la lista si se corrige a mano)</t>
      </text>
    </comment>
    <comment ref="M189" authorId="0" shapeId="0">
      <text>
        <t>Elegir el instructor de la lista</t>
      </text>
    </comment>
    <comment ref="N189" authorId="0" shapeId="0">
      <text>
        <t/>
      </text>
    </comment>
    <comment ref="O189" authorId="0" shapeId="0">
      <text>
        <t>Tipo de actividad (elegir de la lista si se corrige a mano)</t>
      </text>
    </comment>
    <comment ref="M194" authorId="0" shapeId="0">
      <text>
        <t>Elegir el instructor de la lista</t>
      </text>
    </comment>
    <comment ref="N194" authorId="0" shapeId="0">
      <text>
        <t/>
      </text>
    </comment>
    <comment ref="O194" authorId="0" shapeId="0">
      <text>
        <t>Tipo de actividad (elegir de la lista si se corrige a mano)</t>
      </text>
    </comment>
    <comment ref="M199" authorId="0" shapeId="0">
      <text>
        <t>Elegir el instructor de la lista</t>
      </text>
    </comment>
    <comment ref="N199" authorId="0" shapeId="0">
      <text>
        <t/>
      </text>
    </comment>
    <comment ref="O199" authorId="0" shapeId="0">
      <text>
        <t>Tipo de actividad (elegir de la lista si se corrige a mano)</t>
      </text>
    </comment>
    <comment ref="M204" authorId="0" shapeId="0">
      <text>
        <t>Elegir el instructor de la lista</t>
      </text>
    </comment>
    <comment ref="N204" authorId="0" shapeId="0">
      <text>
        <t/>
      </text>
    </comment>
    <comment ref="O204" authorId="0" shapeId="0">
      <text>
        <t>Tipo de actividad (elegir de la lista si se corrige a mano)</t>
      </text>
    </comment>
    <comment ref="M209" authorId="0" shapeId="0">
      <text>
        <t>Elegir el instructor de la lista</t>
      </text>
    </comment>
    <comment ref="N209" authorId="0" shapeId="0">
      <text>
        <t/>
      </text>
    </comment>
    <comment ref="O209" authorId="0" shapeId="0">
      <text>
        <t>Tipo de actividad (elegir de la lista si se corrige a mano)</t>
      </text>
    </comment>
    <comment ref="M216" authorId="0" shapeId="0">
      <text>
        <t>Elegir el instructor de la lista</t>
      </text>
    </comment>
    <comment ref="N216" authorId="0" shapeId="0">
      <text>
        <t/>
      </text>
    </comment>
    <comment ref="O216" authorId="0" shapeId="0">
      <text>
        <t>Tipo de actividad (elegir de la lista si se corrige a mano)</t>
      </text>
    </comment>
    <comment ref="M223" authorId="0" shapeId="0">
      <text>
        <t>Elegir el instructor de la lista</t>
      </text>
    </comment>
    <comment ref="N223" authorId="0" shapeId="0">
      <text>
        <t/>
      </text>
    </comment>
    <comment ref="O223" authorId="0" shapeId="0">
      <text>
        <t>Tipo de actividad (elegir de la lista si se corrige a mano)</t>
      </text>
    </comment>
    <comment ref="M228" authorId="0" shapeId="0">
      <text>
        <t>Elegir el instructor de la lista</t>
      </text>
    </comment>
    <comment ref="N228" authorId="0" shapeId="0">
      <text>
        <t/>
      </text>
    </comment>
    <comment ref="O228" authorId="0" shapeId="0">
      <text>
        <t>Tipo de actividad (elegir de la lista si se corrige a mano)</t>
      </text>
    </comment>
    <comment ref="M235" authorId="0" shapeId="0">
      <text>
        <t>Elegir el instructor de la lista</t>
      </text>
    </comment>
    <comment ref="N235" authorId="0" shapeId="0">
      <text>
        <t/>
      </text>
    </comment>
    <comment ref="O235" authorId="0" shapeId="0">
      <text>
        <t>Tipo de actividad (elegir de la lista si se corrige a mano)</t>
      </text>
    </comment>
    <comment ref="M240" authorId="0" shapeId="0">
      <text>
        <t>Elegir el instructor de la lista</t>
      </text>
    </comment>
    <comment ref="N240" authorId="0" shapeId="0">
      <text>
        <t/>
      </text>
    </comment>
    <comment ref="O240" authorId="0" shapeId="0">
      <text>
        <t>Tipo de actividad (elegir de la lista si se corrige a mano)</t>
      </text>
    </comment>
    <comment ref="M245" authorId="0" shapeId="0">
      <text>
        <t>Elegir el instructor de la lista</t>
      </text>
    </comment>
    <comment ref="N245" authorId="0" shapeId="0">
      <text>
        <t/>
      </text>
    </comment>
    <comment ref="O245" authorId="0" shapeId="0">
      <text>
        <t>Tipo de actividad (elegir de la lista si se corrige a mano)</t>
      </text>
    </comment>
    <comment ref="M250" authorId="0" shapeId="0">
      <text>
        <t>Elegir el instructor de la lista</t>
      </text>
    </comment>
    <comment ref="N250" authorId="0" shapeId="0">
      <text>
        <t/>
      </text>
    </comment>
    <comment ref="O250" authorId="0" shapeId="0">
      <text>
        <t>Tipo de actividad (elegir de la lista si se corrige a mano)</t>
      </text>
    </comment>
    <comment ref="M255" authorId="0" shapeId="0">
      <text>
        <t>Elegir el instructor de la lista</t>
      </text>
    </comment>
    <comment ref="N255" authorId="0" shapeId="0">
      <text>
        <t/>
      </text>
    </comment>
    <comment ref="O255" authorId="0" shapeId="0">
      <text>
        <t>Tipo de actividad (elegir de la lista si se corrige a mano)</t>
      </text>
    </comment>
    <comment ref="M260" authorId="0" shapeId="0">
      <text>
        <t>Elegir el instructor de la lista</t>
      </text>
    </comment>
    <comment ref="N260" authorId="0" shapeId="0">
      <text>
        <t/>
      </text>
    </comment>
    <comment ref="O260" authorId="0" shapeId="0">
      <text>
        <t>Tipo de actividad (elegir de la lista si se corrige a mano)</t>
      </text>
    </comment>
    <comment ref="M265" authorId="0" shapeId="0">
      <text>
        <t>Elegir el instructor de la lista</t>
      </text>
    </comment>
    <comment ref="N265" authorId="0" shapeId="0">
      <text>
        <t/>
      </text>
    </comment>
    <comment ref="O265" authorId="0" shapeId="0">
      <text>
        <t>Tipo de actividad (elegir de la lista si se corrige a mano)</t>
      </text>
    </comment>
    <comment ref="M270" authorId="0" shapeId="0">
      <text>
        <t>Elegir el instructor de la lista</t>
      </text>
    </comment>
    <comment ref="N270" authorId="0" shapeId="0">
      <text>
        <t/>
      </text>
    </comment>
    <comment ref="O270" authorId="0" shapeId="0">
      <text>
        <t>Tipo de actividad (elegir de la lista si se corrige a mano)</t>
      </text>
    </comment>
    <comment ref="M275" authorId="0" shapeId="0">
      <text>
        <t>Elegir el instructor de la lista</t>
      </text>
    </comment>
    <comment ref="N275" authorId="0" shapeId="0">
      <text>
        <t/>
      </text>
    </comment>
    <comment ref="O275" authorId="0" shapeId="0">
      <text>
        <t>Tipo de actividad (elegir de la lista si se corrige a mano)</t>
      </text>
    </comment>
    <comment ref="M280" authorId="0" shapeId="0">
      <text>
        <t>Elegir el instructor de la lista</t>
      </text>
    </comment>
    <comment ref="N280" authorId="0" shapeId="0">
      <text>
        <t/>
      </text>
    </comment>
    <comment ref="O280" authorId="0" shapeId="0">
      <text>
        <t>Tipo de actividad (elegir de la lista si se corrige a mano)</t>
      </text>
    </comment>
    <comment ref="M285" authorId="0" shapeId="0">
      <text>
        <t>Elegir el instructor de la lista</t>
      </text>
    </comment>
    <comment ref="N285" authorId="0" shapeId="0">
      <text>
        <t/>
      </text>
    </comment>
    <comment ref="O285" authorId="0" shapeId="0">
      <text>
        <t>Tipo de actividad (elegir de la lista si se corrige a mano)</t>
      </text>
    </comment>
    <comment ref="M290" authorId="0" shapeId="0">
      <text>
        <t>Elegir el instructor de la lista</t>
      </text>
    </comment>
    <comment ref="N290" authorId="0" shapeId="0">
      <text>
        <t/>
      </text>
    </comment>
    <comment ref="O290" authorId="0" shapeId="0">
      <text>
        <t>Tipo de actividad (elegir de la lista si se corrige a mano)</t>
      </text>
    </comment>
    <comment ref="M295" authorId="0" shapeId="0">
      <text>
        <t>Elegir el instructor de la lista</t>
      </text>
    </comment>
    <comment ref="N295" authorId="0" shapeId="0">
      <text>
        <t/>
      </text>
    </comment>
    <comment ref="O295" authorId="0" shapeId="0">
      <text>
        <t>Tipo de actividad (elegir de la lista si se corrige a mano)</t>
      </text>
    </comment>
    <comment ref="M302" authorId="0" shapeId="0">
      <text>
        <t>Elegir el instructor de la lista</t>
      </text>
    </comment>
    <comment ref="N302" authorId="0" shapeId="0">
      <text>
        <t/>
      </text>
    </comment>
    <comment ref="O302" authorId="0" shapeId="0">
      <text>
        <t>Tipo de actividad (elegir de la lista si se corrige a mano)</t>
      </text>
    </comment>
    <comment ref="M307" authorId="0" shapeId="0">
      <text>
        <t>Elegir el instructor de la lista</t>
      </text>
    </comment>
    <comment ref="N307" authorId="0" shapeId="0">
      <text>
        <t/>
      </text>
    </comment>
    <comment ref="O307" authorId="0" shapeId="0">
      <text>
        <t>Tipo de actividad (elegir de la lista si se corrige a mano)</t>
      </text>
    </comment>
    <comment ref="M314" authorId="0" shapeId="0">
      <text>
        <t>Elegir el instructor de la lista</t>
      </text>
    </comment>
    <comment ref="N314" authorId="0" shapeId="0">
      <text>
        <t/>
      </text>
    </comment>
    <comment ref="O314" authorId="0" shapeId="0">
      <text>
        <t>Tipo de actividad (elegir de la lista si se corrige a mano)</t>
      </text>
    </comment>
    <comment ref="M319" authorId="0" shapeId="0">
      <text>
        <t>Elegir el instructor de la lista</t>
      </text>
    </comment>
    <comment ref="N319" authorId="0" shapeId="0">
      <text>
        <t/>
      </text>
    </comment>
    <comment ref="O319" authorId="0" shapeId="0">
      <text>
        <t>Tipo de actividad (elegir de la lista si se corrige a mano)</t>
      </text>
    </comment>
    <comment ref="M326" authorId="0" shapeId="0">
      <text>
        <t>Elegir el instructor de la lista</t>
      </text>
    </comment>
    <comment ref="N326" authorId="0" shapeId="0">
      <text>
        <t/>
      </text>
    </comment>
    <comment ref="O326" authorId="0" shapeId="0">
      <text>
        <t>Tipo de actividad (elegir de la lista si se corrige a mano)</t>
      </text>
    </comment>
    <comment ref="M331" authorId="0" shapeId="0">
      <text>
        <t>Elegir el instructor de la lista</t>
      </text>
    </comment>
    <comment ref="N331" authorId="0" shapeId="0">
      <text>
        <t/>
      </text>
    </comment>
    <comment ref="O331" authorId="0" shapeId="0">
      <text>
        <t>Tipo de actividad (elegir de la lista si se corrige a mano)</t>
      </text>
    </comment>
    <comment ref="M336" authorId="0" shapeId="0">
      <text>
        <t>Elegir el instructor de la lista</t>
      </text>
    </comment>
    <comment ref="N336" authorId="0" shapeId="0">
      <text>
        <t/>
      </text>
    </comment>
    <comment ref="O336" authorId="0" shapeId="0">
      <text>
        <t>Tipo de actividad (elegir de la lista si se corrige a mano)</t>
      </text>
    </comment>
    <comment ref="M343" authorId="0" shapeId="0">
      <text>
        <t>Elegir el instructor de la lista</t>
      </text>
    </comment>
    <comment ref="N343" authorId="0" shapeId="0">
      <text>
        <t/>
      </text>
    </comment>
    <comment ref="O343" authorId="0" shapeId="0">
      <text>
        <t>Tipo de actividad (elegir de la lista si se corrige a mano)</t>
      </text>
    </comment>
    <comment ref="M348" authorId="0" shapeId="0">
      <text>
        <t>Elegir el instructor de la lista</t>
      </text>
    </comment>
    <comment ref="N348" authorId="0" shapeId="0">
      <text>
        <t/>
      </text>
    </comment>
    <comment ref="O348" authorId="0" shapeId="0">
      <text>
        <t>Tipo de actividad (elegir de la lista si se corrige a mano)</t>
      </text>
    </comment>
    <comment ref="M353" authorId="0" shapeId="0">
      <text>
        <t>Elegir el instructor de la lista</t>
      </text>
    </comment>
    <comment ref="N353" authorId="0" shapeId="0">
      <text>
        <t/>
      </text>
    </comment>
    <comment ref="O353" authorId="0" shapeId="0">
      <text>
        <t>Tipo de actividad (elegir de la lista si se corrige a mano)</t>
      </text>
    </comment>
    <comment ref="M358" authorId="0" shapeId="0">
      <text>
        <t>Elegir el instructor de la lista</t>
      </text>
    </comment>
    <comment ref="N358" authorId="0" shapeId="0">
      <text>
        <t/>
      </text>
    </comment>
    <comment ref="O358" authorId="0" shapeId="0">
      <text>
        <t>Tipo de actividad (elegir de la lista si se corrige a mano)</t>
      </text>
    </comment>
    <comment ref="M363" authorId="0" shapeId="0">
      <text>
        <t>Elegir el instructor de la lista</t>
      </text>
    </comment>
    <comment ref="N363" authorId="0" shapeId="0">
      <text>
        <t/>
      </text>
    </comment>
    <comment ref="O363" authorId="0" shapeId="0">
      <text>
        <t>Tipo de actividad (elegir de la lista si se corrige a mano)</t>
      </text>
    </comment>
    <comment ref="M368" authorId="0" shapeId="0">
      <text>
        <t>Elegir el instructor de la lista</t>
      </text>
    </comment>
    <comment ref="N368" authorId="0" shapeId="0">
      <text>
        <t/>
      </text>
    </comment>
    <comment ref="O368" authorId="0" shapeId="0">
      <text>
        <t>Tipo de actividad (elegir de la lista si se corrige a mano)</t>
      </text>
    </comment>
    <comment ref="M373" authorId="0" shapeId="0">
      <text>
        <t>Elegir el instructor de la lista</t>
      </text>
    </comment>
    <comment ref="N373" authorId="0" shapeId="0">
      <text>
        <t/>
      </text>
    </comment>
    <comment ref="O373" authorId="0" shapeId="0">
      <text>
        <t>Tipo de actividad (elegir de la lista si se corrige a mano)</t>
      </text>
    </comment>
    <comment ref="M378" authorId="0" shapeId="0">
      <text>
        <t>Elegir el instructor de la lista</t>
      </text>
    </comment>
    <comment ref="N378" authorId="0" shapeId="0">
      <text>
        <t/>
      </text>
    </comment>
    <comment ref="O378" authorId="0" shapeId="0">
      <text>
        <t>Tipo de actividad (elegir de la lista si se corrige a mano)</t>
      </text>
    </comment>
    <comment ref="M383" authorId="0" shapeId="0">
      <text>
        <t>Elegir el instructor de la lista</t>
      </text>
    </comment>
    <comment ref="N383" authorId="0" shapeId="0">
      <text>
        <t/>
      </text>
    </comment>
    <comment ref="O383" authorId="0" shapeId="0">
      <text>
        <t>Tipo de actividad (elegir de la lista si se corrige a mano)</t>
      </text>
    </comment>
    <comment ref="M388" authorId="0" shapeId="0">
      <text>
        <t>Elegir el instructor de la lista</t>
      </text>
    </comment>
    <comment ref="N388" authorId="0" shapeId="0">
      <text>
        <t/>
      </text>
    </comment>
    <comment ref="O388" authorId="0" shapeId="0">
      <text>
        <t>Tipo de actividad (elegir de la lista si se corrige a mano)</t>
      </text>
    </comment>
    <comment ref="M393" authorId="0" shapeId="0">
      <text>
        <t>Elegir el instructor de la lista</t>
      </text>
    </comment>
    <comment ref="N393" authorId="0" shapeId="0">
      <text>
        <t/>
      </text>
    </comment>
    <comment ref="O393" authorId="0" shapeId="0">
      <text>
        <t>Tipo de actividad (elegir de la lista si se corrige a mano)</t>
      </text>
    </comment>
    <comment ref="M400" authorId="0" shapeId="0">
      <text>
        <t>Elegir el instructor de la lista</t>
      </text>
    </comment>
    <comment ref="N400" authorId="0" shapeId="0">
      <text>
        <t/>
      </text>
    </comment>
    <comment ref="O400" authorId="0" shapeId="0">
      <text>
        <t>Tipo de actividad (elegir de la lista si se corrige a mano)</t>
      </text>
    </comment>
    <comment ref="M405" authorId="0" shapeId="0">
      <text>
        <t>Elegir el instructor de la lista</t>
      </text>
    </comment>
    <comment ref="N405" authorId="0" shapeId="0">
      <text>
        <t/>
      </text>
    </comment>
    <comment ref="O405" authorId="0" shapeId="0">
      <text>
        <t>Tipo de actividad (elegir de la lista si se corrige a mano)</t>
      </text>
    </comment>
    <comment ref="M410" authorId="0" shapeId="0">
      <text>
        <t>Elegir el instructor de la lista</t>
      </text>
    </comment>
    <comment ref="N410" authorId="0" shapeId="0">
      <text>
        <t/>
      </text>
    </comment>
    <comment ref="O410" authorId="0" shapeId="0">
      <text>
        <t>Tipo de actividad (elegir de la lista si se corrige a mano)</t>
      </text>
    </comment>
    <comment ref="M415" authorId="0" shapeId="0">
      <text>
        <t>Elegir el instructor de la lista</t>
      </text>
    </comment>
    <comment ref="N415" authorId="0" shapeId="0">
      <text>
        <t/>
      </text>
    </comment>
    <comment ref="O415" authorId="0" shapeId="0">
      <text>
        <t>Tipo de actividad (elegir de la lista si se corrige a mano)</t>
      </text>
    </comment>
    <comment ref="M420" authorId="0" shapeId="0">
      <text>
        <t>Elegir el instructor de la lista</t>
      </text>
    </comment>
    <comment ref="N420" authorId="0" shapeId="0">
      <text>
        <t/>
      </text>
    </comment>
    <comment ref="O420" authorId="0" shapeId="0">
      <text>
        <t>Tipo de actividad (elegir de la lista si se corrige a mano)</t>
      </text>
    </comment>
    <comment ref="M425" authorId="0" shapeId="0">
      <text>
        <t>Elegir el instructor de la lista</t>
      </text>
    </comment>
    <comment ref="N425" authorId="0" shapeId="0">
      <text>
        <t/>
      </text>
    </comment>
    <comment ref="O425" authorId="0" shapeId="0">
      <text>
        <t>Tipo de actividad (elegir de la lista si se corrige a mano)</t>
      </text>
    </comment>
    <comment ref="M430" authorId="0" shapeId="0">
      <text>
        <t>Elegir el instructor de la lista</t>
      </text>
    </comment>
    <comment ref="N430" authorId="0" shapeId="0">
      <text>
        <t/>
      </text>
    </comment>
    <comment ref="O430" authorId="0" shapeId="0">
      <text>
        <t>Tipo de actividad (elegir de la lista si se corrige a mano)</t>
      </text>
    </comment>
    <comment ref="M435" authorId="0" shapeId="0">
      <text>
        <t>Elegir el instructor de la lista</t>
      </text>
    </comment>
    <comment ref="N435" authorId="0" shapeId="0">
      <text>
        <t/>
      </text>
    </comment>
    <comment ref="O435" authorId="0" shapeId="0">
      <text>
        <t>Tipo de actividad (elegir de la lista si se corrige a mano)</t>
      </text>
    </comment>
    <comment ref="M440" authorId="0" shapeId="0">
      <text>
        <t>Elegir el instructor de la lista</t>
      </text>
    </comment>
    <comment ref="N440" authorId="0" shapeId="0">
      <text>
        <t/>
      </text>
    </comment>
    <comment ref="O440" authorId="0" shapeId="0">
      <text>
        <t>Tipo de actividad (elegir de la lista si se corrige a mano)</t>
      </text>
    </comment>
    <comment ref="M445" authorId="0" shapeId="0">
      <text>
        <t>Elegir el instructor de la lista</t>
      </text>
    </comment>
    <comment ref="N445" authorId="0" shapeId="0">
      <text>
        <t/>
      </text>
    </comment>
    <comment ref="O445" authorId="0" shapeId="0">
      <text>
        <t>Tipo de actividad (elegir de la lista si se corrige a mano)</t>
      </text>
    </comment>
    <comment ref="M450" authorId="0" shapeId="0">
      <text>
        <t>Elegir el instructor de la lista</t>
      </text>
    </comment>
    <comment ref="N450" authorId="0" shapeId="0">
      <text>
        <t/>
      </text>
    </comment>
    <comment ref="O450" authorId="0" shapeId="0">
      <text>
        <t>Tipo de actividad (elegir de la lista si se corrige a mano)</t>
      </text>
    </comment>
    <comment ref="M455" authorId="0" shapeId="0">
      <text>
        <t>Elegir el instructor de la lista</t>
      </text>
    </comment>
    <comment ref="N455" authorId="0" shapeId="0">
      <text>
        <t/>
      </text>
    </comment>
    <comment ref="O455" authorId="0" shapeId="0">
      <text>
        <t>Tipo de actividad (elegir de la lista si se corrige a mano)</t>
      </text>
    </comment>
    <comment ref="M460" authorId="0" shapeId="0">
      <text>
        <t>Elegir el instructor de la lista</t>
      </text>
    </comment>
    <comment ref="N460" authorId="0" shapeId="0">
      <text>
        <t/>
      </text>
    </comment>
    <comment ref="O460" authorId="0" shapeId="0">
      <text>
        <t>Tipo de actividad (elegir de la lista si se corrige a mano)</t>
      </text>
    </comment>
    <comment ref="M465" authorId="0" shapeId="0">
      <text>
        <t>Elegir el instructor de la lista</t>
      </text>
    </comment>
    <comment ref="N465" authorId="0" shapeId="0">
      <text>
        <t/>
      </text>
    </comment>
    <comment ref="O465" authorId="0" shapeId="0">
      <text>
        <t>Tipo de actividad (elegir de la lista si se corrige a mano)</t>
      </text>
    </comment>
    <comment ref="M472" authorId="0" shapeId="0">
      <text>
        <t>Elegir el instructor de la lista</t>
      </text>
    </comment>
    <comment ref="N472" authorId="0" shapeId="0">
      <text>
        <t/>
      </text>
    </comment>
    <comment ref="O472" authorId="0" shapeId="0">
      <text>
        <t>Tipo de actividad (elegir de la lista si se corrige a mano)</t>
      </text>
    </comment>
    <comment ref="M479" authorId="0" shapeId="0">
      <text>
        <t>Elegir el instructor de la lista</t>
      </text>
    </comment>
    <comment ref="N479" authorId="0" shapeId="0">
      <text>
        <t/>
      </text>
    </comment>
    <comment ref="O479" authorId="0" shapeId="0">
      <text>
        <t>Tipo de actividad (elegir de la lista si se corrige a mano)</t>
      </text>
    </comment>
    <comment ref="M486" authorId="0" shapeId="0">
      <text>
        <t>Elegir el instructor de la lista</t>
      </text>
    </comment>
    <comment ref="N486" authorId="0" shapeId="0">
      <text>
        <t/>
      </text>
    </comment>
    <comment ref="O486" authorId="0" shapeId="0">
      <text>
        <t>Tipo de actividad (elegir de la lista si se corrige a mano)</t>
      </text>
    </comment>
    <comment ref="M491" authorId="0" shapeId="0">
      <text>
        <t>Elegir el instructor de la lista</t>
      </text>
    </comment>
    <comment ref="N491" authorId="0" shapeId="0">
      <text>
        <t/>
      </text>
    </comment>
    <comment ref="O491" authorId="0" shapeId="0">
      <text>
        <t>Tipo de actividad (elegir de la lista si se corrige a mano)</t>
      </text>
    </comment>
    <comment ref="M498" authorId="0" shapeId="0">
      <text>
        <t>Elegir el instructor de la lista</t>
      </text>
    </comment>
    <comment ref="N498" authorId="0" shapeId="0">
      <text>
        <t/>
      </text>
    </comment>
    <comment ref="O498" authorId="0" shapeId="0">
      <text>
        <t>Tipo de actividad (elegir de la lista si se corrige a mano)</t>
      </text>
    </comment>
    <comment ref="M505" authorId="0" shapeId="0">
      <text>
        <t>Elegir el instructor de la lista</t>
      </text>
    </comment>
    <comment ref="N505" authorId="0" shapeId="0">
      <text>
        <t/>
      </text>
    </comment>
    <comment ref="O505" authorId="0" shapeId="0">
      <text>
        <t>Tipo de actividad (elegir de la lista si se corrige a mano)</t>
      </text>
    </comment>
    <comment ref="M512" authorId="0" shapeId="0">
      <text>
        <t>Elegir el instructor de la lista</t>
      </text>
    </comment>
    <comment ref="N512" authorId="0" shapeId="0">
      <text>
        <t/>
      </text>
    </comment>
    <comment ref="O512" authorId="0" shapeId="0">
      <text>
        <t>Tipo de actividad (elegir de la lista si se corrige a mano)</t>
      </text>
    </comment>
    <comment ref="M517" authorId="0" shapeId="0">
      <text>
        <t>Elegir el instructor de la lista</t>
      </text>
    </comment>
    <comment ref="N517" authorId="0" shapeId="0">
      <text>
        <t/>
      </text>
    </comment>
    <comment ref="O517" authorId="0" shapeId="0">
      <text>
        <t>Tipo de actividad (elegir de la lista si se corrige a mano)</t>
      </text>
    </comment>
    <comment ref="M522" authorId="0" shapeId="0">
      <text>
        <t>Elegir el instructor de la lista</t>
      </text>
    </comment>
    <comment ref="N522" authorId="0" shapeId="0">
      <text>
        <t/>
      </text>
    </comment>
    <comment ref="O522" authorId="0" shapeId="0">
      <text>
        <t>Tipo de actividad (elegir de la lista si se corrige a mano)</t>
      </text>
    </comment>
    <comment ref="M527" authorId="0" shapeId="0">
      <text>
        <t>Elegir el instructor de la lista</t>
      </text>
    </comment>
    <comment ref="N527" authorId="0" shapeId="0">
      <text>
        <t/>
      </text>
    </comment>
    <comment ref="O527" authorId="0" shapeId="0">
      <text>
        <t>Tipo de actividad (elegir de la lista si se corrige a mano)</t>
      </text>
    </comment>
    <comment ref="M532" authorId="0" shapeId="0">
      <text>
        <t>Elegir el instructor de la lista</t>
      </text>
    </comment>
    <comment ref="N532" authorId="0" shapeId="0">
      <text>
        <t/>
      </text>
    </comment>
    <comment ref="O532" authorId="0" shapeId="0">
      <text>
        <t>Tipo de actividad (elegir de la lista si se corrige a mano)</t>
      </text>
    </comment>
    <comment ref="M537" authorId="0" shapeId="0">
      <text>
        <t>Elegir el instructor de la lista</t>
      </text>
    </comment>
    <comment ref="N537" authorId="0" shapeId="0">
      <text>
        <t/>
      </text>
    </comment>
    <comment ref="O537" authorId="0" shapeId="0">
      <text>
        <t>Tipo de actividad (elegir de la lista si se corrige a mano)</t>
      </text>
    </comment>
    <comment ref="M542" authorId="0" shapeId="0">
      <text>
        <t>Elegir el instructor de la lista</t>
      </text>
    </comment>
    <comment ref="N542" authorId="0" shapeId="0">
      <text>
        <t/>
      </text>
    </comment>
    <comment ref="O542" authorId="0" shapeId="0">
      <text>
        <t>Tipo de actividad (elegir de la lista si se corrige a mano)</t>
      </text>
    </comment>
    <comment ref="M547" authorId="0" shapeId="0">
      <text>
        <t>Elegir el instructor de la lista</t>
      </text>
    </comment>
    <comment ref="N547" authorId="0" shapeId="0">
      <text>
        <t/>
      </text>
    </comment>
    <comment ref="O547" authorId="0" shapeId="0">
      <text>
        <t>Tipo de actividad (elegir de la lista si se corrige a mano)</t>
      </text>
    </comment>
    <comment ref="M552" authorId="0" shapeId="0">
      <text>
        <t>Elegir el instructor de la lista</t>
      </text>
    </comment>
    <comment ref="N552" authorId="0" shapeId="0">
      <text>
        <t/>
      </text>
    </comment>
    <comment ref="O552" authorId="0" shapeId="0">
      <text>
        <t>Tipo de actividad (elegir de la lista si se corrige a mano)</t>
      </text>
    </comment>
    <comment ref="M557" authorId="0" shapeId="0">
      <text>
        <t>Elegir el instructor de la lista</t>
      </text>
    </comment>
    <comment ref="N557" authorId="0" shapeId="0">
      <text>
        <t/>
      </text>
    </comment>
    <comment ref="O557" authorId="0" shapeId="0">
      <text>
        <t>Tipo de actividad (elegir de la lista si se corrige a mano)</t>
      </text>
    </comment>
    <comment ref="M562" authorId="0" shapeId="0">
      <text>
        <t>Elegir el instructor de la lista</t>
      </text>
    </comment>
    <comment ref="N562" authorId="0" shapeId="0">
      <text>
        <t/>
      </text>
    </comment>
    <comment ref="O562" authorId="0" shapeId="0">
      <text>
        <t>Tipo de actividad (elegir de la lista si se corrige a mano)</t>
      </text>
    </comment>
    <comment ref="M567" authorId="0" shapeId="0">
      <text>
        <t>Elegir el instructor de la lista</t>
      </text>
    </comment>
    <comment ref="N567" authorId="0" shapeId="0">
      <text>
        <t/>
      </text>
    </comment>
    <comment ref="O567" authorId="0" shapeId="0">
      <text>
        <t>Tipo de actividad (elegir de la lista si se corrige a mano)</t>
      </text>
    </comment>
    <comment ref="M572" authorId="0" shapeId="0">
      <text>
        <t>Elegir el instructor de la lista</t>
      </text>
    </comment>
    <comment ref="N572" authorId="0" shapeId="0">
      <text>
        <t/>
      </text>
    </comment>
    <comment ref="O572" authorId="0" shapeId="0">
      <text>
        <t>Tipo de actividad (elegir de la lista si se corrige a mano)</t>
      </text>
    </comment>
    <comment ref="M579" authorId="0" shapeId="0">
      <text>
        <t>Elegir el instructor de la lista</t>
      </text>
    </comment>
    <comment ref="N579" authorId="0" shapeId="0">
      <text>
        <t/>
      </text>
    </comment>
    <comment ref="O579" authorId="0" shapeId="0">
      <text>
        <t>Tipo de actividad (elegir de la lista si se corrige a mano)</t>
      </text>
    </comment>
    <comment ref="M584" authorId="0" shapeId="0">
      <text>
        <t>Elegir el instructor de la lista</t>
      </text>
    </comment>
    <comment ref="N584" authorId="0" shapeId="0">
      <text>
        <t/>
      </text>
    </comment>
    <comment ref="O584" authorId="0" shapeId="0">
      <text>
        <t>Tipo de actividad (elegir de la lista si se corrige a mano)</t>
      </text>
    </comment>
    <comment ref="M589" authorId="0" shapeId="0">
      <text>
        <t>Elegir el instructor de la lista</t>
      </text>
    </comment>
    <comment ref="N589" authorId="0" shapeId="0">
      <text>
        <t/>
      </text>
    </comment>
    <comment ref="O589" authorId="0" shapeId="0">
      <text>
        <t>Tipo de actividad (elegir de la lista si se corrige a mano)</t>
      </text>
    </comment>
    <comment ref="M594" authorId="0" shapeId="0">
      <text>
        <t>Elegir el instructor de la lista</t>
      </text>
    </comment>
    <comment ref="N594" authorId="0" shapeId="0">
      <text>
        <t/>
      </text>
    </comment>
    <comment ref="O594" authorId="0" shapeId="0">
      <text>
        <t>Tipo de actividad (elegir de la lista si se corrige a mano)</t>
      </text>
    </comment>
    <comment ref="M599" authorId="0" shapeId="0">
      <text>
        <t>Elegir el instructor de la lista</t>
      </text>
    </comment>
    <comment ref="N599" authorId="0" shapeId="0">
      <text>
        <t/>
      </text>
    </comment>
    <comment ref="O599" authorId="0" shapeId="0">
      <text>
        <t>Tipo de actividad (elegir de la lista si se corrige a mano)</t>
      </text>
    </comment>
    <comment ref="M606" authorId="0" shapeId="0">
      <text>
        <t>Elegir el instructor de la lista</t>
      </text>
    </comment>
    <comment ref="N606" authorId="0" shapeId="0">
      <text>
        <t/>
      </text>
    </comment>
    <comment ref="O606" authorId="0" shapeId="0">
      <text>
        <t>Tipo de actividad (elegir de la lista si se corrige a mano)</t>
      </text>
    </comment>
    <comment ref="M611" authorId="0" shapeId="0">
      <text>
        <t>Elegir el instructor de la lista</t>
      </text>
    </comment>
    <comment ref="N611" authorId="0" shapeId="0">
      <text>
        <t/>
      </text>
    </comment>
    <comment ref="O611" authorId="0" shapeId="0">
      <text>
        <t>Tipo de actividad (elegir de la lista si se corrige a mano)</t>
      </text>
    </comment>
    <comment ref="M616" authorId="0" shapeId="0">
      <text>
        <t>Elegir el instructor de la lista</t>
      </text>
    </comment>
    <comment ref="N616" authorId="0" shapeId="0">
      <text>
        <t/>
      </text>
    </comment>
    <comment ref="O616" authorId="0" shapeId="0">
      <text>
        <t>Tipo de actividad (elegir de la lista si se corrige a mano)</t>
      </text>
    </comment>
    <comment ref="M621" authorId="0" shapeId="0">
      <text>
        <t>Elegir el instructor de la lista</t>
      </text>
    </comment>
    <comment ref="N621" authorId="0" shapeId="0">
      <text>
        <t/>
      </text>
    </comment>
    <comment ref="O621" authorId="0" shapeId="0">
      <text>
        <t>Tipo de actividad (elegir de la lista si se corrige a mano)</t>
      </text>
    </comment>
    <comment ref="M626" authorId="0" shapeId="0">
      <text>
        <t>Elegir el instructor de la lista</t>
      </text>
    </comment>
    <comment ref="N626" authorId="0" shapeId="0">
      <text>
        <t/>
      </text>
    </comment>
    <comment ref="O626" authorId="0" shapeId="0">
      <text>
        <t>Tipo de actividad (elegir de la lista si se corrige a mano)</t>
      </text>
    </comment>
    <comment ref="M631" authorId="0" shapeId="0">
      <text>
        <t>Elegir el instructor de la lista</t>
      </text>
    </comment>
    <comment ref="N631" authorId="0" shapeId="0">
      <text>
        <t/>
      </text>
    </comment>
    <comment ref="O631" authorId="0" shapeId="0">
      <text>
        <t>Tipo de actividad (elegir de la lista si se corrige a mano)</t>
      </text>
    </comment>
    <comment ref="M636" authorId="0" shapeId="0">
      <text>
        <t>Elegir el instructor de la lista</t>
      </text>
    </comment>
    <comment ref="N636" authorId="0" shapeId="0">
      <text>
        <t/>
      </text>
    </comment>
    <comment ref="O636" authorId="0" shapeId="0">
      <text>
        <t>Tipo de actividad (elegir de la lista si se corrige a mano)</t>
      </text>
    </comment>
    <comment ref="M641" authorId="0" shapeId="0">
      <text>
        <t>Elegir el instructor de la lista</t>
      </text>
    </comment>
    <comment ref="N641" authorId="0" shapeId="0">
      <text>
        <t/>
      </text>
    </comment>
    <comment ref="O641" authorId="0" shapeId="0">
      <text>
        <t>Tipo de actividad (elegir de la lista si se corrige a mano)</t>
      </text>
    </comment>
    <comment ref="M646" authorId="0" shapeId="0">
      <text>
        <t>Elegir el instructor de la lista</t>
      </text>
    </comment>
    <comment ref="N646" authorId="0" shapeId="0">
      <text>
        <t/>
      </text>
    </comment>
    <comment ref="O646" authorId="0" shapeId="0">
      <text>
        <t>Tipo de actividad (elegir de la lista si se corrige a mano)</t>
      </text>
    </comment>
    <comment ref="M653" authorId="0" shapeId="0">
      <text>
        <t>Elegir el instructor de la lista</t>
      </text>
    </comment>
    <comment ref="N653" authorId="0" shapeId="0">
      <text>
        <t/>
      </text>
    </comment>
    <comment ref="O653" authorId="0" shapeId="0">
      <text>
        <t>Tipo de actividad (elegir de la lista si se corrige a mano)</t>
      </text>
    </comment>
    <comment ref="M658" authorId="0" shapeId="0">
      <text>
        <t>Elegir el instructor de la lista</t>
      </text>
    </comment>
    <comment ref="N658" authorId="0" shapeId="0">
      <text>
        <t/>
      </text>
    </comment>
    <comment ref="O658" authorId="0" shapeId="0">
      <text>
        <t>Tipo de actividad (elegir de la lista si se corrige a mano)</t>
      </text>
    </comment>
    <comment ref="M665" authorId="0" shapeId="0">
      <text>
        <t>Elegir el instructor de la lista</t>
      </text>
    </comment>
    <comment ref="N665" authorId="0" shapeId="0">
      <text>
        <t/>
      </text>
    </comment>
    <comment ref="O665" authorId="0" shapeId="0">
      <text>
        <t>Tipo de actividad (elegir de la lista si se corrige a mano)</t>
      </text>
    </comment>
    <comment ref="M672" authorId="0" shapeId="0">
      <text>
        <t>Elegir el instructor de la lista</t>
      </text>
    </comment>
    <comment ref="N672" authorId="0" shapeId="0">
      <text>
        <t/>
      </text>
    </comment>
    <comment ref="O672" authorId="0" shapeId="0">
      <text>
        <t>Tipo de actividad (elegir de la lista si se corrige a mano)</t>
      </text>
    </comment>
    <comment ref="M677" authorId="0" shapeId="0">
      <text>
        <t>Elegir el instructor de la lista</t>
      </text>
    </comment>
    <comment ref="N677" authorId="0" shapeId="0">
      <text>
        <t/>
      </text>
    </comment>
    <comment ref="O677" authorId="0" shapeId="0">
      <text>
        <t>Tipo de actividad (elegir de la lista si se corrige a mano)</t>
      </text>
    </comment>
    <comment ref="M684" authorId="0" shapeId="0">
      <text>
        <t>Elegir el instructor de la lista</t>
      </text>
    </comment>
    <comment ref="N684" authorId="0" shapeId="0">
      <text>
        <t/>
      </text>
    </comment>
    <comment ref="O684" authorId="0" shapeId="0">
      <text>
        <t>Tipo de actividad (elegir de la lista si se corrige a mano)</t>
      </text>
    </comment>
    <comment ref="M689" authorId="0" shapeId="0">
      <text>
        <t>Elegir el instructor de la lista</t>
      </text>
    </comment>
    <comment ref="N689" authorId="0" shapeId="0">
      <text>
        <t/>
      </text>
    </comment>
    <comment ref="O689" authorId="0" shapeId="0">
      <text>
        <t>Tipo de actividad (elegir de la lista si se corrige a mano)</t>
      </text>
    </comment>
    <comment ref="M694" authorId="0" shapeId="0">
      <text>
        <t>Elegir el instructor de la lista</t>
      </text>
    </comment>
    <comment ref="N694" authorId="0" shapeId="0">
      <text>
        <t/>
      </text>
    </comment>
    <comment ref="O694" authorId="0" shapeId="0">
      <text>
        <t>Tipo de actividad (elegir de la lista si se corrige a mano)</t>
      </text>
    </comment>
    <comment ref="M699" authorId="0" shapeId="0">
      <text>
        <t>Elegir el instructor de la lista</t>
      </text>
    </comment>
    <comment ref="N699" authorId="0" shapeId="0">
      <text>
        <t/>
      </text>
    </comment>
    <comment ref="O699" authorId="0" shapeId="0">
      <text>
        <t>Tipo de actividad (elegir de la lista si se corrige a mano)</t>
      </text>
    </comment>
    <comment ref="M704" authorId="0" shapeId="0">
      <text>
        <t>Elegir el instructor de la lista</t>
      </text>
    </comment>
    <comment ref="N704" authorId="0" shapeId="0">
      <text>
        <t/>
      </text>
    </comment>
    <comment ref="O704" authorId="0" shapeId="0">
      <text>
        <t>Tipo de actividad (elegir de la lista si se corrige a mano)</t>
      </text>
    </comment>
    <comment ref="M709" authorId="0" shapeId="0">
      <text>
        <t>Elegir el instructor de la lista</t>
      </text>
    </comment>
    <comment ref="N709" authorId="0" shapeId="0">
      <text>
        <t/>
      </text>
    </comment>
    <comment ref="O709" authorId="0" shapeId="0">
      <text>
        <t>Tipo de actividad (elegir de la lista si se corrige a mano)</t>
      </text>
    </comment>
    <comment ref="M714" authorId="0" shapeId="0">
      <text>
        <t>Elegir el instructor de la lista</t>
      </text>
    </comment>
    <comment ref="N714" authorId="0" shapeId="0">
      <text>
        <t/>
      </text>
    </comment>
    <comment ref="O714" authorId="0" shapeId="0">
      <text>
        <t>Tipo de actividad (elegir de la lista si se corrige a mano)</t>
      </text>
    </comment>
    <comment ref="M719" authorId="0" shapeId="0">
      <text>
        <t>Elegir el instructor de la lista</t>
      </text>
    </comment>
    <comment ref="N719" authorId="0" shapeId="0">
      <text>
        <t/>
      </text>
    </comment>
    <comment ref="O719" authorId="0" shapeId="0">
      <text>
        <t>Tipo de actividad (elegir de la lista si se corrige a mano)</t>
      </text>
    </comment>
    <comment ref="M724" authorId="0" shapeId="0">
      <text>
        <t>Elegir el instructor de la lista</t>
      </text>
    </comment>
    <comment ref="N724" authorId="0" shapeId="0">
      <text>
        <t/>
      </text>
    </comment>
    <comment ref="O724" authorId="0" shapeId="0">
      <text>
        <t>Tipo de actividad (elegir de la lista si se corrige a mano)</t>
      </text>
    </comment>
    <comment ref="M729" authorId="0" shapeId="0">
      <text>
        <t>Elegir el instructor de la lista</t>
      </text>
    </comment>
    <comment ref="N729" authorId="0" shapeId="0">
      <text>
        <t/>
      </text>
    </comment>
    <comment ref="O729" authorId="0" shapeId="0">
      <text>
        <t>Tipo de actividad (elegir de la lista si se corrige a mano)</t>
      </text>
    </comment>
    <comment ref="M734" authorId="0" shapeId="0">
      <text>
        <t>Elegir el instructor de la lista</t>
      </text>
    </comment>
    <comment ref="N734" authorId="0" shapeId="0">
      <text>
        <t/>
      </text>
    </comment>
    <comment ref="O734" authorId="0" shapeId="0">
      <text>
        <t>Tipo de actividad (elegir de la lista si se corrige a mano)</t>
      </text>
    </comment>
    <comment ref="M741" authorId="0" shapeId="0">
      <text>
        <t>Elegir el instructor de la lista</t>
      </text>
    </comment>
    <comment ref="N741" authorId="0" shapeId="0">
      <text>
        <t/>
      </text>
    </comment>
    <comment ref="O741" authorId="0" shapeId="0">
      <text>
        <t>Tipo de actividad (elegir de la lista si se corrige a mano)</t>
      </text>
    </comment>
    <comment ref="M746" authorId="0" shapeId="0">
      <text>
        <t>Elegir el instructor de la lista</t>
      </text>
    </comment>
    <comment ref="N746" authorId="0" shapeId="0">
      <text>
        <t/>
      </text>
    </comment>
    <comment ref="O746" authorId="0" shapeId="0">
      <text>
        <t>Tipo de actividad (elegir de la lista si se corrige a mano)</t>
      </text>
    </comment>
    <comment ref="M751" authorId="0" shapeId="0">
      <text>
        <t>Elegir el instructor de la lista</t>
      </text>
    </comment>
    <comment ref="N751" authorId="0" shapeId="0">
      <text>
        <t/>
      </text>
    </comment>
    <comment ref="O751" authorId="0" shapeId="0">
      <text>
        <t>Tipo de actividad (elegir de la lista si se corrige a mano)</t>
      </text>
    </comment>
    <comment ref="M756" authorId="0" shapeId="0">
      <text>
        <t>Elegir el instructor de la lista</t>
      </text>
    </comment>
    <comment ref="N756" authorId="0" shapeId="0">
      <text>
        <t/>
      </text>
    </comment>
    <comment ref="O756" authorId="0" shapeId="0">
      <text>
        <t>Tipo de actividad (elegir de la lista si se corrige a mano)</t>
      </text>
    </comment>
    <comment ref="M761" authorId="0" shapeId="0">
      <text>
        <t>Elegir el instructor de la lista</t>
      </text>
    </comment>
    <comment ref="N761" authorId="0" shapeId="0">
      <text>
        <t/>
      </text>
    </comment>
    <comment ref="O761" authorId="0" shapeId="0">
      <text>
        <t>Tipo de actividad (elegir de la lista si se corrige a mano)</t>
      </text>
    </comment>
    <comment ref="M766" authorId="0" shapeId="0">
      <text>
        <t>Elegir el instructor de la lista</t>
      </text>
    </comment>
    <comment ref="N766" authorId="0" shapeId="0">
      <text>
        <t/>
      </text>
    </comment>
    <comment ref="O766" authorId="0" shapeId="0">
      <text>
        <t>Tipo de actividad (elegir de la lista si se corrige a mano)</t>
      </text>
    </comment>
    <comment ref="M771" authorId="0" shapeId="0">
      <text>
        <t>Elegir el instructor de la lista</t>
      </text>
    </comment>
    <comment ref="N771" authorId="0" shapeId="0">
      <text>
        <t/>
      </text>
    </comment>
    <comment ref="O771" authorId="0" shapeId="0">
      <text>
        <t>Tipo de actividad (elegir de la lista si se corrige a mano)</t>
      </text>
    </comment>
    <comment ref="M778" authorId="0" shapeId="0">
      <text>
        <t>Elegir el instructor de la lista</t>
      </text>
    </comment>
    <comment ref="N778" authorId="0" shapeId="0">
      <text>
        <t/>
      </text>
    </comment>
    <comment ref="O778" authorId="0" shapeId="0">
      <text>
        <t>Tipo de actividad (elegir de la lista si se corrige a mano)</t>
      </text>
    </comment>
    <comment ref="M783" authorId="0" shapeId="0">
      <text>
        <t>Elegir el instructor de la lista</t>
      </text>
    </comment>
    <comment ref="N783" authorId="0" shapeId="0">
      <text>
        <t/>
      </text>
    </comment>
    <comment ref="O783" authorId="0" shapeId="0">
      <text>
        <t>Tipo de actividad (elegir de la lista si se corrige a mano)</t>
      </text>
    </comment>
    <comment ref="M788" authorId="0" shapeId="0">
      <text>
        <t>Elegir el instructor de la lista</t>
      </text>
    </comment>
    <comment ref="N788" authorId="0" shapeId="0">
      <text>
        <t/>
      </text>
    </comment>
    <comment ref="O788" authorId="0" shapeId="0">
      <text>
        <t>Tipo de actividad (elegir de la lista si se corrige a mano)</t>
      </text>
    </comment>
    <comment ref="M793" authorId="0" shapeId="0">
      <text>
        <t>Elegir el instructor de la lista</t>
      </text>
    </comment>
    <comment ref="N793" authorId="0" shapeId="0">
      <text>
        <t/>
      </text>
    </comment>
    <comment ref="O793" authorId="0" shapeId="0">
      <text>
        <t>Tipo de actividad (elegir de la lista si se corrige a mano)</t>
      </text>
    </comment>
    <comment ref="M798" authorId="0" shapeId="0">
      <text>
        <t>Elegir el instructor de la lista</t>
      </text>
    </comment>
    <comment ref="N798" authorId="0" shapeId="0">
      <text>
        <t/>
      </text>
    </comment>
    <comment ref="O798" authorId="0" shapeId="0">
      <text>
        <t>Tipo de actividad (elegir de la lista si se corrige a mano)</t>
      </text>
    </comment>
    <comment ref="M803" authorId="0" shapeId="0">
      <text>
        <t>Elegir el instructor de la lista</t>
      </text>
    </comment>
    <comment ref="N803" authorId="0" shapeId="0">
      <text>
        <t/>
      </text>
    </comment>
    <comment ref="O803" authorId="0" shapeId="0">
      <text>
        <t>Tipo de actividad (elegir de la lista si se corrige a mano)</t>
      </text>
    </comment>
    <comment ref="M808" authorId="0" shapeId="0">
      <text>
        <t>Elegir el instructor de la lista</t>
      </text>
    </comment>
    <comment ref="N808" authorId="0" shapeId="0">
      <text>
        <t/>
      </text>
    </comment>
    <comment ref="O808" authorId="0" shapeId="0">
      <text>
        <t>Tipo de actividad (elegir de la lista si se corrige a mano)</t>
      </text>
    </comment>
    <comment ref="M813" authorId="0" shapeId="0">
      <text>
        <t>Elegir el instructor de la lista</t>
      </text>
    </comment>
    <comment ref="N813" authorId="0" shapeId="0">
      <text>
        <t/>
      </text>
    </comment>
    <comment ref="O813" authorId="0" shapeId="0">
      <text>
        <t>Tipo de actividad (elegir de la lista si se corrige a mano)</t>
      </text>
    </comment>
    <comment ref="M818" authorId="0" shapeId="0">
      <text>
        <t>Elegir el instructor de la lista</t>
      </text>
    </comment>
    <comment ref="N818" authorId="0" shapeId="0">
      <text>
        <t/>
      </text>
    </comment>
    <comment ref="O818" authorId="0" shapeId="0">
      <text>
        <t>Tipo de actividad (elegir de la lista si se corrige a mano)</t>
      </text>
    </comment>
    <comment ref="M823" authorId="0" shapeId="0">
      <text>
        <t>Elegir el instructor de la lista</t>
      </text>
    </comment>
    <comment ref="N823" authorId="0" shapeId="0">
      <text>
        <t/>
      </text>
    </comment>
    <comment ref="O823" authorId="0" shapeId="0">
      <text>
        <t>Tipo de actividad (elegir de la lista si se corrige a mano)</t>
      </text>
    </comment>
    <comment ref="M828" authorId="0" shapeId="0">
      <text>
        <t>Elegir el instructor de la lista</t>
      </text>
    </comment>
    <comment ref="N828" authorId="0" shapeId="0">
      <text>
        <t/>
      </text>
    </comment>
    <comment ref="O828" authorId="0" shapeId="0">
      <text>
        <t>Tipo de actividad (elegir de la lista si se corrige a mano)</t>
      </text>
    </comment>
    <comment ref="M833" authorId="0" shapeId="0">
      <text>
        <t>Elegir el instructor de la lista</t>
      </text>
    </comment>
    <comment ref="N833" authorId="0" shapeId="0">
      <text>
        <t/>
      </text>
    </comment>
    <comment ref="O833" authorId="0" shapeId="0">
      <text>
        <t>Tipo de actividad (elegir de la lista si se corrige a mano)</t>
      </text>
    </comment>
    <comment ref="M838" authorId="0" shapeId="0">
      <text>
        <t>Elegir el instructor de la lista</t>
      </text>
    </comment>
    <comment ref="N838" authorId="0" shapeId="0">
      <text>
        <t/>
      </text>
    </comment>
    <comment ref="O838" authorId="0" shapeId="0">
      <text>
        <t>Tipo de actividad (elegir de la lista si se corrige a mano)</t>
      </text>
    </comment>
    <comment ref="M845" authorId="0" shapeId="0">
      <text>
        <t>Elegir el instructor de la lista</t>
      </text>
    </comment>
    <comment ref="N845" authorId="0" shapeId="0">
      <text>
        <t/>
      </text>
    </comment>
    <comment ref="O845" authorId="0" shapeId="0">
      <text>
        <t>Tipo de actividad (elegir de la lista si se corrige a mano)</t>
      </text>
    </comment>
    <comment ref="M850" authorId="0" shapeId="0">
      <text>
        <t>Elegir el instructor de la lista</t>
      </text>
    </comment>
    <comment ref="N850" authorId="0" shapeId="0">
      <text>
        <t/>
      </text>
    </comment>
    <comment ref="O850" authorId="0" shapeId="0">
      <text>
        <t>Tipo de actividad (elegir de la lista si se corrige a mano)</t>
      </text>
    </comment>
    <comment ref="M857" authorId="0" shapeId="0">
      <text>
        <t>Elegir el instructor de la lista</t>
      </text>
    </comment>
    <comment ref="N857" authorId="0" shapeId="0">
      <text>
        <t/>
      </text>
    </comment>
    <comment ref="O857" authorId="0" shapeId="0">
      <text>
        <t>Tipo de actividad (elegir de la lista si se corrige a mano)</t>
      </text>
    </comment>
    <comment ref="M862" authorId="0" shapeId="0">
      <text>
        <t>Elegir el instructor de la lista</t>
      </text>
    </comment>
    <comment ref="N862" authorId="0" shapeId="0">
      <text>
        <t/>
      </text>
    </comment>
    <comment ref="O862" authorId="0" shapeId="0">
      <text>
        <t>Tipo de actividad (elegir de la lista si se corrige a mano)</t>
      </text>
    </comment>
    <comment ref="M869" authorId="0" shapeId="0">
      <text>
        <t>Elegir el instructor de la lista</t>
      </text>
    </comment>
    <comment ref="N869" authorId="0" shapeId="0">
      <text>
        <t/>
      </text>
    </comment>
    <comment ref="O869" authorId="0" shapeId="0">
      <text>
        <t>Tipo de actividad (elegir de la lista si se corrige a mano)</t>
      </text>
    </comment>
    <comment ref="M874" authorId="0" shapeId="0">
      <text>
        <t>Elegir el instructor de la lista</t>
      </text>
    </comment>
    <comment ref="N874" authorId="0" shapeId="0">
      <text>
        <t/>
      </text>
    </comment>
    <comment ref="O874" authorId="0" shapeId="0">
      <text>
        <t>Tipo de actividad (elegir de la lista si se corrige a mano)</t>
      </text>
    </comment>
    <comment ref="M879" authorId="0" shapeId="0">
      <text>
        <t>Elegir el instructor de la lista</t>
      </text>
    </comment>
    <comment ref="N879" authorId="0" shapeId="0">
      <text>
        <t/>
      </text>
    </comment>
    <comment ref="O879" authorId="0" shapeId="0">
      <text>
        <t>Tipo de actividad (elegir de la lista si se corrige a mano)</t>
      </text>
    </comment>
    <comment ref="M884" authorId="0" shapeId="0">
      <text>
        <t>Elegir el instructor de la lista</t>
      </text>
    </comment>
    <comment ref="N884" authorId="0" shapeId="0">
      <text>
        <t/>
      </text>
    </comment>
    <comment ref="O884" authorId="0" shapeId="0">
      <text>
        <t>Tipo de actividad (elegir de la lista si se corrige a mano)</t>
      </text>
    </comment>
    <comment ref="M889" authorId="0" shapeId="0">
      <text>
        <t>Elegir el instructor de la lista</t>
      </text>
    </comment>
    <comment ref="N889" authorId="0" shapeId="0">
      <text>
        <t/>
      </text>
    </comment>
    <comment ref="O889" authorId="0" shapeId="0">
      <text>
        <t>Tipo de actividad (elegir de la lista si se corrige a mano)</t>
      </text>
    </comment>
    <comment ref="M894" authorId="0" shapeId="0">
      <text>
        <t>Elegir el instructor de la lista</t>
      </text>
    </comment>
    <comment ref="N894" authorId="0" shapeId="0">
      <text>
        <t/>
      </text>
    </comment>
    <comment ref="O894" authorId="0" shapeId="0">
      <text>
        <t>Tipo de actividad (elegir de la lista si se corrige a mano)</t>
      </text>
    </comment>
    <comment ref="M899" authorId="0" shapeId="0">
      <text>
        <t>Elegir el instructor de la lista</t>
      </text>
    </comment>
    <comment ref="N899" authorId="0" shapeId="0">
      <text>
        <t/>
      </text>
    </comment>
    <comment ref="O899" authorId="0" shapeId="0">
      <text>
        <t>Tipo de actividad (elegir de la lista si se corrige a mano)</t>
      </text>
    </comment>
    <comment ref="M904" authorId="0" shapeId="0">
      <text>
        <t>Elegir el instructor de la lista</t>
      </text>
    </comment>
    <comment ref="N904" authorId="0" shapeId="0">
      <text>
        <t/>
      </text>
    </comment>
    <comment ref="O904" authorId="0" shapeId="0">
      <text>
        <t>Tipo de actividad (elegir de la lista si se corrige a mano)</t>
      </text>
    </comment>
    <comment ref="M909" authorId="0" shapeId="0">
      <text>
        <t>Elegir el instructor de la lista</t>
      </text>
    </comment>
    <comment ref="N909" authorId="0" shapeId="0">
      <text>
        <t/>
      </text>
    </comment>
    <comment ref="O909" authorId="0" shapeId="0">
      <text>
        <t>Tipo de actividad (elegir de la lista si se corrige a mano)</t>
      </text>
    </comment>
    <comment ref="M914" authorId="0" shapeId="0">
      <text>
        <t>Elegir el instructor de la lista</t>
      </text>
    </comment>
    <comment ref="N914" authorId="0" shapeId="0">
      <text>
        <t/>
      </text>
    </comment>
    <comment ref="O914" authorId="0" shapeId="0">
      <text>
        <t>Tipo de actividad (elegir de la lista si se corrige a mano)</t>
      </text>
    </comment>
    <comment ref="M919" authorId="0" shapeId="0">
      <text>
        <t>Elegir el instructor de la lista</t>
      </text>
    </comment>
    <comment ref="N919" authorId="0" shapeId="0">
      <text>
        <t/>
      </text>
    </comment>
    <comment ref="O919" authorId="0" shapeId="0">
      <text>
        <t>Tipo de actividad (elegir de la lista si se corrige a mano)</t>
      </text>
    </comment>
    <comment ref="M924" authorId="0" shapeId="0">
      <text>
        <t>Elegir el instructor de la lista</t>
      </text>
    </comment>
    <comment ref="N924" authorId="0" shapeId="0">
      <text>
        <t/>
      </text>
    </comment>
    <comment ref="O924" authorId="0" shapeId="0">
      <text>
        <t>Tipo de actividad (elegir de la lista si se corrige a mano)</t>
      </text>
    </comment>
    <comment ref="M931" authorId="0" shapeId="0">
      <text>
        <t>Elegir el instructor de la lista</t>
      </text>
    </comment>
    <comment ref="N931" authorId="0" shapeId="0">
      <text>
        <t/>
      </text>
    </comment>
    <comment ref="O931" authorId="0" shapeId="0">
      <text>
        <t>Tipo de actividad (elegir de la lista si se corrige a mano)</t>
      </text>
    </comment>
    <comment ref="M936" authorId="0" shapeId="0">
      <text>
        <t>Elegir el instructor de la lista</t>
      </text>
    </comment>
    <comment ref="N936" authorId="0" shapeId="0">
      <text>
        <t/>
      </text>
    </comment>
    <comment ref="O936" authorId="0" shapeId="0">
      <text>
        <t>Tipo de actividad (elegir de la lista si se corrige a mano)</t>
      </text>
    </comment>
    <comment ref="M943" authorId="0" shapeId="0">
      <text>
        <t>Elegir el instructor de la lista</t>
      </text>
    </comment>
    <comment ref="N943" authorId="0" shapeId="0">
      <text>
        <t/>
      </text>
    </comment>
    <comment ref="O943" authorId="0" shapeId="0">
      <text>
        <t>Tipo de actividad (elegir de la lista si se corrige a mano)</t>
      </text>
    </comment>
    <comment ref="M950" authorId="0" shapeId="0">
      <text>
        <t>Elegir el instructor de la lista</t>
      </text>
    </comment>
    <comment ref="N950" authorId="0" shapeId="0">
      <text>
        <t/>
      </text>
    </comment>
    <comment ref="O950" authorId="0" shapeId="0">
      <text>
        <t>Tipo de actividad (elegir de la lista si se corrige a mano)</t>
      </text>
    </comment>
    <comment ref="M957" authorId="0" shapeId="0">
      <text>
        <t>Elegir el instructor de la lista</t>
      </text>
    </comment>
    <comment ref="N957" authorId="0" shapeId="0">
      <text>
        <t/>
      </text>
    </comment>
    <comment ref="O957" authorId="0" shapeId="0">
      <text>
        <t>Tipo de actividad (elegir de la lista si se corrige a mano)</t>
      </text>
    </comment>
    <comment ref="M964" authorId="0" shapeId="0">
      <text>
        <t>Elegir el instructor de la lista</t>
      </text>
    </comment>
    <comment ref="N964" authorId="0" shapeId="0">
      <text>
        <t/>
      </text>
    </comment>
    <comment ref="O964" authorId="0" shapeId="0">
      <text>
        <t>Tipo de actividad (elegir de la lista si se corrige a mano)</t>
      </text>
    </comment>
    <comment ref="M971" authorId="0" shapeId="0">
      <text>
        <t>Elegir el instructor de la lista</t>
      </text>
    </comment>
    <comment ref="N971" authorId="0" shapeId="0">
      <text>
        <t/>
      </text>
    </comment>
    <comment ref="O971" authorId="0" shapeId="0">
      <text>
        <t>Tipo de actividad (elegir de la lista si se corrige a mano)</t>
      </text>
    </comment>
    <comment ref="M976" authorId="0" shapeId="0">
      <text>
        <t>Elegir el instructor de la lista</t>
      </text>
    </comment>
    <comment ref="N976" authorId="0" shapeId="0">
      <text>
        <t/>
      </text>
    </comment>
    <comment ref="O976" authorId="0" shapeId="0">
      <text>
        <t>Tipo de actividad (elegir de la lista si se corrige a mano)</t>
      </text>
    </comment>
    <comment ref="M981" authorId="0" shapeId="0">
      <text>
        <t>Elegir el instructor de la lista</t>
      </text>
    </comment>
    <comment ref="N981" authorId="0" shapeId="0">
      <text>
        <t/>
      </text>
    </comment>
    <comment ref="O981" authorId="0" shapeId="0">
      <text>
        <t>Tipo de actividad (elegir de la lista si se corrige a mano)</t>
      </text>
    </comment>
    <comment ref="M986" authorId="0" shapeId="0">
      <text>
        <t>Elegir el instructor de la lista</t>
      </text>
    </comment>
    <comment ref="N986" authorId="0" shapeId="0">
      <text>
        <t/>
      </text>
    </comment>
    <comment ref="O986" authorId="0" shapeId="0">
      <text>
        <t>Tipo de actividad (elegir de la lista si se corrige a mano)</t>
      </text>
    </comment>
    <comment ref="M991" authorId="0" shapeId="0">
      <text>
        <t>Elegir el instructor de la lista</t>
      </text>
    </comment>
    <comment ref="N991" authorId="0" shapeId="0">
      <text>
        <t/>
      </text>
    </comment>
    <comment ref="O991" authorId="0" shapeId="0">
      <text>
        <t>Tipo de actividad (elegir de la lista si se corrige a mano)</t>
      </text>
    </comment>
    <comment ref="M996" authorId="0" shapeId="0">
      <text>
        <t>Elegir el instructor de la lista</t>
      </text>
    </comment>
    <comment ref="N996" authorId="0" shapeId="0">
      <text>
        <t/>
      </text>
    </comment>
    <comment ref="O996" authorId="0" shapeId="0">
      <text>
        <t>Tipo de actividad (elegir de la lista si se corrige a mano)</t>
      </text>
    </comment>
    <comment ref="M1001" authorId="0" shapeId="0">
      <text>
        <t>Elegir el instructor de la lista</t>
      </text>
    </comment>
    <comment ref="N1001" authorId="0" shapeId="0">
      <text>
        <t/>
      </text>
    </comment>
    <comment ref="O1001" authorId="0" shapeId="0">
      <text>
        <t>Tipo de actividad (elegir de la lista si se corrige a mano)</t>
      </text>
    </comment>
    <comment ref="M1006" authorId="0" shapeId="0">
      <text>
        <t>Elegir el instructor de la lista</t>
      </text>
    </comment>
    <comment ref="N1006" authorId="0" shapeId="0">
      <text>
        <t/>
      </text>
    </comment>
    <comment ref="O1006" authorId="0" shapeId="0">
      <text>
        <t>Tipo de actividad (elegir de la lista si se corrige a mano)</t>
      </text>
    </comment>
    <comment ref="M1011" authorId="0" shapeId="0">
      <text>
        <t>Elegir el instructor de la lista</t>
      </text>
    </comment>
    <comment ref="N1011" authorId="0" shapeId="0">
      <text>
        <t/>
      </text>
    </comment>
    <comment ref="O1011" authorId="0" shapeId="0">
      <text>
        <t>Tipo de actividad (elegir de la lista si se corrige a mano)</t>
      </text>
    </comment>
    <comment ref="M1016" authorId="0" shapeId="0">
      <text>
        <t>Elegir el instructor de la lista</t>
      </text>
    </comment>
    <comment ref="N1016" authorId="0" shapeId="0">
      <text>
        <t/>
      </text>
    </comment>
    <comment ref="O1016" authorId="0" shapeId="0">
      <text>
        <t>Tipo de actividad (elegir de la lista si se corrige a mano)</t>
      </text>
    </comment>
    <comment ref="M1021" authorId="0" shapeId="0">
      <text>
        <t>Elegir el instructor de la lista</t>
      </text>
    </comment>
    <comment ref="N1021" authorId="0" shapeId="0">
      <text>
        <t/>
      </text>
    </comment>
    <comment ref="O1021" authorId="0" shapeId="0">
      <text>
        <t>Tipo de actividad (elegir de la lista si se corrige a mano)</t>
      </text>
    </comment>
    <comment ref="M1026" authorId="0" shapeId="0">
      <text>
        <t>Elegir el instructor de la lista</t>
      </text>
    </comment>
    <comment ref="N1026" authorId="0" shapeId="0">
      <text>
        <t/>
      </text>
    </comment>
    <comment ref="O1026" authorId="0" shapeId="0">
      <text>
        <t>Tipo de actividad (elegir de la lista si se corrige a mano)</t>
      </text>
    </comment>
    <comment ref="M1031" authorId="0" shapeId="0">
      <text>
        <t>Elegir el instructor de la lista</t>
      </text>
    </comment>
    <comment ref="N1031" authorId="0" shapeId="0">
      <text>
        <t/>
      </text>
    </comment>
    <comment ref="O1031" authorId="0" shapeId="0">
      <text>
        <t>Tipo de actividad (elegir de la lista si se corrige a mano)</t>
      </text>
    </comment>
    <comment ref="M1036" authorId="0" shapeId="0">
      <text>
        <t>Elegir el instructor de la lista</t>
      </text>
    </comment>
    <comment ref="N1036" authorId="0" shapeId="0">
      <text>
        <t/>
      </text>
    </comment>
    <comment ref="O1036" authorId="0" shapeId="0">
      <text>
        <t>Tipo de actividad (elegir de la lista si se corrige a mano)</t>
      </text>
    </comment>
    <comment ref="M1043" authorId="0" shapeId="0">
      <text>
        <t>Elegir el instructor de la lista</t>
      </text>
    </comment>
    <comment ref="N1043" authorId="0" shapeId="0">
      <text>
        <t/>
      </text>
    </comment>
    <comment ref="O1043" authorId="0" shapeId="0">
      <text>
        <t>Tipo de actividad (elegir de la lista si se corrige a mano)</t>
      </text>
    </comment>
    <comment ref="M1050" authorId="0" shapeId="0">
      <text>
        <t>Elegir el instructor de la lista</t>
      </text>
    </comment>
    <comment ref="N1050" authorId="0" shapeId="0">
      <text>
        <t/>
      </text>
    </comment>
    <comment ref="O1050" authorId="0" shapeId="0">
      <text>
        <t>Tipo de actividad (elegir de la lista si se corrige a mano)</t>
      </text>
    </comment>
    <comment ref="M1057" authorId="0" shapeId="0">
      <text>
        <t>Elegir el instructor de la lista</t>
      </text>
    </comment>
    <comment ref="N1057" authorId="0" shapeId="0">
      <text>
        <t/>
      </text>
    </comment>
    <comment ref="O1057" authorId="0" shapeId="0">
      <text>
        <t>Tipo de actividad (elegir de la lista si se corrige a mano)</t>
      </text>
    </comment>
    <comment ref="M1064" authorId="0" shapeId="0">
      <text>
        <t>Elegir el instructor de la lista</t>
      </text>
    </comment>
    <comment ref="N1064" authorId="0" shapeId="0">
      <text>
        <t/>
      </text>
    </comment>
    <comment ref="O1064" authorId="0" shapeId="0">
      <text>
        <t>Tipo de actividad (elegir de la lista si se corrige a mano)</t>
      </text>
    </comment>
    <comment ref="M1069" authorId="0" shapeId="0">
      <text>
        <t>Elegir el instructor de la lista</t>
      </text>
    </comment>
    <comment ref="N1069" authorId="0" shapeId="0">
      <text>
        <t/>
      </text>
    </comment>
    <comment ref="O1069" authorId="0" shapeId="0">
      <text>
        <t>Tipo de actividad (elegir de la lista si se corrige a mano)</t>
      </text>
    </comment>
    <comment ref="M1074" authorId="0" shapeId="0">
      <text>
        <t>Elegir el instructor de la lista</t>
      </text>
    </comment>
    <comment ref="N1074" authorId="0" shapeId="0">
      <text>
        <t/>
      </text>
    </comment>
    <comment ref="O1074" authorId="0" shapeId="0">
      <text>
        <t>Tipo de actividad (elegir de la lista si se corrige a mano)</t>
      </text>
    </comment>
    <comment ref="M1079" authorId="0" shapeId="0">
      <text>
        <t>Elegir el instructor de la lista</t>
      </text>
    </comment>
    <comment ref="N1079" authorId="0" shapeId="0">
      <text>
        <t/>
      </text>
    </comment>
    <comment ref="O1079" authorId="0" shapeId="0">
      <text>
        <t>Tipo de actividad (elegir de la lista si se corrige a mano)</t>
      </text>
    </comment>
    <comment ref="M1084" authorId="0" shapeId="0">
      <text>
        <t>Elegir el instructor de la lista</t>
      </text>
    </comment>
    <comment ref="N1084" authorId="0" shapeId="0">
      <text>
        <t/>
      </text>
    </comment>
    <comment ref="O1084" authorId="0" shapeId="0">
      <text>
        <t>Tipo de actividad (elegir de la lista si se corrige a mano)</t>
      </text>
    </comment>
    <comment ref="M1089" authorId="0" shapeId="0">
      <text>
        <t>Elegir el instructor de la lista</t>
      </text>
    </comment>
    <comment ref="N1089" authorId="0" shapeId="0">
      <text>
        <t/>
      </text>
    </comment>
    <comment ref="O1089" authorId="0" shapeId="0">
      <text>
        <t>Tipo de actividad (elegir de la lista si se corrige a mano)</t>
      </text>
    </comment>
    <comment ref="M1094" authorId="0" shapeId="0">
      <text>
        <t>Elegir el instructor de la lista</t>
      </text>
    </comment>
    <comment ref="N1094" authorId="0" shapeId="0">
      <text>
        <t/>
      </text>
    </comment>
    <comment ref="O1094" authorId="0" shapeId="0">
      <text>
        <t>Tipo de actividad (elegir de la lista si se corrige a mano)</t>
      </text>
    </comment>
    <comment ref="M1099" authorId="0" shapeId="0">
      <text>
        <t>Elegir el instructor de la lista</t>
      </text>
    </comment>
    <comment ref="N1099" authorId="0" shapeId="0">
      <text>
        <t/>
      </text>
    </comment>
    <comment ref="O1099" authorId="0" shapeId="0">
      <text>
        <t>Tipo de actividad (elegir de la lista si se corrige a mano)</t>
      </text>
    </comment>
    <comment ref="M1104" authorId="0" shapeId="0">
      <text>
        <t>Elegir el instructor de la lista</t>
      </text>
    </comment>
    <comment ref="N1104" authorId="0" shapeId="0">
      <text>
        <t/>
      </text>
    </comment>
    <comment ref="O1104" authorId="0" shapeId="0">
      <text>
        <t>Tipo de actividad (elegir de la lista si se corrige a mano)</t>
      </text>
    </comment>
    <comment ref="M1111" authorId="0" shapeId="0">
      <text>
        <t>Elegir el instructor de la lista</t>
      </text>
    </comment>
    <comment ref="N1111" authorId="0" shapeId="0">
      <text>
        <t/>
      </text>
    </comment>
    <comment ref="O1111" authorId="0" shapeId="0">
      <text>
        <t>Tipo de actividad (elegir de la lista si se corrige a mano)</t>
      </text>
    </comment>
    <comment ref="M1118" authorId="0" shapeId="0">
      <text>
        <t>Elegir el instructor de la lista</t>
      </text>
    </comment>
    <comment ref="N1118" authorId="0" shapeId="0">
      <text>
        <t/>
      </text>
    </comment>
    <comment ref="O1118" authorId="0" shapeId="0">
      <text>
        <t>Tipo de actividad (elegir de la lista si se corrige a mano)</t>
      </text>
    </comment>
    <comment ref="M1125" authorId="0" shapeId="0">
      <text>
        <t>Elegir el instructor de la lista</t>
      </text>
    </comment>
    <comment ref="N1125" authorId="0" shapeId="0">
      <text>
        <t/>
      </text>
    </comment>
    <comment ref="O1125" authorId="0" shapeId="0">
      <text>
        <t>Tipo de actividad (elegir de la lista si se corrige a mano)</t>
      </text>
    </comment>
    <comment ref="M1130" authorId="0" shapeId="0">
      <text>
        <t>Elegir el instructor de la lista</t>
      </text>
    </comment>
    <comment ref="N1130" authorId="0" shapeId="0">
      <text>
        <t/>
      </text>
    </comment>
    <comment ref="O1130" authorId="0" shapeId="0">
      <text>
        <t>Tipo de actividad (elegir de la lista si se corrige a mano)</t>
      </text>
    </comment>
    <comment ref="M1137" authorId="0" shapeId="0">
      <text>
        <t>Elegir el instructor de la lista</t>
      </text>
    </comment>
    <comment ref="N1137" authorId="0" shapeId="0">
      <text>
        <t/>
      </text>
    </comment>
    <comment ref="O1137" authorId="0" shapeId="0">
      <text>
        <t>Tipo de actividad (elegir de la lista si se corrige a mano)</t>
      </text>
    </comment>
    <comment ref="M1144" authorId="0" shapeId="0">
      <text>
        <t>Elegir el instructor de la lista</t>
      </text>
    </comment>
    <comment ref="N1144" authorId="0" shapeId="0">
      <text>
        <t/>
      </text>
    </comment>
    <comment ref="O1144" authorId="0" shapeId="0">
      <text>
        <t>Tipo de actividad (elegir de la lista si se corrige a mano)</t>
      </text>
    </comment>
    <comment ref="M1151" authorId="0" shapeId="0">
      <text>
        <t>Elegir el instructor de la lista</t>
      </text>
    </comment>
    <comment ref="N1151" authorId="0" shapeId="0">
      <text>
        <t/>
      </text>
    </comment>
    <comment ref="O1151" authorId="0" shapeId="0">
      <text>
        <t>Tipo de actividad (elegir de la lista si se corrige a mano)</t>
      </text>
    </comment>
    <comment ref="M1158" authorId="0" shapeId="0">
      <text>
        <t>Elegir el instructor de la lista</t>
      </text>
    </comment>
    <comment ref="N1158" authorId="0" shapeId="0">
      <text>
        <t/>
      </text>
    </comment>
    <comment ref="O1158" authorId="0" shapeId="0">
      <text>
        <t>Tipo de actividad (elegir de la lista si se corrige a mano)</t>
      </text>
    </comment>
    <comment ref="M1163" authorId="0" shapeId="0">
      <text>
        <t>Elegir el instructor de la lista</t>
      </text>
    </comment>
    <comment ref="N1163" authorId="0" shapeId="0">
      <text>
        <t/>
      </text>
    </comment>
    <comment ref="O1163" authorId="0" shapeId="0">
      <text>
        <t>Tipo de actividad (elegir de la lista si se corrige a mano)</t>
      </text>
    </comment>
    <comment ref="M1168" authorId="0" shapeId="0">
      <text>
        <t>Elegir el instructor de la lista</t>
      </text>
    </comment>
    <comment ref="N1168" authorId="0" shapeId="0">
      <text>
        <t/>
      </text>
    </comment>
    <comment ref="O1168" authorId="0" shapeId="0">
      <text>
        <t>Tipo de actividad (elegir de la lista si se corrige a mano)</t>
      </text>
    </comment>
    <comment ref="M1173" authorId="0" shapeId="0">
      <text>
        <t>Elegir el instructor de la lista</t>
      </text>
    </comment>
    <comment ref="N1173" authorId="0" shapeId="0">
      <text>
        <t/>
      </text>
    </comment>
    <comment ref="O1173" authorId="0" shapeId="0">
      <text>
        <t>Tipo de actividad (elegir de la lista si se corrige a mano)</t>
      </text>
    </comment>
    <comment ref="M1178" authorId="0" shapeId="0">
      <text>
        <t>Elegir el instructor de la lista</t>
      </text>
    </comment>
    <comment ref="N1178" authorId="0" shapeId="0">
      <text>
        <t/>
      </text>
    </comment>
    <comment ref="O1178" authorId="0" shapeId="0">
      <text>
        <t>Tipo de actividad (elegir de la lista si se corrige a mano)</t>
      </text>
    </comment>
    <comment ref="M1183" authorId="0" shapeId="0">
      <text>
        <t>Elegir el instructor de la lista</t>
      </text>
    </comment>
    <comment ref="N1183" authorId="0" shapeId="0">
      <text>
        <t/>
      </text>
    </comment>
    <comment ref="O1183" authorId="0" shapeId="0">
      <text>
        <t>Tipo de actividad (elegir de la lista si se corrige a mano)</t>
      </text>
    </comment>
    <comment ref="M1188" authorId="0" shapeId="0">
      <text>
        <t>Elegir el instructor de la lista</t>
      </text>
    </comment>
    <comment ref="N1188" authorId="0" shapeId="0">
      <text>
        <t/>
      </text>
    </comment>
    <comment ref="O1188" authorId="0" shapeId="0">
      <text>
        <t>Tipo de actividad (elegir de la lista si se corrige a mano)</t>
      </text>
    </comment>
    <comment ref="M1193" authorId="0" shapeId="0">
      <text>
        <t>Elegir el instructor de la lista</t>
      </text>
    </comment>
    <comment ref="N1193" authorId="0" shapeId="0">
      <text>
        <t/>
      </text>
    </comment>
    <comment ref="O1193" authorId="0" shapeId="0">
      <text>
        <t>Tipo de actividad (elegir de la lista si se corrige a mano)</t>
      </text>
    </comment>
    <comment ref="M1198" authorId="0" shapeId="0">
      <text>
        <t>Elegir el instructor de la lista</t>
      </text>
    </comment>
    <comment ref="N1198" authorId="0" shapeId="0">
      <text>
        <t/>
      </text>
    </comment>
    <comment ref="O1198" authorId="0" shapeId="0">
      <text>
        <t>Tipo de actividad (elegir de la lista si se corrige a mano)</t>
      </text>
    </comment>
    <comment ref="M1203" authorId="0" shapeId="0">
      <text>
        <t>Elegir el instructor de la lista</t>
      </text>
    </comment>
    <comment ref="N1203" authorId="0" shapeId="0">
      <text>
        <t/>
      </text>
    </comment>
    <comment ref="O1203" authorId="0" shapeId="0">
      <text>
        <t>Tipo de actividad (elegir de la lista si se corrige a mano)</t>
      </text>
    </comment>
    <comment ref="M1208" authorId="0" shapeId="0">
      <text>
        <t>Elegir el instructor de la lista</t>
      </text>
    </comment>
    <comment ref="N1208" authorId="0" shapeId="0">
      <text>
        <t/>
      </text>
    </comment>
    <comment ref="O1208" authorId="0" shapeId="0">
      <text>
        <t>Tipo de actividad (elegir de la lista si se corrige a mano)</t>
      </text>
    </comment>
    <comment ref="M1213" authorId="0" shapeId="0">
      <text>
        <t>Elegir el instructor de la lista</t>
      </text>
    </comment>
    <comment ref="N1213" authorId="0" shapeId="0">
      <text>
        <t/>
      </text>
    </comment>
    <comment ref="O1213" authorId="0" shapeId="0">
      <text>
        <t>Tipo de actividad (elegir de la lista si se corrige a mano)</t>
      </text>
    </comment>
    <comment ref="M1218" authorId="0" shapeId="0">
      <text>
        <t>Elegir el instructor de la lista</t>
      </text>
    </comment>
    <comment ref="N1218" authorId="0" shapeId="0">
      <text>
        <t/>
      </text>
    </comment>
    <comment ref="O1218" authorId="0" shapeId="0">
      <text>
        <t>Tipo de actividad (elegir de la lista si se corrige a mano)</t>
      </text>
    </comment>
    <comment ref="M1225" authorId="0" shapeId="0">
      <text>
        <t>Elegir el instructor de la lista</t>
      </text>
    </comment>
    <comment ref="N1225" authorId="0" shapeId="0">
      <text>
        <t/>
      </text>
    </comment>
    <comment ref="O1225" authorId="0" shapeId="0">
      <text>
        <t>Tipo de actividad (elegir de la lista si se corrige a mano)</t>
      </text>
    </comment>
    <comment ref="M1232" authorId="0" shapeId="0">
      <text>
        <t>Elegir el instructor de la lista</t>
      </text>
    </comment>
    <comment ref="N1232" authorId="0" shapeId="0">
      <text>
        <t/>
      </text>
    </comment>
    <comment ref="O1232" authorId="0" shapeId="0">
      <text>
        <t>Tipo de actividad (elegir de la lista si se corrige a mano)</t>
      </text>
    </comment>
    <comment ref="M1237" authorId="0" shapeId="0">
      <text>
        <t>Elegir el instructor de la lista</t>
      </text>
    </comment>
    <comment ref="N1237" authorId="0" shapeId="0">
      <text>
        <t/>
      </text>
    </comment>
    <comment ref="O1237" authorId="0" shapeId="0">
      <text>
        <t>Tipo de actividad (elegir de la lista si se corrige a mano)</t>
      </text>
    </comment>
    <comment ref="M1242" authorId="0" shapeId="0">
      <text>
        <t>Elegir el instructor de la lista</t>
      </text>
    </comment>
    <comment ref="N1242" authorId="0" shapeId="0">
      <text>
        <t/>
      </text>
    </comment>
    <comment ref="O1242" authorId="0" shapeId="0">
      <text>
        <t>Tipo de actividad (elegir de la lista si se corrige a mano)</t>
      </text>
    </comment>
    <comment ref="M1247" authorId="0" shapeId="0">
      <text>
        <t>Elegir el instructor de la lista</t>
      </text>
    </comment>
    <comment ref="N1247" authorId="0" shapeId="0">
      <text>
        <t/>
      </text>
    </comment>
    <comment ref="O1247" authorId="0" shapeId="0">
      <text>
        <t>Tipo de actividad (elegir de la lista si se corrige a mano)</t>
      </text>
    </comment>
    <comment ref="M1254" authorId="0" shapeId="0">
      <text>
        <t>Elegir el instructor de la lista</t>
      </text>
    </comment>
    <comment ref="N1254" authorId="0" shapeId="0">
      <text>
        <t/>
      </text>
    </comment>
    <comment ref="O1254" authorId="0" shapeId="0">
      <text>
        <t>Tipo de actividad (elegir de la lista si se corrige a mano)</t>
      </text>
    </comment>
    <comment ref="M1259" authorId="0" shapeId="0">
      <text>
        <t>Elegir el instructor de la lista</t>
      </text>
    </comment>
    <comment ref="N1259" authorId="0" shapeId="0">
      <text>
        <t/>
      </text>
    </comment>
    <comment ref="O1259" authorId="0" shapeId="0">
      <text>
        <t>Tipo de actividad (elegir de la lista si se corrige a mano)</t>
      </text>
    </comment>
    <comment ref="M1264" authorId="0" shapeId="0">
      <text>
        <t>Elegir el instructor de la lista</t>
      </text>
    </comment>
    <comment ref="N1264" authorId="0" shapeId="0">
      <text>
        <t/>
      </text>
    </comment>
    <comment ref="O1264" authorId="0" shapeId="0">
      <text>
        <t>Tipo de actividad (elegir de la lista si se corrige a mano)</t>
      </text>
    </comment>
    <comment ref="M1269" authorId="0" shapeId="0">
      <text>
        <t>Elegir el instructor de la lista</t>
      </text>
    </comment>
    <comment ref="N1269" authorId="0" shapeId="0">
      <text>
        <t/>
      </text>
    </comment>
    <comment ref="O1269" authorId="0" shapeId="0">
      <text>
        <t>Tipo de actividad (elegir de la lista si se corrige a mano)</t>
      </text>
    </comment>
    <comment ref="M1274" authorId="0" shapeId="0">
      <text>
        <t>Elegir el instructor de la lista</t>
      </text>
    </comment>
    <comment ref="N1274" authorId="0" shapeId="0">
      <text>
        <t/>
      </text>
    </comment>
    <comment ref="O1274" authorId="0" shapeId="0">
      <text>
        <t>Tipo de actividad (elegir de la lista si se corrige a mano)</t>
      </text>
    </comment>
    <comment ref="M1279" authorId="0" shapeId="0">
      <text>
        <t>Elegir el instructor de la lista</t>
      </text>
    </comment>
    <comment ref="N1279" authorId="0" shapeId="0">
      <text>
        <t/>
      </text>
    </comment>
    <comment ref="O1279" authorId="0" shapeId="0">
      <text>
        <t>Tipo de actividad (elegir de la lista si se corrige a mano)</t>
      </text>
    </comment>
    <comment ref="M1284" authorId="0" shapeId="0">
      <text>
        <t>Elegir el instructor de la lista</t>
      </text>
    </comment>
    <comment ref="N1284" authorId="0" shapeId="0">
      <text>
        <t/>
      </text>
    </comment>
    <comment ref="O1284" authorId="0" shapeId="0">
      <text>
        <t>Tipo de actividad (elegir de la lista si se corrige a mano)</t>
      </text>
    </comment>
    <comment ref="M1289" authorId="0" shapeId="0">
      <text>
        <t>Elegir el instructor de la lista</t>
      </text>
    </comment>
    <comment ref="N1289" authorId="0" shapeId="0">
      <text>
        <t/>
      </text>
    </comment>
    <comment ref="O1289" authorId="0" shapeId="0">
      <text>
        <t>Tipo de actividad (elegir de la lista si se corrige a mano)</t>
      </text>
    </comment>
    <comment ref="M1294" authorId="0" shapeId="0">
      <text>
        <t>Elegir el instructor de la lista</t>
      </text>
    </comment>
    <comment ref="N1294" authorId="0" shapeId="0">
      <text>
        <t/>
      </text>
    </comment>
    <comment ref="O1294" authorId="0" shapeId="0">
      <text>
        <t>Tipo de actividad (elegir de la lista si se corrige a mano)</t>
      </text>
    </comment>
    <comment ref="M1299" authorId="0" shapeId="0">
      <text>
        <t>Elegir el instructor de la lista</t>
      </text>
    </comment>
    <comment ref="N1299" authorId="0" shapeId="0">
      <text>
        <t/>
      </text>
    </comment>
    <comment ref="O1299" authorId="0" shapeId="0">
      <text>
        <t>Tipo de actividad (elegir de la lista si se corrige a mano)</t>
      </text>
    </comment>
    <comment ref="M1304" authorId="0" shapeId="0">
      <text>
        <t>Elegir el instructor de la lista</t>
      </text>
    </comment>
    <comment ref="N1304" authorId="0" shapeId="0">
      <text>
        <t/>
      </text>
    </comment>
    <comment ref="O1304" authorId="0" shapeId="0">
      <text>
        <t>Tipo de actividad (elegir de la lista si se corrige a mano)</t>
      </text>
    </comment>
    <comment ref="M1309" authorId="0" shapeId="0">
      <text>
        <t>Elegir el instructor de la lista</t>
      </text>
    </comment>
    <comment ref="N1309" authorId="0" shapeId="0">
      <text>
        <t/>
      </text>
    </comment>
    <comment ref="O1309" authorId="0" shapeId="0">
      <text>
        <t>Tipo de actividad (elegir de la lista si se corrige a mano)</t>
      </text>
    </comment>
    <comment ref="M1314" authorId="0" shapeId="0">
      <text>
        <t>Elegir el instructor de la lista</t>
      </text>
    </comment>
    <comment ref="N1314" authorId="0" shapeId="0">
      <text>
        <t/>
      </text>
    </comment>
    <comment ref="O1314" authorId="0" shapeId="0">
      <text>
        <t>Tipo de actividad (elegir de la lista si se corrige a mano)</t>
      </text>
    </comment>
    <comment ref="M1321" authorId="0" shapeId="0">
      <text>
        <t>Elegir el instructor de la lista</t>
      </text>
    </comment>
    <comment ref="N1321" authorId="0" shapeId="0">
      <text>
        <t/>
      </text>
    </comment>
    <comment ref="O1321" authorId="0" shapeId="0">
      <text>
        <t>Tipo de actividad (elegir de la lista si se corrige a mano)</t>
      </text>
    </comment>
    <comment ref="M1328" authorId="0" shapeId="0">
      <text>
        <t>Elegir el instructor de la lista</t>
      </text>
    </comment>
    <comment ref="N1328" authorId="0" shapeId="0">
      <text>
        <t/>
      </text>
    </comment>
    <comment ref="O1328" authorId="0" shapeId="0">
      <text>
        <t>Tipo de actividad (elegir de la lista si se corrige a mano)</t>
      </text>
    </comment>
    <comment ref="M1335" authorId="0" shapeId="0">
      <text>
        <t>Elegir el instructor de la lista</t>
      </text>
    </comment>
    <comment ref="N1335" authorId="0" shapeId="0">
      <text>
        <t/>
      </text>
    </comment>
    <comment ref="O1335" authorId="0" shapeId="0">
      <text>
        <t>Tipo de actividad (elegir de la lista si se corrige a mano)</t>
      </text>
    </comment>
    <comment ref="M1340" authorId="0" shapeId="0">
      <text>
        <t>Elegir el instructor de la lista</t>
      </text>
    </comment>
    <comment ref="N1340" authorId="0" shapeId="0">
      <text>
        <t/>
      </text>
    </comment>
    <comment ref="O1340" authorId="0" shapeId="0">
      <text>
        <t>Tipo de actividad (elegir de la lista si se corrige a mano)</t>
      </text>
    </comment>
    <comment ref="M1347" authorId="0" shapeId="0">
      <text>
        <t>Elegir el instructor de la lista</t>
      </text>
    </comment>
    <comment ref="N1347" authorId="0" shapeId="0">
      <text>
        <t/>
      </text>
    </comment>
    <comment ref="O1347" authorId="0" shapeId="0">
      <text>
        <t>Tipo de actividad (elegir de la lista si se corrige a mano)</t>
      </text>
    </comment>
    <comment ref="M1352" authorId="0" shapeId="0">
      <text>
        <t>Elegir el instructor de la lista</t>
      </text>
    </comment>
    <comment ref="N1352" authorId="0" shapeId="0">
      <text>
        <t/>
      </text>
    </comment>
    <comment ref="O1352" authorId="0" shapeId="0">
      <text>
        <t>Tipo de actividad (elegir de la lista si se corrige a mano)</t>
      </text>
    </comment>
    <comment ref="M1357" authorId="0" shapeId="0">
      <text>
        <t>Elegir el instructor de la lista</t>
      </text>
    </comment>
    <comment ref="N1357" authorId="0" shapeId="0">
      <text>
        <t/>
      </text>
    </comment>
    <comment ref="O1357" authorId="0" shapeId="0">
      <text>
        <t>Tipo de actividad (elegir de la lista si se corrige a mano)</t>
      </text>
    </comment>
    <comment ref="M1362" authorId="0" shapeId="0">
      <text>
        <t>Elegir el instructor de la lista</t>
      </text>
    </comment>
    <comment ref="N1362" authorId="0" shapeId="0">
      <text>
        <t/>
      </text>
    </comment>
    <comment ref="O1362" authorId="0" shapeId="0">
      <text>
        <t>Tipo de actividad (elegir de la lista si se corrige a mano)</t>
      </text>
    </comment>
    <comment ref="M1367" authorId="0" shapeId="0">
      <text>
        <t>Elegir el instructor de la lista</t>
      </text>
    </comment>
    <comment ref="N1367" authorId="0" shapeId="0">
      <text>
        <t/>
      </text>
    </comment>
    <comment ref="O1367" authorId="0" shapeId="0">
      <text>
        <t>Tipo de actividad (elegir de la lista si se corrige a mano)</t>
      </text>
    </comment>
    <comment ref="M1372" authorId="0" shapeId="0">
      <text>
        <t>Elegir el instructor de la lista</t>
      </text>
    </comment>
    <comment ref="N1372" authorId="0" shapeId="0">
      <text>
        <t/>
      </text>
    </comment>
    <comment ref="O1372" authorId="0" shapeId="0">
      <text>
        <t>Tipo de actividad (elegir de la lista si se corrige a mano)</t>
      </text>
    </comment>
    <comment ref="M1377" authorId="0" shapeId="0">
      <text>
        <t>Elegir el instructor de la lista</t>
      </text>
    </comment>
    <comment ref="N1377" authorId="0" shapeId="0">
      <text>
        <t/>
      </text>
    </comment>
    <comment ref="O1377" authorId="0" shapeId="0">
      <text>
        <t>Tipo de actividad (elegir de la lista si se corrige a mano)</t>
      </text>
    </comment>
    <comment ref="M1382" authorId="0" shapeId="0">
      <text>
        <t>Elegir el instructor de la lista</t>
      </text>
    </comment>
    <comment ref="N1382" authorId="0" shapeId="0">
      <text>
        <t/>
      </text>
    </comment>
    <comment ref="O1382" authorId="0" shapeId="0">
      <text>
        <t>Tipo de actividad (elegir de la lista si se corrige a mano)</t>
      </text>
    </comment>
    <comment ref="M1387" authorId="0" shapeId="0">
      <text>
        <t>Elegir el instructor de la lista</t>
      </text>
    </comment>
    <comment ref="N1387" authorId="0" shapeId="0">
      <text>
        <t/>
      </text>
    </comment>
    <comment ref="O1387" authorId="0" shapeId="0">
      <text>
        <t>Tipo de actividad (elegir de la lista si se corrige a mano)</t>
      </text>
    </comment>
    <comment ref="M1392" authorId="0" shapeId="0">
      <text>
        <t>Elegir el instructor de la lista</t>
      </text>
    </comment>
    <comment ref="N1392" authorId="0" shapeId="0">
      <text>
        <t/>
      </text>
    </comment>
    <comment ref="O1392" authorId="0" shapeId="0">
      <text>
        <t>Tipo de actividad (elegir de la lista si se corrige a mano)</t>
      </text>
    </comment>
    <comment ref="M1397" authorId="0" shapeId="0">
      <text>
        <t>Elegir el instructor de la lista</t>
      </text>
    </comment>
    <comment ref="N1397" authorId="0" shapeId="0">
      <text>
        <t/>
      </text>
    </comment>
    <comment ref="O1397" authorId="0" shapeId="0">
      <text>
        <t>Tipo de actividad (elegir de la lista si se corrige a mano)</t>
      </text>
    </comment>
    <comment ref="M1402" authorId="0" shapeId="0">
      <text>
        <t>Elegir el instructor de la lista</t>
      </text>
    </comment>
    <comment ref="N1402" authorId="0" shapeId="0">
      <text>
        <t/>
      </text>
    </comment>
    <comment ref="O1402" authorId="0" shapeId="0">
      <text>
        <t>Tipo de actividad (elegir de la lista si se corrige a mano)</t>
      </text>
    </comment>
    <comment ref="M1409" authorId="0" shapeId="0">
      <text>
        <t>Elegir el instructor de la lista</t>
      </text>
    </comment>
    <comment ref="N1409" authorId="0" shapeId="0">
      <text>
        <t/>
      </text>
    </comment>
    <comment ref="O1409" authorId="0" shapeId="0">
      <text>
        <t>Tipo de actividad (elegir de la lista si se corrige a mano)</t>
      </text>
    </comment>
    <comment ref="M1416" authorId="0" shapeId="0">
      <text>
        <t>Elegir el instructor de la lista</t>
      </text>
    </comment>
    <comment ref="N1416" authorId="0" shapeId="0">
      <text>
        <t/>
      </text>
    </comment>
    <comment ref="O1416" authorId="0" shapeId="0">
      <text>
        <t>Tipo de actividad (elegir de la lista si se corrige a mano)</t>
      </text>
    </comment>
    <comment ref="M1423" authorId="0" shapeId="0">
      <text>
        <t>Elegir el instructor de la lista</t>
      </text>
    </comment>
    <comment ref="N1423" authorId="0" shapeId="0">
      <text>
        <t/>
      </text>
    </comment>
    <comment ref="O1423" authorId="0" shapeId="0">
      <text>
        <t>Tipo de actividad (elegir de la lista si se corrige a mano)</t>
      </text>
    </comment>
    <comment ref="M1430" authorId="0" shapeId="0">
      <text>
        <t>Elegir el instructor de la lista</t>
      </text>
    </comment>
    <comment ref="N1430" authorId="0" shapeId="0">
      <text>
        <t/>
      </text>
    </comment>
    <comment ref="O1430" authorId="0" shapeId="0">
      <text>
        <t>Tipo de actividad (elegir de la lista si se corrige a mano)</t>
      </text>
    </comment>
    <comment ref="M1435" authorId="0" shapeId="0">
      <text>
        <t>Elegir el instructor de la lista</t>
      </text>
    </comment>
    <comment ref="N1435" authorId="0" shapeId="0">
      <text>
        <t/>
      </text>
    </comment>
    <comment ref="O1435" authorId="0" shapeId="0">
      <text>
        <t>Tipo de actividad (elegir de la lista si se corrige a mano)</t>
      </text>
    </comment>
    <comment ref="M1440" authorId="0" shapeId="0">
      <text>
        <t>Elegir el instructor de la lista</t>
      </text>
    </comment>
    <comment ref="N1440" authorId="0" shapeId="0">
      <text>
        <t/>
      </text>
    </comment>
    <comment ref="O1440" authorId="0" shapeId="0">
      <text>
        <t>Tipo de actividad (elegir de la lista si se corrige a mano)</t>
      </text>
    </comment>
    <comment ref="M1445" authorId="0" shapeId="0">
      <text>
        <t>Elegir el instructor de la lista</t>
      </text>
    </comment>
    <comment ref="N1445" authorId="0" shapeId="0">
      <text>
        <t/>
      </text>
    </comment>
    <comment ref="O1445" authorId="0" shapeId="0">
      <text>
        <t>Tipo de actividad (elegir de la lista si se corrige a mano)</t>
      </text>
    </comment>
    <comment ref="M1452" authorId="0" shapeId="0">
      <text>
        <t>Elegir el instructor de la lista</t>
      </text>
    </comment>
    <comment ref="N1452" authorId="0" shapeId="0">
      <text>
        <t/>
      </text>
    </comment>
    <comment ref="O1452" authorId="0" shapeId="0">
      <text>
        <t>Tipo de actividad (elegir de la lista si se corrige a mano)</t>
      </text>
    </comment>
    <comment ref="M1457" authorId="0" shapeId="0">
      <text>
        <t>Elegir el instructor de la lista</t>
      </text>
    </comment>
    <comment ref="N1457" authorId="0" shapeId="0">
      <text>
        <t/>
      </text>
    </comment>
    <comment ref="O1457" authorId="0" shapeId="0">
      <text>
        <t>Tipo de actividad (elegir de la lista si se corrige a mano)</t>
      </text>
    </comment>
    <comment ref="M1462" authorId="0" shapeId="0">
      <text>
        <t>Elegir el instructor de la lista</t>
      </text>
    </comment>
    <comment ref="N1462" authorId="0" shapeId="0">
      <text>
        <t/>
      </text>
    </comment>
    <comment ref="O1462" authorId="0" shapeId="0">
      <text>
        <t>Tipo de actividad (elegir de la lista si se corrige a mano)</t>
      </text>
    </comment>
    <comment ref="M1469" authorId="0" shapeId="0">
      <text>
        <t>Elegir el instructor de la lista</t>
      </text>
    </comment>
    <comment ref="N1469" authorId="0" shapeId="0">
      <text>
        <t/>
      </text>
    </comment>
    <comment ref="O1469" authorId="0" shapeId="0">
      <text>
        <t>Tipo de actividad (elegir de la lista si se corrige a mano)</t>
      </text>
    </comment>
    <comment ref="M1474" authorId="0" shapeId="0">
      <text>
        <t>Elegir el instructor de la lista</t>
      </text>
    </comment>
    <comment ref="N1474" authorId="0" shapeId="0">
      <text>
        <t/>
      </text>
    </comment>
    <comment ref="O1474" authorId="0" shapeId="0">
      <text>
        <t>Tipo de actividad (elegir de la lista si se corrige a mano)</t>
      </text>
    </comment>
    <comment ref="M1479" authorId="0" shapeId="0">
      <text>
        <t>Elegir el instructor de la lista</t>
      </text>
    </comment>
    <comment ref="N1479" authorId="0" shapeId="0">
      <text>
        <t/>
      </text>
    </comment>
    <comment ref="O1479" authorId="0" shapeId="0">
      <text>
        <t>Tipo de actividad (elegir de la lista si se corrige a mano)</t>
      </text>
    </comment>
    <comment ref="M1484" authorId="0" shapeId="0">
      <text>
        <t>Elegir el instructor de la lista</t>
      </text>
    </comment>
    <comment ref="N1484" authorId="0" shapeId="0">
      <text>
        <t/>
      </text>
    </comment>
    <comment ref="O1484" authorId="0" shapeId="0">
      <text>
        <t>Tipo de actividad (elegir de la lista si se corrige a mano)</t>
      </text>
    </comment>
    <comment ref="M1489" authorId="0" shapeId="0">
      <text>
        <t>Elegir el instructor de la lista</t>
      </text>
    </comment>
    <comment ref="N1489" authorId="0" shapeId="0">
      <text>
        <t/>
      </text>
    </comment>
    <comment ref="O1489" authorId="0" shapeId="0">
      <text>
        <t>Tipo de actividad (elegir de la lista si se corrige a mano)</t>
      </text>
    </comment>
    <comment ref="M1494" authorId="0" shapeId="0">
      <text>
        <t>Elegir el instructor de la lista</t>
      </text>
    </comment>
    <comment ref="N1494" authorId="0" shapeId="0">
      <text>
        <t/>
      </text>
    </comment>
    <comment ref="O1494" authorId="0" shapeId="0">
      <text>
        <t>Tipo de actividad (elegir de la lista si se corrige a mano)</t>
      </text>
    </comment>
    <comment ref="M1499" authorId="0" shapeId="0">
      <text>
        <t>Elegir el instructor de la lista</t>
      </text>
    </comment>
    <comment ref="N1499" authorId="0" shapeId="0">
      <text>
        <t/>
      </text>
    </comment>
    <comment ref="O1499" authorId="0" shapeId="0">
      <text>
        <t>Tipo de actividad (elegir de la lista si se corrige a mano)</t>
      </text>
    </comment>
    <comment ref="M1504" authorId="0" shapeId="0">
      <text>
        <t>Elegir el instructor de la lista</t>
      </text>
    </comment>
    <comment ref="N1504" authorId="0" shapeId="0">
      <text>
        <t/>
      </text>
    </comment>
    <comment ref="O1504" authorId="0" shapeId="0">
      <text>
        <t>Tipo de actividad (elegir de la lista si se corrige a mano)</t>
      </text>
    </comment>
    <comment ref="M1511" authorId="0" shapeId="0">
      <text>
        <t>Elegir el instructor de la lista</t>
      </text>
    </comment>
    <comment ref="N1511" authorId="0" shapeId="0">
      <text>
        <t/>
      </text>
    </comment>
    <comment ref="O1511" authorId="0" shapeId="0">
      <text>
        <t>Tipo de actividad (elegir de la lista si se corrige a mano)</t>
      </text>
    </comment>
    <comment ref="M1516" authorId="0" shapeId="0">
      <text>
        <t>Elegir el instructor de la lista</t>
      </text>
    </comment>
    <comment ref="N1516" authorId="0" shapeId="0">
      <text>
        <t/>
      </text>
    </comment>
    <comment ref="O1516" authorId="0" shapeId="0">
      <text>
        <t>Tipo de actividad (elegir de la lista si se corrige a mano)</t>
      </text>
    </comment>
    <comment ref="M1521" authorId="0" shapeId="0">
      <text>
        <t>Elegir el instructor de la lista</t>
      </text>
    </comment>
    <comment ref="N1521" authorId="0" shapeId="0">
      <text>
        <t/>
      </text>
    </comment>
    <comment ref="O1521" authorId="0" shapeId="0">
      <text>
        <t>Tipo de actividad (elegir de la lista si se corrige a mano)</t>
      </text>
    </comment>
    <comment ref="M1526" authorId="0" shapeId="0">
      <text>
        <t>Elegir el instructor de la lista</t>
      </text>
    </comment>
    <comment ref="N1526" authorId="0" shapeId="0">
      <text>
        <t/>
      </text>
    </comment>
    <comment ref="O1526" authorId="0" shapeId="0">
      <text>
        <t>Tipo de actividad (elegir de la lista si se corrige a mano)</t>
      </text>
    </comment>
    <comment ref="M1531" authorId="0" shapeId="0">
      <text>
        <t>Elegir el instructor de la lista</t>
      </text>
    </comment>
    <comment ref="N1531" authorId="0" shapeId="0">
      <text>
        <t/>
      </text>
    </comment>
    <comment ref="O1531" authorId="0" shapeId="0">
      <text>
        <t>Tipo de actividad (elegir de la lista si se corrige a mano)</t>
      </text>
    </comment>
    <comment ref="M1536" authorId="0" shapeId="0">
      <text>
        <t>Elegir el instructor de la lista</t>
      </text>
    </comment>
    <comment ref="N1536" authorId="0" shapeId="0">
      <text>
        <t/>
      </text>
    </comment>
    <comment ref="O1536" authorId="0" shapeId="0">
      <text>
        <t>Tipo de actividad (elegir de la lista si se corrige a mano)</t>
      </text>
    </comment>
    <comment ref="M1541" authorId="0" shapeId="0">
      <text>
        <t>Elegir el instructor de la lista</t>
      </text>
    </comment>
    <comment ref="N1541" authorId="0" shapeId="0">
      <text>
        <t/>
      </text>
    </comment>
    <comment ref="O1541" authorId="0" shapeId="0">
      <text>
        <t>Tipo de actividad (elegir de la lista si se corrige a mano)</t>
      </text>
    </comment>
    <comment ref="M1546" authorId="0" shapeId="0">
      <text>
        <t>Elegir el instructor de la lista</t>
      </text>
    </comment>
    <comment ref="N1546" authorId="0" shapeId="0">
      <text>
        <t/>
      </text>
    </comment>
    <comment ref="O1546" authorId="0" shapeId="0">
      <text>
        <t>Tipo de actividad (elegir de la lista si se corrige a mano)</t>
      </text>
    </comment>
    <comment ref="M1551" authorId="0" shapeId="0">
      <text>
        <t>Elegir el instructor de la lista</t>
      </text>
    </comment>
    <comment ref="N1551" authorId="0" shapeId="0">
      <text>
        <t/>
      </text>
    </comment>
    <comment ref="O1551" authorId="0" shapeId="0">
      <text>
        <t>Tipo de actividad (elegir de la lista si se corrige a mano)</t>
      </text>
    </comment>
    <comment ref="M1556" authorId="0" shapeId="0">
      <text>
        <t>Elegir el instructor de la lista</t>
      </text>
    </comment>
    <comment ref="N1556" authorId="0" shapeId="0">
      <text>
        <t/>
      </text>
    </comment>
    <comment ref="O1556" authorId="0" shapeId="0">
      <text>
        <t>Tipo de actividad (elegir de la lista si se corrige a mano)</t>
      </text>
    </comment>
    <comment ref="M1561" authorId="0" shapeId="0">
      <text>
        <t>Elegir el instructor de la lista</t>
      </text>
    </comment>
    <comment ref="N1561" authorId="0" shapeId="0">
      <text>
        <t/>
      </text>
    </comment>
    <comment ref="O1561" authorId="0" shapeId="0">
      <text>
        <t>Tipo de actividad (elegir de la lista si se corrige a mano)</t>
      </text>
    </comment>
    <comment ref="M1566" authorId="0" shapeId="0">
      <text>
        <t>Elegir el instructor de la lista</t>
      </text>
    </comment>
    <comment ref="N1566" authorId="0" shapeId="0">
      <text>
        <t/>
      </text>
    </comment>
    <comment ref="O1566" authorId="0" shapeId="0">
      <text>
        <t>Tipo de actividad (elegir de la lista si se corrige a mano)</t>
      </text>
    </comment>
    <comment ref="M1571" authorId="0" shapeId="0">
      <text>
        <t>Elegir el instructor de la lista</t>
      </text>
    </comment>
    <comment ref="N1571" authorId="0" shapeId="0">
      <text>
        <t/>
      </text>
    </comment>
    <comment ref="O1571" authorId="0" shapeId="0">
      <text>
        <t>Tipo de actividad (elegir de la lista si se corrige a mano)</t>
      </text>
    </comment>
    <comment ref="M1576" authorId="0" shapeId="0">
      <text>
        <t>Elegir el instructor de la lista</t>
      </text>
    </comment>
    <comment ref="N1576" authorId="0" shapeId="0">
      <text>
        <t/>
      </text>
    </comment>
    <comment ref="O1576" authorId="0" shapeId="0">
      <text>
        <t>Tipo de actividad (elegir de la lista si se corrige a mano)</t>
      </text>
    </comment>
    <comment ref="M1583" authorId="0" shapeId="0">
      <text>
        <t>Elegir el instructor de la lista</t>
      </text>
    </comment>
    <comment ref="N1583" authorId="0" shapeId="0">
      <text>
        <t/>
      </text>
    </comment>
    <comment ref="O1583" authorId="0" shapeId="0">
      <text>
        <t>Tipo de actividad (elegir de la lista si se corrige a mano)</t>
      </text>
    </comment>
    <comment ref="M1588" authorId="0" shapeId="0">
      <text>
        <t>Elegir el instructor de la lista</t>
      </text>
    </comment>
    <comment ref="N1588" authorId="0" shapeId="0">
      <text>
        <t/>
      </text>
    </comment>
    <comment ref="O1588" authorId="0" shapeId="0">
      <text>
        <t>Tipo de actividad (elegir de la lista si se corrige a mano)</t>
      </text>
    </comment>
    <comment ref="M1595" authorId="0" shapeId="0">
      <text>
        <t>Elegir el instructor de la lista</t>
      </text>
    </comment>
    <comment ref="N1595" authorId="0" shapeId="0">
      <text>
        <t/>
      </text>
    </comment>
    <comment ref="O1595" authorId="0" shapeId="0">
      <text>
        <t>Tipo de actividad (elegir de la lista si se corrige a mano)</t>
      </text>
    </comment>
    <comment ref="M1602" authorId="0" shapeId="0">
      <text>
        <t>Elegir el instructor de la lista</t>
      </text>
    </comment>
    <comment ref="N1602" authorId="0" shapeId="0">
      <text>
        <t/>
      </text>
    </comment>
    <comment ref="O1602" authorId="0" shapeId="0">
      <text>
        <t>Tipo de actividad (elegir de la lista si se corrige a mano)</t>
      </text>
    </comment>
    <comment ref="M1609" authorId="0" shapeId="0">
      <text>
        <t>Elegir el instructor de la lista</t>
      </text>
    </comment>
    <comment ref="N1609" authorId="0" shapeId="0">
      <text>
        <t/>
      </text>
    </comment>
    <comment ref="O1609" authorId="0" shapeId="0">
      <text>
        <t>Tipo de actividad (elegir de la lista si se corrige a mano)</t>
      </text>
    </comment>
    <comment ref="M1614" authorId="0" shapeId="0">
      <text>
        <t>Elegir el instructor de la lista</t>
      </text>
    </comment>
    <comment ref="N1614" authorId="0" shapeId="0">
      <text>
        <t/>
      </text>
    </comment>
    <comment ref="O1614" authorId="0" shapeId="0">
      <text>
        <t>Tipo de actividad (elegir de la lista si se corrige a mano)</t>
      </text>
    </comment>
    <comment ref="M1619" authorId="0" shapeId="0">
      <text>
        <t>Elegir el instructor de la lista</t>
      </text>
    </comment>
    <comment ref="N1619" authorId="0" shapeId="0">
      <text>
        <t/>
      </text>
    </comment>
    <comment ref="O1619" authorId="0" shapeId="0">
      <text>
        <t>Tipo de actividad (elegir de la lista si se corrige a mano)</t>
      </text>
    </comment>
    <comment ref="M1624" authorId="0" shapeId="0">
      <text>
        <t>Elegir el instructor de la lista</t>
      </text>
    </comment>
    <comment ref="N1624" authorId="0" shapeId="0">
      <text>
        <t/>
      </text>
    </comment>
    <comment ref="O1624" authorId="0" shapeId="0">
      <text>
        <t>Tipo de actividad (elegir de la lista si se corrige a mano)</t>
      </text>
    </comment>
    <comment ref="M1629" authorId="0" shapeId="0">
      <text>
        <t>Elegir el instructor de la lista</t>
      </text>
    </comment>
    <comment ref="N1629" authorId="0" shapeId="0">
      <text>
        <t/>
      </text>
    </comment>
    <comment ref="O1629" authorId="0" shapeId="0">
      <text>
        <t>Tipo de actividad (elegir de la lista si se corrige a mano)</t>
      </text>
    </comment>
    <comment ref="M1634" authorId="0" shapeId="0">
      <text>
        <t>Elegir el instructor de la lista</t>
      </text>
    </comment>
    <comment ref="N1634" authorId="0" shapeId="0">
      <text>
        <t/>
      </text>
    </comment>
    <comment ref="O1634" authorId="0" shapeId="0">
      <text>
        <t>Tipo de actividad (elegir de la lista si se corrige a mano)</t>
      </text>
    </comment>
    <comment ref="M1639" authorId="0" shapeId="0">
      <text>
        <t>Elegir el instructor de la lista</t>
      </text>
    </comment>
    <comment ref="N1639" authorId="0" shapeId="0">
      <text>
        <t/>
      </text>
    </comment>
    <comment ref="O1639" authorId="0" shapeId="0">
      <text>
        <t>Tipo de actividad (elegir de la lista si se corrige a mano)</t>
      </text>
    </comment>
    <comment ref="M1644" authorId="0" shapeId="0">
      <text>
        <t>Elegir el instructor de la lista</t>
      </text>
    </comment>
    <comment ref="N1644" authorId="0" shapeId="0">
      <text>
        <t/>
      </text>
    </comment>
    <comment ref="O1644" authorId="0" shapeId="0">
      <text>
        <t>Tipo de actividad (elegir de la lista si se corrige a mano)</t>
      </text>
    </comment>
    <comment ref="M1649" authorId="0" shapeId="0">
      <text>
        <t>Elegir el instructor de la lista</t>
      </text>
    </comment>
    <comment ref="N1649" authorId="0" shapeId="0">
      <text>
        <t/>
      </text>
    </comment>
    <comment ref="O1649" authorId="0" shapeId="0">
      <text>
        <t>Tipo de actividad (elegir de la lista si se corrige a mano)</t>
      </text>
    </comment>
    <comment ref="M1654" authorId="0" shapeId="0">
      <text>
        <t>Elegir el instructor de la lista</t>
      </text>
    </comment>
    <comment ref="N1654" authorId="0" shapeId="0">
      <text>
        <t/>
      </text>
    </comment>
    <comment ref="O1654" authorId="0" shapeId="0">
      <text>
        <t>Tipo de actividad (elegir de la lista si se corrige a mano)</t>
      </text>
    </comment>
    <comment ref="M1659" authorId="0" shapeId="0">
      <text>
        <t>Elegir el instructor de la lista</t>
      </text>
    </comment>
    <comment ref="N1659" authorId="0" shapeId="0">
      <text>
        <t/>
      </text>
    </comment>
    <comment ref="O1659" authorId="0" shapeId="0">
      <text>
        <t>Tipo de actividad (elegir de la lista si se corrige a mano)</t>
      </text>
    </comment>
    <comment ref="M1664" authorId="0" shapeId="0">
      <text>
        <t>Elegir el instructor de la lista</t>
      </text>
    </comment>
    <comment ref="N1664" authorId="0" shapeId="0">
      <text>
        <t/>
      </text>
    </comment>
    <comment ref="O1664" authorId="0" shapeId="0">
      <text>
        <t>Tipo de actividad (elegir de la lista si se corrige a mano)</t>
      </text>
    </comment>
    <comment ref="M1669" authorId="0" shapeId="0">
      <text>
        <t>Elegir el instructor de la lista</t>
      </text>
    </comment>
    <comment ref="N1669" authorId="0" shapeId="0">
      <text>
        <t/>
      </text>
    </comment>
    <comment ref="O1669" authorId="0" shapeId="0">
      <text>
        <t>Tipo de actividad (elegir de la lista si se corrige a mano)</t>
      </text>
    </comment>
    <comment ref="M1674" authorId="0" shapeId="0">
      <text>
        <t>Elegir el instructor de la lista</t>
      </text>
    </comment>
    <comment ref="N1674" authorId="0" shapeId="0">
      <text>
        <t/>
      </text>
    </comment>
    <comment ref="O1674" authorId="0" shapeId="0">
      <text>
        <t>Tipo de actividad (elegir de la lista si se corrige a mano)</t>
      </text>
    </comment>
    <comment ref="M1681" authorId="0" shapeId="0">
      <text>
        <t>Elegir el instructor de la lista</t>
      </text>
    </comment>
    <comment ref="N1681" authorId="0" shapeId="0">
      <text>
        <t/>
      </text>
    </comment>
    <comment ref="O1681" authorId="0" shapeId="0">
      <text>
        <t>Tipo de actividad (elegir de la lista si se corrige a mano)</t>
      </text>
    </comment>
    <comment ref="M1686" authorId="0" shapeId="0">
      <text>
        <t>Elegir el instructor de la lista</t>
      </text>
    </comment>
    <comment ref="N1686" authorId="0" shapeId="0">
      <text>
        <t/>
      </text>
    </comment>
    <comment ref="O1686" authorId="0" shapeId="0">
      <text>
        <t>Tipo de actividad (elegir de la lista si se corrige a mano)</t>
      </text>
    </comment>
    <comment ref="M1691" authorId="0" shapeId="0">
      <text>
        <t>Elegir el instructor de la lista</t>
      </text>
    </comment>
    <comment ref="N1691" authorId="0" shapeId="0">
      <text>
        <t/>
      </text>
    </comment>
    <comment ref="O1691" authorId="0" shapeId="0">
      <text>
        <t>Tipo de actividad (elegir de la lista si se corrige a mano)</t>
      </text>
    </comment>
    <comment ref="M1696" authorId="0" shapeId="0">
      <text>
        <t>Elegir el instructor de la lista</t>
      </text>
    </comment>
    <comment ref="N1696" authorId="0" shapeId="0">
      <text>
        <t/>
      </text>
    </comment>
    <comment ref="O1696" authorId="0" shapeId="0">
      <text>
        <t>Tipo de actividad (elegir de la lista si se corrige a mano)</t>
      </text>
    </comment>
    <comment ref="M1701" authorId="0" shapeId="0">
      <text>
        <t>Elegir el instructor de la lista</t>
      </text>
    </comment>
    <comment ref="N1701" authorId="0" shapeId="0">
      <text>
        <t/>
      </text>
    </comment>
    <comment ref="O1701" authorId="0" shapeId="0">
      <text>
        <t>Tipo de actividad (elegir de la lista si se corrige a mano)</t>
      </text>
    </comment>
    <comment ref="M1708" authorId="0" shapeId="0">
      <text>
        <t>Elegir el instructor de la lista</t>
      </text>
    </comment>
    <comment ref="N1708" authorId="0" shapeId="0">
      <text>
        <t/>
      </text>
    </comment>
    <comment ref="O1708" authorId="0" shapeId="0">
      <text>
        <t>Tipo de actividad (elegir de la lista si se corrige a mano)</t>
      </text>
    </comment>
    <comment ref="M1715" authorId="0" shapeId="0">
      <text>
        <t>Elegir el instructor de la lista</t>
      </text>
    </comment>
    <comment ref="N1715" authorId="0" shapeId="0">
      <text>
        <t/>
      </text>
    </comment>
    <comment ref="O1715" authorId="0" shapeId="0">
      <text>
        <t>Tipo de actividad (elegir de la lista si se corrige a mano)</t>
      </text>
    </comment>
    <comment ref="M1720" authorId="0" shapeId="0">
      <text>
        <t>Elegir el instructor de la lista</t>
      </text>
    </comment>
    <comment ref="N1720" authorId="0" shapeId="0">
      <text>
        <t/>
      </text>
    </comment>
    <comment ref="O1720" authorId="0" shapeId="0">
      <text>
        <t>Tipo de actividad (elegir de la lista si se corrige a mano)</t>
      </text>
    </comment>
    <comment ref="M1725" authorId="0" shapeId="0">
      <text>
        <t>Elegir el instructor de la lista</t>
      </text>
    </comment>
    <comment ref="N1725" authorId="0" shapeId="0">
      <text>
        <t/>
      </text>
    </comment>
    <comment ref="O1725" authorId="0" shapeId="0">
      <text>
        <t>Tipo de actividad (elegir de la lista si se corrige a mano)</t>
      </text>
    </comment>
    <comment ref="M1730" authorId="0" shapeId="0">
      <text>
        <t>Elegir el instructor de la lista</t>
      </text>
    </comment>
    <comment ref="N1730" authorId="0" shapeId="0">
      <text>
        <t/>
      </text>
    </comment>
    <comment ref="O1730" authorId="0" shapeId="0">
      <text>
        <t>Tipo de actividad (elegir de la lista si se corrige a mano)</t>
      </text>
    </comment>
    <comment ref="M1735" authorId="0" shapeId="0">
      <text>
        <t>Elegir el instructor de la lista</t>
      </text>
    </comment>
    <comment ref="N1735" authorId="0" shapeId="0">
      <text>
        <t/>
      </text>
    </comment>
    <comment ref="O1735" authorId="0" shapeId="0">
      <text>
        <t>Tipo de actividad (elegir de la lista si se corrige a mano)</t>
      </text>
    </comment>
    <comment ref="M1740" authorId="0" shapeId="0">
      <text>
        <t>Elegir el instructor de la lista</t>
      </text>
    </comment>
    <comment ref="N1740" authorId="0" shapeId="0">
      <text>
        <t/>
      </text>
    </comment>
    <comment ref="O1740" authorId="0" shapeId="0">
      <text>
        <t>Tipo de actividad (elegir de la lista si se corrige a mano)</t>
      </text>
    </comment>
    <comment ref="M1745" authorId="0" shapeId="0">
      <text>
        <t>Elegir el instructor de la lista</t>
      </text>
    </comment>
    <comment ref="N1745" authorId="0" shapeId="0">
      <text>
        <t/>
      </text>
    </comment>
    <comment ref="O1745" authorId="0" shapeId="0">
      <text>
        <t>Tipo de actividad (elegir de la lista si se corrige a mano)</t>
      </text>
    </comment>
    <comment ref="M1750" authorId="0" shapeId="0">
      <text>
        <t>Elegir el instructor de la lista</t>
      </text>
    </comment>
    <comment ref="N1750" authorId="0" shapeId="0">
      <text>
        <t/>
      </text>
    </comment>
    <comment ref="O1750" authorId="0" shapeId="0">
      <text>
        <t>Tipo de actividad (elegir de la lista si se corrige a mano)</t>
      </text>
    </comment>
    <comment ref="M1755" authorId="0" shapeId="0">
      <text>
        <t>Elegir el instructor de la lista</t>
      </text>
    </comment>
    <comment ref="N1755" authorId="0" shapeId="0">
      <text>
        <t/>
      </text>
    </comment>
    <comment ref="O1755" authorId="0" shapeId="0">
      <text>
        <t>Tipo de actividad (elegir de la lista si se corrige a mano)</t>
      </text>
    </comment>
    <comment ref="M1760" authorId="0" shapeId="0">
      <text>
        <t>Elegir el instructor de la lista</t>
      </text>
    </comment>
    <comment ref="N1760" authorId="0" shapeId="0">
      <text>
        <t/>
      </text>
    </comment>
    <comment ref="O1760" authorId="0" shapeId="0">
      <text>
        <t>Tipo de actividad (elegir de la lista si se corrige a mano)</t>
      </text>
    </comment>
    <comment ref="M1767" authorId="0" shapeId="0">
      <text>
        <t>Elegir el instructor de la lista</t>
      </text>
    </comment>
    <comment ref="N1767" authorId="0" shapeId="0">
      <text>
        <t/>
      </text>
    </comment>
    <comment ref="O1767" authorId="0" shapeId="0">
      <text>
        <t>Tipo de actividad (elegir de la lista si se corrige a mano)</t>
      </text>
    </comment>
    <comment ref="M1774" authorId="0" shapeId="0">
      <text>
        <t>Elegir el instructor de la lista</t>
      </text>
    </comment>
    <comment ref="N1774" authorId="0" shapeId="0">
      <text>
        <t/>
      </text>
    </comment>
    <comment ref="O1774" authorId="0" shapeId="0">
      <text>
        <t>Tipo de actividad (elegir de la lista si se corrige a mano)</t>
      </text>
    </comment>
    <comment ref="M1779" authorId="0" shapeId="0">
      <text>
        <t>Elegir el instructor de la lista</t>
      </text>
    </comment>
    <comment ref="N1779" authorId="0" shapeId="0">
      <text>
        <t/>
      </text>
    </comment>
    <comment ref="O1779" authorId="0" shapeId="0">
      <text>
        <t>Tipo de actividad (elegir de la lista si se corrige a mano)</t>
      </text>
    </comment>
    <comment ref="M1786" authorId="0" shapeId="0">
      <text>
        <t>Elegir el instructor de la lista</t>
      </text>
    </comment>
    <comment ref="N1786" authorId="0" shapeId="0">
      <text>
        <t/>
      </text>
    </comment>
    <comment ref="O1786" authorId="0" shapeId="0">
      <text>
        <t>Tipo de actividad (elegir de la lista si se corrige a mano)</t>
      </text>
    </comment>
    <comment ref="M1791" authorId="0" shapeId="0">
      <text>
        <t>Elegir el instructor de la lista</t>
      </text>
    </comment>
    <comment ref="N1791" authorId="0" shapeId="0">
      <text>
        <t/>
      </text>
    </comment>
    <comment ref="O1791" authorId="0" shapeId="0">
      <text>
        <t>Tipo de actividad (elegir de la lista si se corrige a mano)</t>
      </text>
    </comment>
    <comment ref="M1796" authorId="0" shapeId="0">
      <text>
        <t>Elegir el instructor de la lista</t>
      </text>
    </comment>
    <comment ref="N1796" authorId="0" shapeId="0">
      <text>
        <t/>
      </text>
    </comment>
    <comment ref="O1796" authorId="0" shapeId="0">
      <text>
        <t>Tipo de actividad (elegir de la lista si se corrige a mano)</t>
      </text>
    </comment>
    <comment ref="M1803" authorId="0" shapeId="0">
      <text>
        <t>Elegir el instructor de la lista</t>
      </text>
    </comment>
    <comment ref="N1803" authorId="0" shapeId="0">
      <text>
        <t/>
      </text>
    </comment>
    <comment ref="O1803" authorId="0" shapeId="0">
      <text>
        <t>Tipo de actividad (elegir de la lista si se corrige a mano)</t>
      </text>
    </comment>
    <comment ref="M1808" authorId="0" shapeId="0">
      <text>
        <t>Elegir el instructor de la lista</t>
      </text>
    </comment>
    <comment ref="N1808" authorId="0" shapeId="0">
      <text>
        <t/>
      </text>
    </comment>
    <comment ref="O1808" authorId="0" shapeId="0">
      <text>
        <t>Tipo de actividad (elegir de la lista si se corrige a mano)</t>
      </text>
    </comment>
    <comment ref="M1813" authorId="0" shapeId="0">
      <text>
        <t>Elegir el instructor de la lista</t>
      </text>
    </comment>
    <comment ref="N1813" authorId="0" shapeId="0">
      <text>
        <t/>
      </text>
    </comment>
    <comment ref="O1813" authorId="0" shapeId="0">
      <text>
        <t>Tipo de actividad (elegir de la lista si se corrige a mano)</t>
      </text>
    </comment>
    <comment ref="M1818" authorId="0" shapeId="0">
      <text>
        <t>Elegir el instructor de la lista</t>
      </text>
    </comment>
    <comment ref="N1818" authorId="0" shapeId="0">
      <text>
        <t/>
      </text>
    </comment>
    <comment ref="O1818" authorId="0" shapeId="0">
      <text>
        <t>Tipo de actividad (elegir de la lista si se corrige a mano)</t>
      </text>
    </comment>
    <comment ref="M1823" authorId="0" shapeId="0">
      <text>
        <t>Elegir el instructor de la lista</t>
      </text>
    </comment>
    <comment ref="N1823" authorId="0" shapeId="0">
      <text>
        <t/>
      </text>
    </comment>
    <comment ref="O1823" authorId="0" shapeId="0">
      <text>
        <t>Tipo de actividad (elegir de la lista si se corrige a mano)</t>
      </text>
    </comment>
    <comment ref="M1828" authorId="0" shapeId="0">
      <text>
        <t>Elegir el instructor de la lista</t>
      </text>
    </comment>
    <comment ref="N1828" authorId="0" shapeId="0">
      <text>
        <t/>
      </text>
    </comment>
    <comment ref="O1828" authorId="0" shapeId="0">
      <text>
        <t>Tipo de actividad (elegir de la lista si se corrige a mano)</t>
      </text>
    </comment>
    <comment ref="M1833" authorId="0" shapeId="0">
      <text>
        <t>Elegir el instructor de la lista</t>
      </text>
    </comment>
    <comment ref="N1833" authorId="0" shapeId="0">
      <text>
        <t/>
      </text>
    </comment>
    <comment ref="O1833" authorId="0" shapeId="0">
      <text>
        <t>Tipo de actividad (elegir de la lista si se corrige a mano)</t>
      </text>
    </comment>
    <comment ref="M1838" authorId="0" shapeId="0">
      <text>
        <t>Elegir el instructor de la lista</t>
      </text>
    </comment>
    <comment ref="N1838" authorId="0" shapeId="0">
      <text>
        <t/>
      </text>
    </comment>
    <comment ref="O1838" authorId="0" shapeId="0">
      <text>
        <t>Tipo de actividad (elegir de la lista si se corrige a mano)</t>
      </text>
    </comment>
    <comment ref="M1843" authorId="0" shapeId="0">
      <text>
        <t>Elegir el instructor de la lista</t>
      </text>
    </comment>
    <comment ref="N1843" authorId="0" shapeId="0">
      <text>
        <t/>
      </text>
    </comment>
    <comment ref="O1843" authorId="0" shapeId="0">
      <text>
        <t>Tipo de actividad (elegir de la lista si se corrige a mano)</t>
      </text>
    </comment>
    <comment ref="M1848" authorId="0" shapeId="0">
      <text>
        <t>Elegir el instructor de la lista</t>
      </text>
    </comment>
    <comment ref="N1848" authorId="0" shapeId="0">
      <text>
        <t/>
      </text>
    </comment>
    <comment ref="O1848" authorId="0" shapeId="0">
      <text>
        <t>Tipo de actividad (elegir de la lista si se corrige a mano)</t>
      </text>
    </comment>
    <comment ref="M1853" authorId="0" shapeId="0">
      <text>
        <t>Elegir el instructor de la lista</t>
      </text>
    </comment>
    <comment ref="N1853" authorId="0" shapeId="0">
      <text>
        <t/>
      </text>
    </comment>
    <comment ref="O1853" authorId="0" shapeId="0">
      <text>
        <t>Tipo de actividad (elegir de la lista si se corrige a mano)</t>
      </text>
    </comment>
    <comment ref="M1858" authorId="0" shapeId="0">
      <text>
        <t>Elegir el instructor de la lista</t>
      </text>
    </comment>
    <comment ref="N1858" authorId="0" shapeId="0">
      <text>
        <t/>
      </text>
    </comment>
    <comment ref="O1858" authorId="0" shapeId="0">
      <text>
        <t>Tipo de actividad (elegir de la lista si se corrige a mano)</t>
      </text>
    </comment>
    <comment ref="M1865" authorId="0" shapeId="0">
      <text>
        <t>Elegir el instructor de la lista</t>
      </text>
    </comment>
    <comment ref="N1865" authorId="0" shapeId="0">
      <text>
        <t/>
      </text>
    </comment>
    <comment ref="O1865" authorId="0" shapeId="0">
      <text>
        <t>Tipo de actividad (elegir de la lista si se corrige a mano)</t>
      </text>
    </comment>
    <comment ref="M1870" authorId="0" shapeId="0">
      <text>
        <t>Elegir el instructor de la lista</t>
      </text>
    </comment>
    <comment ref="N1870" authorId="0" shapeId="0">
      <text>
        <t/>
      </text>
    </comment>
    <comment ref="O1870" authorId="0" shapeId="0">
      <text>
        <t>Tipo de actividad (elegir de la lista si se corrige a mano)</t>
      </text>
    </comment>
    <comment ref="M1875" authorId="0" shapeId="0">
      <text>
        <t>Elegir el instructor de la lista</t>
      </text>
    </comment>
    <comment ref="N1875" authorId="0" shapeId="0">
      <text>
        <t/>
      </text>
    </comment>
    <comment ref="O1875" authorId="0" shapeId="0">
      <text>
        <t>Tipo de actividad (elegir de la lista si se corrige a mano)</t>
      </text>
    </comment>
    <comment ref="M1882" authorId="0" shapeId="0">
      <text>
        <t>Elegir el instructor de la lista</t>
      </text>
    </comment>
    <comment ref="N1882" authorId="0" shapeId="0">
      <text>
        <t/>
      </text>
    </comment>
    <comment ref="O1882" authorId="0" shapeId="0">
      <text>
        <t>Tipo de actividad (elegir de la lista si se corrige a mano)</t>
      </text>
    </comment>
    <comment ref="M1887" authorId="0" shapeId="0">
      <text>
        <t>Elegir el instructor de la lista</t>
      </text>
    </comment>
    <comment ref="N1887" authorId="0" shapeId="0">
      <text>
        <t/>
      </text>
    </comment>
    <comment ref="O1887" authorId="0" shapeId="0">
      <text>
        <t>Tipo de actividad (elegir de la lista si se corrige a mano)</t>
      </text>
    </comment>
    <comment ref="M1894" authorId="0" shapeId="0">
      <text>
        <t>Elegir el instructor de la lista</t>
      </text>
    </comment>
    <comment ref="N1894" authorId="0" shapeId="0">
      <text>
        <t/>
      </text>
    </comment>
    <comment ref="O1894" authorId="0" shapeId="0">
      <text>
        <t>Tipo de actividad (elegir de la lista si se corrige a mano)</t>
      </text>
    </comment>
    <comment ref="M1899" authorId="0" shapeId="0">
      <text>
        <t>Elegir el instructor de la lista</t>
      </text>
    </comment>
    <comment ref="N1899" authorId="0" shapeId="0">
      <text>
        <t/>
      </text>
    </comment>
    <comment ref="O1899" authorId="0" shapeId="0">
      <text>
        <t>Tipo de actividad (elegir de la lista si se corrige a mano)</t>
      </text>
    </comment>
    <comment ref="M1904" authorId="0" shapeId="0">
      <text>
        <t>Elegir el instructor de la lista</t>
      </text>
    </comment>
    <comment ref="N1904" authorId="0" shapeId="0">
      <text>
        <t/>
      </text>
    </comment>
    <comment ref="O1904" authorId="0" shapeId="0">
      <text>
        <t>Tipo de actividad (elegir de la lista si se corrige a mano)</t>
      </text>
    </comment>
    <comment ref="M1909" authorId="0" shapeId="0">
      <text>
        <t>Elegir el instructor de la lista</t>
      </text>
    </comment>
    <comment ref="N1909" authorId="0" shapeId="0">
      <text>
        <t/>
      </text>
    </comment>
    <comment ref="O1909" authorId="0" shapeId="0">
      <text>
        <t>Tipo de actividad (elegir de la lista si se corrige a mano)</t>
      </text>
    </comment>
    <comment ref="M1914" authorId="0" shapeId="0">
      <text>
        <t>Elegir el instructor de la lista</t>
      </text>
    </comment>
    <comment ref="N1914" authorId="0" shapeId="0">
      <text>
        <t/>
      </text>
    </comment>
    <comment ref="O1914" authorId="0" shapeId="0">
      <text>
        <t>Tipo de actividad (elegir de la lista si se corrige a mano)</t>
      </text>
    </comment>
    <comment ref="M1919" authorId="0" shapeId="0">
      <text>
        <t>Elegir el instructor de la lista</t>
      </text>
    </comment>
    <comment ref="N1919" authorId="0" shapeId="0">
      <text>
        <t/>
      </text>
    </comment>
    <comment ref="O1919" authorId="0" shapeId="0">
      <text>
        <t>Tipo de actividad (elegir de la lista si se corrige a mano)</t>
      </text>
    </comment>
    <comment ref="M1924" authorId="0" shapeId="0">
      <text>
        <t>Elegir el instructor de la lista</t>
      </text>
    </comment>
    <comment ref="N1924" authorId="0" shapeId="0">
      <text>
        <t/>
      </text>
    </comment>
    <comment ref="O1924" authorId="0" shapeId="0">
      <text>
        <t>Tipo de actividad (elegir de la lista si se corrige a mano)</t>
      </text>
    </comment>
    <comment ref="M1929" authorId="0" shapeId="0">
      <text>
        <t>Elegir el instructor de la lista</t>
      </text>
    </comment>
    <comment ref="N1929" authorId="0" shapeId="0">
      <text>
        <t/>
      </text>
    </comment>
    <comment ref="O1929" authorId="0" shapeId="0">
      <text>
        <t>Tipo de actividad (elegir de la lista si se corrige a mano)</t>
      </text>
    </comment>
    <comment ref="M1934" authorId="0" shapeId="0">
      <text>
        <t>Elegir el instructor de la lista</t>
      </text>
    </comment>
    <comment ref="N1934" authorId="0" shapeId="0">
      <text>
        <t/>
      </text>
    </comment>
    <comment ref="O1934" authorId="0" shapeId="0">
      <text>
        <t>Tipo de actividad (elegir de la lista si se corrige a mano)</t>
      </text>
    </comment>
    <comment ref="M1939" authorId="0" shapeId="0">
      <text>
        <t>Elegir el instructor de la lista</t>
      </text>
    </comment>
    <comment ref="N1939" authorId="0" shapeId="0">
      <text>
        <t/>
      </text>
    </comment>
    <comment ref="O1939" authorId="0" shapeId="0">
      <text>
        <t>Tipo de actividad (elegir de la lista si se corrige a mano)</t>
      </text>
    </comment>
    <comment ref="M1944" authorId="0" shapeId="0">
      <text>
        <t>Elegir el instructor de la lista</t>
      </text>
    </comment>
    <comment ref="N1944" authorId="0" shapeId="0">
      <text>
        <t/>
      </text>
    </comment>
    <comment ref="O1944" authorId="0" shapeId="0">
      <text>
        <t>Tipo de actividad (elegir de la lista si se corrige a mano)</t>
      </text>
    </comment>
    <comment ref="M1949" authorId="0" shapeId="0">
      <text>
        <t>Elegir el instructor de la lista</t>
      </text>
    </comment>
    <comment ref="N1949" authorId="0" shapeId="0">
      <text>
        <t/>
      </text>
    </comment>
    <comment ref="O1949" authorId="0" shapeId="0">
      <text>
        <t>Tipo de actividad (elegir de la lista si se corrige a mano)</t>
      </text>
    </comment>
    <comment ref="M1954" authorId="0" shapeId="0">
      <text>
        <t>Elegir el instructor de la lista</t>
      </text>
    </comment>
    <comment ref="N1954" authorId="0" shapeId="0">
      <text>
        <t/>
      </text>
    </comment>
    <comment ref="O1954" authorId="0" shapeId="0">
      <text>
        <t>Tipo de actividad (elegir de la lista si se corrige a mano)</t>
      </text>
    </comment>
    <comment ref="M1961" authorId="0" shapeId="0">
      <text>
        <t>Elegir el instructor de la lista</t>
      </text>
    </comment>
    <comment ref="N1961" authorId="0" shapeId="0">
      <text>
        <t/>
      </text>
    </comment>
    <comment ref="O1961" authorId="0" shapeId="0">
      <text>
        <t>Tipo de actividad (elegir de la lista si se corrige a mano)</t>
      </text>
    </comment>
    <comment ref="M1968" authorId="0" shapeId="0">
      <text>
        <t>Elegir el instructor de la lista</t>
      </text>
    </comment>
    <comment ref="N1968" authorId="0" shapeId="0">
      <text>
        <t/>
      </text>
    </comment>
    <comment ref="O1968" authorId="0" shapeId="0">
      <text>
        <t>Tipo de actividad (elegir de la lista si se corrige a mano)</t>
      </text>
    </comment>
    <comment ref="M1975" authorId="0" shapeId="0">
      <text>
        <t>Elegir el instructor de la lista</t>
      </text>
    </comment>
    <comment ref="N1975" authorId="0" shapeId="0">
      <text>
        <t/>
      </text>
    </comment>
    <comment ref="O1975" authorId="0" shapeId="0">
      <text>
        <t>Tipo de actividad (elegir de la lista si se corrige a mano)</t>
      </text>
    </comment>
    <comment ref="M1980" authorId="0" shapeId="0">
      <text>
        <t>Elegir el instructor de la lista</t>
      </text>
    </comment>
    <comment ref="N1980" authorId="0" shapeId="0">
      <text>
        <t/>
      </text>
    </comment>
    <comment ref="O1980" authorId="0" shapeId="0">
      <text>
        <t>Tipo de actividad (elegir de la lista si se corrige a mano)</t>
      </text>
    </comment>
    <comment ref="M1985" authorId="0" shapeId="0">
      <text>
        <t>Elegir el instructor de la lista</t>
      </text>
    </comment>
    <comment ref="N1985" authorId="0" shapeId="0">
      <text>
        <t/>
      </text>
    </comment>
    <comment ref="O1985" authorId="0" shapeId="0">
      <text>
        <t>Tipo de actividad (elegir de la lista si se corrige a mano)</t>
      </text>
    </comment>
    <comment ref="M1990" authorId="0" shapeId="0">
      <text>
        <t>Elegir el instructor de la lista</t>
      </text>
    </comment>
    <comment ref="N1990" authorId="0" shapeId="0">
      <text>
        <t/>
      </text>
    </comment>
    <comment ref="O1990" authorId="0" shapeId="0">
      <text>
        <t>Tipo de actividad (elegir de la lista si se corrige a mano)</t>
      </text>
    </comment>
    <comment ref="M1995" authorId="0" shapeId="0">
      <text>
        <t>Elegir el instructor de la lista</t>
      </text>
    </comment>
    <comment ref="N1995" authorId="0" shapeId="0">
      <text>
        <t/>
      </text>
    </comment>
    <comment ref="O1995" authorId="0" shapeId="0">
      <text>
        <t>Tipo de actividad (elegir de la lista si se corrige a mano)</t>
      </text>
    </comment>
    <comment ref="M2000" authorId="0" shapeId="0">
      <text>
        <t>Elegir el instructor de la lista</t>
      </text>
    </comment>
    <comment ref="N2000" authorId="0" shapeId="0">
      <text>
        <t/>
      </text>
    </comment>
    <comment ref="O2000" authorId="0" shapeId="0">
      <text>
        <t>Tipo de actividad (elegir de la lista si se corrige a mano)</t>
      </text>
    </comment>
    <comment ref="M2005" authorId="0" shapeId="0">
      <text>
        <t>Elegir el instructor de la lista</t>
      </text>
    </comment>
    <comment ref="N2005" authorId="0" shapeId="0">
      <text>
        <t/>
      </text>
    </comment>
    <comment ref="O2005" authorId="0" shapeId="0">
      <text>
        <t>Tipo de actividad (elegir de la lista si se corrige a mano)</t>
      </text>
    </comment>
    <comment ref="M2010" authorId="0" shapeId="0">
      <text>
        <t>Elegir el instructor de la lista</t>
      </text>
    </comment>
    <comment ref="N2010" authorId="0" shapeId="0">
      <text>
        <t/>
      </text>
    </comment>
    <comment ref="O2010" authorId="0" shapeId="0">
      <text>
        <t>Tipo de actividad (elegir de la lista si se corrige a mano)</t>
      </text>
    </comment>
    <comment ref="M2015" authorId="0" shapeId="0">
      <text>
        <t>Elegir el instructor de la lista</t>
      </text>
    </comment>
    <comment ref="N2015" authorId="0" shapeId="0">
      <text>
        <t/>
      </text>
    </comment>
    <comment ref="O2015" authorId="0" shapeId="0">
      <text>
        <t>Tipo de actividad (elegir de la lista si se corrige a mano)</t>
      </text>
    </comment>
    <comment ref="M2020" authorId="0" shapeId="0">
      <text>
        <t>Elegir el instructor de la lista</t>
      </text>
    </comment>
    <comment ref="N2020" authorId="0" shapeId="0">
      <text>
        <t/>
      </text>
    </comment>
    <comment ref="O2020" authorId="0" shapeId="0">
      <text>
        <t>Tipo de actividad (elegir de la lista si se corrige a mano)</t>
      </text>
    </comment>
    <comment ref="M2025" authorId="0" shapeId="0">
      <text>
        <t>Elegir el instructor de la lista</t>
      </text>
    </comment>
    <comment ref="N2025" authorId="0" shapeId="0">
      <text>
        <t/>
      </text>
    </comment>
    <comment ref="O2025" authorId="0" shapeId="0">
      <text>
        <t>Tipo de actividad (elegir de la lista si se corrige a mano)</t>
      </text>
    </comment>
    <comment ref="M2032" authorId="0" shapeId="0">
      <text>
        <t>Elegir el instructor de la lista</t>
      </text>
    </comment>
    <comment ref="N2032" authorId="0" shapeId="0">
      <text>
        <t/>
      </text>
    </comment>
    <comment ref="O2032" authorId="0" shapeId="0">
      <text>
        <t>Tipo de actividad (elegir de la lista si se corrige a mano)</t>
      </text>
    </comment>
    <comment ref="M2039" authorId="0" shapeId="0">
      <text>
        <t>Elegir el instructor de la lista</t>
      </text>
    </comment>
    <comment ref="N2039" authorId="0" shapeId="0">
      <text>
        <t/>
      </text>
    </comment>
    <comment ref="O2039" authorId="0" shapeId="0">
      <text>
        <t>Tipo de actividad (elegir de la lista si se corrige a mano)</t>
      </text>
    </comment>
    <comment ref="M2046" authorId="0" shapeId="0">
      <text>
        <t>Elegir el instructor de la lista</t>
      </text>
    </comment>
    <comment ref="N2046" authorId="0" shapeId="0">
      <text>
        <t/>
      </text>
    </comment>
    <comment ref="O2046" authorId="0" shapeId="0">
      <text>
        <t>Tipo de actividad (elegir de la lista si se corrige a mano)</t>
      </text>
    </comment>
    <comment ref="M2053" authorId="0" shapeId="0">
      <text>
        <t>Elegir el instructor de la lista</t>
      </text>
    </comment>
    <comment ref="N2053" authorId="0" shapeId="0">
      <text>
        <t/>
      </text>
    </comment>
    <comment ref="O2053" authorId="0" shapeId="0">
      <text>
        <t>Tipo de actividad (elegir de la lista si se corrige a mano)</t>
      </text>
    </comment>
    <comment ref="M2060" authorId="0" shapeId="0">
      <text>
        <t>Elegir el instructor de la lista</t>
      </text>
    </comment>
    <comment ref="N2060" authorId="0" shapeId="0">
      <text>
        <t/>
      </text>
    </comment>
    <comment ref="O2060" authorId="0" shapeId="0">
      <text>
        <t>Tipo de actividad (elegir de la lista si se corrige a mano)</t>
      </text>
    </comment>
    <comment ref="M2065" authorId="0" shapeId="0">
      <text>
        <t>Elegir el instructor de la lista</t>
      </text>
    </comment>
    <comment ref="N2065" authorId="0" shapeId="0">
      <text>
        <t/>
      </text>
    </comment>
    <comment ref="O2065" authorId="0" shapeId="0">
      <text>
        <t>Tipo de actividad (elegir de la lista si se corrige a mano)</t>
      </text>
    </comment>
    <comment ref="M2072" authorId="0" shapeId="0">
      <text>
        <t>Elegir el instructor de la lista</t>
      </text>
    </comment>
    <comment ref="N2072" authorId="0" shapeId="0">
      <text>
        <t/>
      </text>
    </comment>
    <comment ref="O2072" authorId="0" shapeId="0">
      <text>
        <t>Tipo de actividad (elegir de la lista si se corrige a mano)</t>
      </text>
    </comment>
    <comment ref="M2079" authorId="0" shapeId="0">
      <text>
        <t>Elegir el instructor de la lista</t>
      </text>
    </comment>
    <comment ref="N2079" authorId="0" shapeId="0">
      <text>
        <t/>
      </text>
    </comment>
    <comment ref="O2079" authorId="0" shapeId="0">
      <text>
        <t>Tipo de actividad (elegir de la lista si se corrige a mano)</t>
      </text>
    </comment>
    <comment ref="M2086" authorId="0" shapeId="0">
      <text>
        <t>Elegir el instructor de la lista</t>
      </text>
    </comment>
    <comment ref="N2086" authorId="0" shapeId="0">
      <text>
        <t/>
      </text>
    </comment>
    <comment ref="O2086" authorId="0" shapeId="0">
      <text>
        <t>Tipo de actividad (elegir de la lista si se corrige a mano)</t>
      </text>
    </comment>
    <comment ref="M2091" authorId="0" shapeId="0">
      <text>
        <t>Elegir el instructor de la lista</t>
      </text>
    </comment>
    <comment ref="N2091" authorId="0" shapeId="0">
      <text>
        <t/>
      </text>
    </comment>
    <comment ref="O2091" authorId="0" shapeId="0">
      <text>
        <t>Tipo de actividad (elegir de la lista si se corrige a mano)</t>
      </text>
    </comment>
    <comment ref="M2096" authorId="0" shapeId="0">
      <text>
        <t>Elegir el instructor de la lista</t>
      </text>
    </comment>
    <comment ref="N2096" authorId="0" shapeId="0">
      <text>
        <t/>
      </text>
    </comment>
    <comment ref="O2096" authorId="0" shapeId="0">
      <text>
        <t>Tipo de actividad (elegir de la lista si se corrige a mano)</t>
      </text>
    </comment>
    <comment ref="M2103" authorId="0" shapeId="0">
      <text>
        <t>Elegir el instructor de la lista</t>
      </text>
    </comment>
    <comment ref="N2103" authorId="0" shapeId="0">
      <text>
        <t/>
      </text>
    </comment>
    <comment ref="O2103" authorId="0" shapeId="0">
      <text>
        <t>Tipo de actividad (elegir de la lista si se corrige a mano)</t>
      </text>
    </comment>
    <comment ref="M2108" authorId="0" shapeId="0">
      <text>
        <t>Elegir el instructor de la lista</t>
      </text>
    </comment>
    <comment ref="N2108" authorId="0" shapeId="0">
      <text>
        <t/>
      </text>
    </comment>
    <comment ref="O2108" authorId="0" shapeId="0">
      <text>
        <t>Tipo de actividad (elegir de la lista si se corrige a mano)</t>
      </text>
    </comment>
    <comment ref="M2113" authorId="0" shapeId="0">
      <text>
        <t>Elegir el instructor de la lista</t>
      </text>
    </comment>
    <comment ref="N2113" authorId="0" shapeId="0">
      <text>
        <t/>
      </text>
    </comment>
    <comment ref="O2113" authorId="0" shapeId="0">
      <text>
        <t>Tipo de actividad (elegir de la lista si se corrige a mano)</t>
      </text>
    </comment>
    <comment ref="M2118" authorId="0" shapeId="0">
      <text>
        <t>Elegir el instructor de la lista</t>
      </text>
    </comment>
    <comment ref="N2118" authorId="0" shapeId="0">
      <text>
        <t/>
      </text>
    </comment>
    <comment ref="O2118" authorId="0" shapeId="0">
      <text>
        <t>Tipo de actividad (elegir de la lista si se corrige a mano)</t>
      </text>
    </comment>
    <comment ref="M2123" authorId="0" shapeId="0">
      <text>
        <t>Elegir el instructor de la lista</t>
      </text>
    </comment>
    <comment ref="N2123" authorId="0" shapeId="0">
      <text>
        <t/>
      </text>
    </comment>
    <comment ref="O2123" authorId="0" shapeId="0">
      <text>
        <t>Tipo de actividad (elegir de la lista si se corrige a mano)</t>
      </text>
    </comment>
    <comment ref="M2128" authorId="0" shapeId="0">
      <text>
        <t>Elegir el instructor de la lista</t>
      </text>
    </comment>
    <comment ref="N2128" authorId="0" shapeId="0">
      <text>
        <t/>
      </text>
    </comment>
    <comment ref="O2128" authorId="0" shapeId="0">
      <text>
        <t>Tipo de actividad (elegir de la lista si se corrige a mano)</t>
      </text>
    </comment>
    <comment ref="M2133" authorId="0" shapeId="0">
      <text>
        <t>Elegir el instructor de la lista</t>
      </text>
    </comment>
    <comment ref="N2133" authorId="0" shapeId="0">
      <text>
        <t/>
      </text>
    </comment>
    <comment ref="O2133" authorId="0" shapeId="0">
      <text>
        <t>Tipo de actividad (elegir de la lista si se corrige a mano)</t>
      </text>
    </comment>
    <comment ref="M2138" authorId="0" shapeId="0">
      <text>
        <t>Elegir el instructor de la lista</t>
      </text>
    </comment>
    <comment ref="N2138" authorId="0" shapeId="0">
      <text>
        <t/>
      </text>
    </comment>
    <comment ref="O2138" authorId="0" shapeId="0">
      <text>
        <t>Tipo de actividad (elegir de la lista si se corrige a mano)</t>
      </text>
    </comment>
    <comment ref="M2145" authorId="0" shapeId="0">
      <text>
        <t>Elegir el instructor de la lista</t>
      </text>
    </comment>
    <comment ref="N2145" authorId="0" shapeId="0">
      <text>
        <t/>
      </text>
    </comment>
    <comment ref="O2145" authorId="0" shapeId="0">
      <text>
        <t>Tipo de actividad (elegir de la lista si se corrige a mano)</t>
      </text>
    </comment>
    <comment ref="M2150" authorId="0" shapeId="0">
      <text>
        <t>Elegir el instructor de la lista</t>
      </text>
    </comment>
    <comment ref="N2150" authorId="0" shapeId="0">
      <text>
        <t/>
      </text>
    </comment>
    <comment ref="O2150" authorId="0" shapeId="0">
      <text>
        <t>Tipo de actividad (elegir de la lista si se corrige a mano)</t>
      </text>
    </comment>
    <comment ref="M2157" authorId="0" shapeId="0">
      <text>
        <t>Elegir el instructor de la lista</t>
      </text>
    </comment>
    <comment ref="N2157" authorId="0" shapeId="0">
      <text>
        <t/>
      </text>
    </comment>
    <comment ref="O2157" authorId="0" shapeId="0">
      <text>
        <t>Tipo de actividad (elegir de la lista si se corrige a mano)</t>
      </text>
    </comment>
    <comment ref="M2164" authorId="0" shapeId="0">
      <text>
        <t>Elegir el instructor de la lista</t>
      </text>
    </comment>
    <comment ref="N2164" authorId="0" shapeId="0">
      <text>
        <t/>
      </text>
    </comment>
    <comment ref="O2164" authorId="0" shapeId="0">
      <text>
        <t>Tipo de actividad (elegir de la lista si se corrige a mano)</t>
      </text>
    </comment>
    <comment ref="M2169" authorId="0" shapeId="0">
      <text>
        <t>Elegir el instructor de la lista</t>
      </text>
    </comment>
    <comment ref="N2169" authorId="0" shapeId="0">
      <text>
        <t/>
      </text>
    </comment>
    <comment ref="O2169" authorId="0" shapeId="0">
      <text>
        <t>Tipo de actividad (elegir de la lista si se corrige a mano)</t>
      </text>
    </comment>
    <comment ref="M2174" authorId="0" shapeId="0">
      <text>
        <t>Elegir el instructor de la lista</t>
      </text>
    </comment>
    <comment ref="N2174" authorId="0" shapeId="0">
      <text>
        <t/>
      </text>
    </comment>
    <comment ref="O2174" authorId="0" shapeId="0">
      <text>
        <t>Tipo de actividad (elegir de la lista si se corrige a mano)</t>
      </text>
    </comment>
    <comment ref="M2179" authorId="0" shapeId="0">
      <text>
        <t>Elegir el instructor de la lista</t>
      </text>
    </comment>
    <comment ref="N2179" authorId="0" shapeId="0">
      <text>
        <t/>
      </text>
    </comment>
    <comment ref="O2179" authorId="0" shapeId="0">
      <text>
        <t>Tipo de actividad (elegir de la lista si se corrige a mano)</t>
      </text>
    </comment>
    <comment ref="M2184" authorId="0" shapeId="0">
      <text>
        <t>Elegir el instructor de la lista</t>
      </text>
    </comment>
    <comment ref="N2184" authorId="0" shapeId="0">
      <text>
        <t/>
      </text>
    </comment>
    <comment ref="O2184" authorId="0" shapeId="0">
      <text>
        <t>Tipo de actividad (elegir de la lista si se corrige a mano)</t>
      </text>
    </comment>
    <comment ref="M2189" authorId="0" shapeId="0">
      <text>
        <t>Elegir el instructor de la lista</t>
      </text>
    </comment>
    <comment ref="N2189" authorId="0" shapeId="0">
      <text>
        <t/>
      </text>
    </comment>
    <comment ref="O2189" authorId="0" shapeId="0">
      <text>
        <t>Tipo de actividad (elegir de la lista si se corrige a mano)</t>
      </text>
    </comment>
    <comment ref="M2194" authorId="0" shapeId="0">
      <text>
        <t>Elegir el instructor de la lista</t>
      </text>
    </comment>
    <comment ref="N2194" authorId="0" shapeId="0">
      <text>
        <t/>
      </text>
    </comment>
    <comment ref="O2194" authorId="0" shapeId="0">
      <text>
        <t>Tipo de actividad (elegir de la lista si se corrige a mano)</t>
      </text>
    </comment>
    <comment ref="M2199" authorId="0" shapeId="0">
      <text>
        <t>Elegir el instructor de la lista</t>
      </text>
    </comment>
    <comment ref="N2199" authorId="0" shapeId="0">
      <text>
        <t/>
      </text>
    </comment>
    <comment ref="O2199" authorId="0" shapeId="0">
      <text>
        <t>Tipo de actividad (elegir de la lista si se corrige a mano)</t>
      </text>
    </comment>
    <comment ref="M2204" authorId="0" shapeId="0">
      <text>
        <t>Elegir el instructor de la lista</t>
      </text>
    </comment>
    <comment ref="N2204" authorId="0" shapeId="0">
      <text>
        <t/>
      </text>
    </comment>
    <comment ref="O2204" authorId="0" shapeId="0">
      <text>
        <t>Tipo de actividad (elegir de la lista si se corrige a mano)</t>
      </text>
    </comment>
    <comment ref="M2209" authorId="0" shapeId="0">
      <text>
        <t>Elegir el instructor de la lista</t>
      </text>
    </comment>
    <comment ref="N2209" authorId="0" shapeId="0">
      <text>
        <t/>
      </text>
    </comment>
    <comment ref="O2209" authorId="0" shapeId="0">
      <text>
        <t>Tipo de actividad (elegir de la lista si se corrige a mano)</t>
      </text>
    </comment>
    <comment ref="M2214" authorId="0" shapeId="0">
      <text>
        <t>Elegir el instructor de la lista</t>
      </text>
    </comment>
    <comment ref="N2214" authorId="0" shapeId="0">
      <text>
        <t/>
      </text>
    </comment>
    <comment ref="O2214" authorId="0" shapeId="0">
      <text>
        <t>Tipo de actividad (elegir de la lista si se corrige a mano)</t>
      </text>
    </comment>
    <comment ref="M2219" authorId="0" shapeId="0">
      <text>
        <t>Elegir el instructor de la lista</t>
      </text>
    </comment>
    <comment ref="N2219" authorId="0" shapeId="0">
      <text>
        <t/>
      </text>
    </comment>
    <comment ref="O2219" authorId="0" shapeId="0">
      <text>
        <t>Tipo de actividad (elegir de la lista si se corrige a mano)</t>
      </text>
    </comment>
    <comment ref="M2226" authorId="0" shapeId="0">
      <text>
        <t>Elegir el instructor de la lista</t>
      </text>
    </comment>
    <comment ref="N2226" authorId="0" shapeId="0">
      <text>
        <t/>
      </text>
    </comment>
    <comment ref="O2226" authorId="0" shapeId="0">
      <text>
        <t>Tipo de actividad (elegir de la lista si se corrige a mano)</t>
      </text>
    </comment>
    <comment ref="M2231" authorId="0" shapeId="0">
      <text>
        <t>Elegir el instructor de la lista</t>
      </text>
    </comment>
    <comment ref="N2231" authorId="0" shapeId="0">
      <text>
        <t/>
      </text>
    </comment>
    <comment ref="O2231" authorId="0" shapeId="0">
      <text>
        <t>Tipo de actividad (elegir de la lista si se corrige a mano)</t>
      </text>
    </comment>
    <comment ref="M2238" authorId="0" shapeId="0">
      <text>
        <t>Elegir el instructor de la lista</t>
      </text>
    </comment>
    <comment ref="N2238" authorId="0" shapeId="0">
      <text>
        <t/>
      </text>
    </comment>
    <comment ref="O2238" authorId="0" shapeId="0">
      <text>
        <t>Tipo de actividad (elegir de la lista si se corrige a mano)</t>
      </text>
    </comment>
    <comment ref="M2245" authorId="0" shapeId="0">
      <text>
        <t>Elegir el instructor de la lista</t>
      </text>
    </comment>
    <comment ref="N2245" authorId="0" shapeId="0">
      <text>
        <t/>
      </text>
    </comment>
    <comment ref="O2245" authorId="0" shapeId="0">
      <text>
        <t>Tipo de actividad (elegir de la lista si se corrige a mano)</t>
      </text>
    </comment>
    <comment ref="M2250" authorId="0" shapeId="0">
      <text>
        <t>Elegir el instructor de la lista</t>
      </text>
    </comment>
    <comment ref="N2250" authorId="0" shapeId="0">
      <text>
        <t/>
      </text>
    </comment>
    <comment ref="O2250" authorId="0" shapeId="0">
      <text>
        <t>Tipo de actividad (elegir de la lista si se corrige a mano)</t>
      </text>
    </comment>
    <comment ref="M2255" authorId="0" shapeId="0">
      <text>
        <t>Elegir el instructor de la lista</t>
      </text>
    </comment>
    <comment ref="N2255" authorId="0" shapeId="0">
      <text>
        <t/>
      </text>
    </comment>
    <comment ref="O2255" authorId="0" shapeId="0">
      <text>
        <t>Tipo de actividad (elegir de la lista si se corrige a mano)</t>
      </text>
    </comment>
    <comment ref="M2262" authorId="0" shapeId="0">
      <text>
        <t>Elegir el instructor de la lista</t>
      </text>
    </comment>
    <comment ref="N2262" authorId="0" shapeId="0">
      <text>
        <t/>
      </text>
    </comment>
    <comment ref="O2262" authorId="0" shapeId="0">
      <text>
        <t>Tipo de actividad (elegir de la lista si se corrige a mano)</t>
      </text>
    </comment>
    <comment ref="M2267" authorId="0" shapeId="0">
      <text>
        <t>Elegir el instructor de la lista</t>
      </text>
    </comment>
    <comment ref="N2267" authorId="0" shapeId="0">
      <text>
        <t/>
      </text>
    </comment>
    <comment ref="O2267" authorId="0" shapeId="0">
      <text>
        <t>Tipo de actividad (elegir de la lista si se corrige a mano)</t>
      </text>
    </comment>
    <comment ref="M2272" authorId="0" shapeId="0">
      <text>
        <t>Elegir el instructor de la lista</t>
      </text>
    </comment>
    <comment ref="N2272" authorId="0" shapeId="0">
      <text>
        <t/>
      </text>
    </comment>
    <comment ref="O2272" authorId="0" shapeId="0">
      <text>
        <t>Tipo de actividad (elegir de la lista si se corrige a mano)</t>
      </text>
    </comment>
    <comment ref="M2277" authorId="0" shapeId="0">
      <text>
        <t>Elegir el instructor de la lista</t>
      </text>
    </comment>
    <comment ref="N2277" authorId="0" shapeId="0">
      <text>
        <t/>
      </text>
    </comment>
    <comment ref="O2277" authorId="0" shapeId="0">
      <text>
        <t>Tipo de actividad (elegir de la lista si se corrige a mano)</t>
      </text>
    </comment>
    <comment ref="M2282" authorId="0" shapeId="0">
      <text>
        <t>Elegir el instructor de la lista</t>
      </text>
    </comment>
    <comment ref="N2282" authorId="0" shapeId="0">
      <text>
        <t/>
      </text>
    </comment>
    <comment ref="O2282" authorId="0" shapeId="0">
      <text>
        <t>Tipo de actividad (elegir de la lista si se corrige a mano)</t>
      </text>
    </comment>
    <comment ref="M2287" authorId="0" shapeId="0">
      <text>
        <t>Elegir el instructor de la lista</t>
      </text>
    </comment>
    <comment ref="N2287" authorId="0" shapeId="0">
      <text>
        <t/>
      </text>
    </comment>
    <comment ref="O2287" authorId="0" shapeId="0">
      <text>
        <t>Tipo de actividad (elegir de la lista si se corrige a mano)</t>
      </text>
    </comment>
    <comment ref="M2292" authorId="0" shapeId="0">
      <text>
        <t>Elegir el instructor de la lista</t>
      </text>
    </comment>
    <comment ref="N2292" authorId="0" shapeId="0">
      <text>
        <t/>
      </text>
    </comment>
    <comment ref="O2292" authorId="0" shapeId="0">
      <text>
        <t>Tipo de actividad (elegir de la lista si se corrige a mano)</t>
      </text>
    </comment>
    <comment ref="M2297" authorId="0" shapeId="0">
      <text>
        <t>Elegir el instructor de la lista</t>
      </text>
    </comment>
    <comment ref="N2297" authorId="0" shapeId="0">
      <text>
        <t/>
      </text>
    </comment>
    <comment ref="O2297" authorId="0" shapeId="0">
      <text>
        <t>Tipo de actividad (elegir de la lista si se corrige a mano)</t>
      </text>
    </comment>
    <comment ref="M2302" authorId="0" shapeId="0">
      <text>
        <t>Elegir el instructor de la lista</t>
      </text>
    </comment>
    <comment ref="N2302" authorId="0" shapeId="0">
      <text>
        <t/>
      </text>
    </comment>
    <comment ref="O2302" authorId="0" shapeId="0">
      <text>
        <t>Tipo de actividad (elegir de la lista si se corrige a mano)</t>
      </text>
    </comment>
    <comment ref="M2307" authorId="0" shapeId="0">
      <text>
        <t>Elegir el instructor de la lista</t>
      </text>
    </comment>
    <comment ref="N2307" authorId="0" shapeId="0">
      <text>
        <t/>
      </text>
    </comment>
    <comment ref="O2307" authorId="0" shapeId="0">
      <text>
        <t>Tipo de actividad (elegir de la lista si se corrige a mano)</t>
      </text>
    </comment>
    <comment ref="M2312" authorId="0" shapeId="0">
      <text>
        <t>Elegir el instructor de la lista</t>
      </text>
    </comment>
    <comment ref="N2312" authorId="0" shapeId="0">
      <text>
        <t/>
      </text>
    </comment>
    <comment ref="O2312" authorId="0" shapeId="0">
      <text>
        <t>Tipo de actividad (elegir de la lista si se corrige a mano)</t>
      </text>
    </comment>
    <comment ref="M2317" authorId="0" shapeId="0">
      <text>
        <t>Elegir el instructor de la lista</t>
      </text>
    </comment>
    <comment ref="N2317" authorId="0" shapeId="0">
      <text>
        <t/>
      </text>
    </comment>
    <comment ref="O2317" authorId="0" shapeId="0">
      <text>
        <t>Tipo de actividad (elegir de la lista si se corrige a mano)</t>
      </text>
    </comment>
    <comment ref="M2324" authorId="0" shapeId="0">
      <text>
        <t>Elegir el instructor de la lista</t>
      </text>
    </comment>
    <comment ref="N2324" authorId="0" shapeId="0">
      <text>
        <t/>
      </text>
    </comment>
    <comment ref="O2324" authorId="0" shapeId="0">
      <text>
        <t>Tipo de actividad (elegir de la lista si se corrige a mano)</t>
      </text>
    </comment>
    <comment ref="M2331" authorId="0" shapeId="0">
      <text>
        <t>Elegir el instructor de la lista</t>
      </text>
    </comment>
    <comment ref="N2331" authorId="0" shapeId="0">
      <text>
        <t/>
      </text>
    </comment>
    <comment ref="O2331" authorId="0" shapeId="0">
      <text>
        <t>Tipo de actividad (elegir de la lista si se corrige a mano)</t>
      </text>
    </comment>
    <comment ref="M2336" authorId="0" shapeId="0">
      <text>
        <t>Elegir el instructor de la lista</t>
      </text>
    </comment>
    <comment ref="N2336" authorId="0" shapeId="0">
      <text>
        <t/>
      </text>
    </comment>
    <comment ref="O2336" authorId="0" shapeId="0">
      <text>
        <t>Tipo de actividad (elegir de la lista si se corrige a mano)</t>
      </text>
    </comment>
    <comment ref="M2341" authorId="0" shapeId="0">
      <text>
        <t>Elegir el instructor de la lista</t>
      </text>
    </comment>
    <comment ref="N2341" authorId="0" shapeId="0">
      <text>
        <t/>
      </text>
    </comment>
    <comment ref="O2341" authorId="0" shapeId="0">
      <text>
        <t>Tipo de actividad (elegir de la lista si se corrige a mano)</t>
      </text>
    </comment>
    <comment ref="M2348" authorId="0" shapeId="0">
      <text>
        <t>Elegir el instructor de la lista</t>
      </text>
    </comment>
    <comment ref="N2348" authorId="0" shapeId="0">
      <text>
        <t/>
      </text>
    </comment>
    <comment ref="O2348" authorId="0" shapeId="0">
      <text>
        <t>Tipo de actividad (elegir de la lista si se corrige a mano)</t>
      </text>
    </comment>
    <comment ref="M2353" authorId="0" shapeId="0">
      <text>
        <t>Elegir el instructor de la lista</t>
      </text>
    </comment>
    <comment ref="N2353" authorId="0" shapeId="0">
      <text>
        <t/>
      </text>
    </comment>
    <comment ref="O2353" authorId="0" shapeId="0">
      <text>
        <t>Tipo de actividad (elegir de la lista si se corrige a mano)</t>
      </text>
    </comment>
    <comment ref="M2358" authorId="0" shapeId="0">
      <text>
        <t>Elegir el instructor de la lista</t>
      </text>
    </comment>
    <comment ref="N2358" authorId="0" shapeId="0">
      <text>
        <t/>
      </text>
    </comment>
    <comment ref="O2358" authorId="0" shapeId="0">
      <text>
        <t>Tipo de actividad (elegir de la lista si se corrige a mano)</t>
      </text>
    </comment>
    <comment ref="M2363" authorId="0" shapeId="0">
      <text>
        <t>Elegir el instructor de la lista</t>
      </text>
    </comment>
    <comment ref="N2363" authorId="0" shapeId="0">
      <text>
        <t/>
      </text>
    </comment>
    <comment ref="O2363" authorId="0" shapeId="0">
      <text>
        <t>Tipo de actividad (elegir de la lista si se corrige a mano)</t>
      </text>
    </comment>
    <comment ref="M2368" authorId="0" shapeId="0">
      <text>
        <t>Elegir el instructor de la lista</t>
      </text>
    </comment>
    <comment ref="N2368" authorId="0" shapeId="0">
      <text>
        <t/>
      </text>
    </comment>
    <comment ref="O2368" authorId="0" shapeId="0">
      <text>
        <t>Tipo de actividad (elegir de la lista si se corrige a mano)</t>
      </text>
    </comment>
    <comment ref="M2373" authorId="0" shapeId="0">
      <text>
        <t>Elegir el instructor de la lista</t>
      </text>
    </comment>
    <comment ref="N2373" authorId="0" shapeId="0">
      <text>
        <t/>
      </text>
    </comment>
    <comment ref="O2373" authorId="0" shapeId="0">
      <text>
        <t>Tipo de actividad (elegir de la lista si se corrige a mano)</t>
      </text>
    </comment>
    <comment ref="M2378" authorId="0" shapeId="0">
      <text>
        <t>Elegir el instructor de la lista</t>
      </text>
    </comment>
    <comment ref="N2378" authorId="0" shapeId="0">
      <text>
        <t/>
      </text>
    </comment>
    <comment ref="O2378" authorId="0" shapeId="0">
      <text>
        <t>Tipo de actividad (elegir de la lista si se corrige a mano)</t>
      </text>
    </comment>
    <comment ref="M2383" authorId="0" shapeId="0">
      <text>
        <t>Elegir el instructor de la lista</t>
      </text>
    </comment>
    <comment ref="N2383" authorId="0" shapeId="0">
      <text>
        <t/>
      </text>
    </comment>
    <comment ref="O2383" authorId="0" shapeId="0">
      <text>
        <t>Tipo de actividad (elegir de la lista si se corrige a mano)</t>
      </text>
    </comment>
    <comment ref="M2388" authorId="0" shapeId="0">
      <text>
        <t>Elegir el instructor de la lista</t>
      </text>
    </comment>
    <comment ref="N2388" authorId="0" shapeId="0">
      <text>
        <t/>
      </text>
    </comment>
    <comment ref="O2388" authorId="0" shapeId="0">
      <text>
        <t>Tipo de actividad (elegir de la lista si se corrige a mano)</t>
      </text>
    </comment>
    <comment ref="M2395" authorId="0" shapeId="0">
      <text>
        <t>Elegir el instructor de la lista</t>
      </text>
    </comment>
    <comment ref="N2395" authorId="0" shapeId="0">
      <text>
        <t/>
      </text>
    </comment>
    <comment ref="O2395" authorId="0" shapeId="0">
      <text>
        <t>Tipo de actividad (elegir de la lista si se corrige a mano)</t>
      </text>
    </comment>
    <comment ref="M2402" authorId="0" shapeId="0">
      <text>
        <t>Elegir el instructor de la lista</t>
      </text>
    </comment>
    <comment ref="N2402" authorId="0" shapeId="0">
      <text>
        <t/>
      </text>
    </comment>
    <comment ref="O2402" authorId="0" shapeId="0">
      <text>
        <t>Tipo de actividad (elegir de la lista si se corrige a mano)</t>
      </text>
    </comment>
    <comment ref="M2409" authorId="0" shapeId="0">
      <text>
        <t>Elegir el instructor de la lista</t>
      </text>
    </comment>
    <comment ref="N2409" authorId="0" shapeId="0">
      <text>
        <t/>
      </text>
    </comment>
    <comment ref="O2409" authorId="0" shapeId="0">
      <text>
        <t>Tipo de actividad (elegir de la lista si se corrige a mano)</t>
      </text>
    </comment>
    <comment ref="M2416" authorId="0" shapeId="0">
      <text>
        <t>Elegir el instructor de la lista</t>
      </text>
    </comment>
    <comment ref="N2416" authorId="0" shapeId="0">
      <text>
        <t/>
      </text>
    </comment>
    <comment ref="O2416" authorId="0" shapeId="0">
      <text>
        <t>Tipo de actividad (elegir de la lista si se corrige a mano)</t>
      </text>
    </comment>
    <comment ref="M2421" authorId="0" shapeId="0">
      <text>
        <t>Elegir el instructor de la lista</t>
      </text>
    </comment>
    <comment ref="N2421" authorId="0" shapeId="0">
      <text>
        <t/>
      </text>
    </comment>
    <comment ref="O2421" authorId="0" shapeId="0">
      <text>
        <t>Tipo de actividad (elegir de la lista si se corrige a mano)</t>
      </text>
    </comment>
    <comment ref="M2426" authorId="0" shapeId="0">
      <text>
        <t>Elegir el instructor de la lista</t>
      </text>
    </comment>
    <comment ref="N2426" authorId="0" shapeId="0">
      <text>
        <t/>
      </text>
    </comment>
    <comment ref="O2426" authorId="0" shapeId="0">
      <text>
        <t>Tipo de actividad (elegir de la lista si se corrige a mano)</t>
      </text>
    </comment>
    <comment ref="M2431" authorId="0" shapeId="0">
      <text>
        <t>Elegir el instructor de la lista</t>
      </text>
    </comment>
    <comment ref="N2431" authorId="0" shapeId="0">
      <text>
        <t/>
      </text>
    </comment>
    <comment ref="O2431" authorId="0" shapeId="0">
      <text>
        <t>Tipo de actividad (elegir de la lista si se corrige a mano)</t>
      </text>
    </comment>
    <comment ref="M2436" authorId="0" shapeId="0">
      <text>
        <t>Elegir el instructor de la lista</t>
      </text>
    </comment>
    <comment ref="N2436" authorId="0" shapeId="0">
      <text>
        <t/>
      </text>
    </comment>
    <comment ref="O2436" authorId="0" shapeId="0">
      <text>
        <t>Tipo de actividad (elegir de la lista si se corrige a mano)</t>
      </text>
    </comment>
    <comment ref="M2441" authorId="0" shapeId="0">
      <text>
        <t>Elegir el instructor de la lista</t>
      </text>
    </comment>
    <comment ref="N2441" authorId="0" shapeId="0">
      <text>
        <t/>
      </text>
    </comment>
    <comment ref="O2441" authorId="0" shapeId="0">
      <text>
        <t>Tipo de actividad (elegir de la lista si se corrige a mano)</t>
      </text>
    </comment>
    <comment ref="M2446" authorId="0" shapeId="0">
      <text>
        <t>Elegir el instructor de la lista</t>
      </text>
    </comment>
    <comment ref="N2446" authorId="0" shapeId="0">
      <text>
        <t/>
      </text>
    </comment>
    <comment ref="O2446" authorId="0" shapeId="0">
      <text>
        <t>Tipo de actividad (elegir de la lista si se corrige a mano)</t>
      </text>
    </comment>
    <comment ref="M2451" authorId="0" shapeId="0">
      <text>
        <t>Elegir el instructor de la lista</t>
      </text>
    </comment>
    <comment ref="N2451" authorId="0" shapeId="0">
      <text>
        <t/>
      </text>
    </comment>
    <comment ref="O2451" authorId="0" shapeId="0">
      <text>
        <t>Tipo de actividad (elegir de la lista si se corrige a mano)</t>
      </text>
    </comment>
    <comment ref="M2456" authorId="0" shapeId="0">
      <text>
        <t>Elegir el instructor de la lista</t>
      </text>
    </comment>
    <comment ref="N2456" authorId="0" shapeId="0">
      <text>
        <t/>
      </text>
    </comment>
    <comment ref="O2456" authorId="0" shapeId="0">
      <text>
        <t>Tipo de actividad (elegir de la lista si se corrige a mano)</t>
      </text>
    </comment>
    <comment ref="M2461" authorId="0" shapeId="0">
      <text>
        <t>Elegir el instructor de la lista</t>
      </text>
    </comment>
    <comment ref="N2461" authorId="0" shapeId="0">
      <text>
        <t/>
      </text>
    </comment>
    <comment ref="O2461" authorId="0" shapeId="0">
      <text>
        <t>Tipo de actividad (elegir de la lista si se corrige a mano)</t>
      </text>
    </comment>
    <comment ref="M2466" authorId="0" shapeId="0">
      <text>
        <t>Elegir el instructor de la lista</t>
      </text>
    </comment>
    <comment ref="N2466" authorId="0" shapeId="0">
      <text>
        <t/>
      </text>
    </comment>
    <comment ref="O2466" authorId="0" shapeId="0">
      <text>
        <t>Tipo de actividad (elegir de la lista si se corrige a mano)</t>
      </text>
    </comment>
    <comment ref="M2471" authorId="0" shapeId="0">
      <text>
        <t>Elegir el instructor de la lista</t>
      </text>
    </comment>
    <comment ref="N2471" authorId="0" shapeId="0">
      <text>
        <t/>
      </text>
    </comment>
    <comment ref="O2471" authorId="0" shapeId="0">
      <text>
        <t>Tipo de actividad (elegir de la lista si se corrige a mano)</t>
      </text>
    </comment>
    <comment ref="M2476" authorId="0" shapeId="0">
      <text>
        <t>Elegir el instructor de la lista</t>
      </text>
    </comment>
    <comment ref="N2476" authorId="0" shapeId="0">
      <text>
        <t/>
      </text>
    </comment>
    <comment ref="O2476" authorId="0" shapeId="0">
      <text>
        <t>Tipo de actividad (elegir de la lista si se corrige a mano)</t>
      </text>
    </comment>
    <comment ref="M2481" authorId="0" shapeId="0">
      <text>
        <t>Elegir el instructor de la lista</t>
      </text>
    </comment>
    <comment ref="N2481" authorId="0" shapeId="0">
      <text>
        <t/>
      </text>
    </comment>
    <comment ref="O2481" authorId="0" shapeId="0">
      <text>
        <t>Tipo de actividad (elegir de la lista si se corrige a mano)</t>
      </text>
    </comment>
    <comment ref="M2486" authorId="0" shapeId="0">
      <text>
        <t>Elegir el instructor de la lista</t>
      </text>
    </comment>
    <comment ref="N2486" authorId="0" shapeId="0">
      <text>
        <t/>
      </text>
    </comment>
    <comment ref="O2486" authorId="0" shapeId="0">
      <text>
        <t>Tipo de actividad (elegir de la lista si se corrige a mano)</t>
      </text>
    </comment>
    <comment ref="M2491" authorId="0" shapeId="0">
      <text>
        <t>Elegir el instructor de la lista</t>
      </text>
    </comment>
    <comment ref="N2491" authorId="0" shapeId="0">
      <text>
        <t/>
      </text>
    </comment>
    <comment ref="O2491" authorId="0" shapeId="0">
      <text>
        <t>Tipo de actividad (elegir de la lista si se corrige a mano)</t>
      </text>
    </comment>
    <comment ref="M2498" authorId="0" shapeId="0">
      <text>
        <t>Elegir el instructor de la lista</t>
      </text>
    </comment>
    <comment ref="N2498" authorId="0" shapeId="0">
      <text>
        <t/>
      </text>
    </comment>
    <comment ref="O2498" authorId="0" shapeId="0">
      <text>
        <t>Tipo de actividad (elegir de la lista si se corrige a mano)</t>
      </text>
    </comment>
    <comment ref="M2503" authorId="0" shapeId="0">
      <text>
        <t>Elegir el instructor de la lista</t>
      </text>
    </comment>
    <comment ref="N2503" authorId="0" shapeId="0">
      <text>
        <t/>
      </text>
    </comment>
    <comment ref="O2503" authorId="0" shapeId="0">
      <text>
        <t>Tipo de actividad (elegir de la lista si se corrige a mano)</t>
      </text>
    </comment>
    <comment ref="M2508" authorId="0" shapeId="0">
      <text>
        <t>Elegir el instructor de la lista</t>
      </text>
    </comment>
    <comment ref="N2508" authorId="0" shapeId="0">
      <text>
        <t/>
      </text>
    </comment>
    <comment ref="O2508" authorId="0" shapeId="0">
      <text>
        <t>Tipo de actividad (elegir de la lista si se corrige a mano)</t>
      </text>
    </comment>
    <comment ref="M2515" authorId="0" shapeId="0">
      <text>
        <t>Elegir el instructor de la lista</t>
      </text>
    </comment>
    <comment ref="N2515" authorId="0" shapeId="0">
      <text>
        <t/>
      </text>
    </comment>
    <comment ref="O2515" authorId="0" shapeId="0">
      <text>
        <t>Tipo de actividad (elegir de la lista si se corrige a mano)</t>
      </text>
    </comment>
    <comment ref="M2520" authorId="0" shapeId="0">
      <text>
        <t>Elegir el instructor de la lista</t>
      </text>
    </comment>
    <comment ref="N2520" authorId="0" shapeId="0">
      <text>
        <t/>
      </text>
    </comment>
    <comment ref="O2520" authorId="0" shapeId="0">
      <text>
        <t>Tipo de actividad (elegir de la lista si se corrige a mano)</t>
      </text>
    </comment>
    <comment ref="M2525" authorId="0" shapeId="0">
      <text>
        <t>Elegir el instructor de la lista</t>
      </text>
    </comment>
    <comment ref="N2525" authorId="0" shapeId="0">
      <text>
        <t/>
      </text>
    </comment>
    <comment ref="O2525" authorId="0" shapeId="0">
      <text>
        <t>Tipo de actividad (elegir de la lista si se corrige a mano)</t>
      </text>
    </comment>
    <comment ref="M2530" authorId="0" shapeId="0">
      <text>
        <t>Elegir el instructor de la lista</t>
      </text>
    </comment>
    <comment ref="N2530" authorId="0" shapeId="0">
      <text>
        <t/>
      </text>
    </comment>
    <comment ref="O2530" authorId="0" shapeId="0">
      <text>
        <t>Tipo de actividad (elegir de la lista si se corrige a mano)</t>
      </text>
    </comment>
    <comment ref="M2535" authorId="0" shapeId="0">
      <text>
        <t>Elegir el instructor de la lista</t>
      </text>
    </comment>
    <comment ref="N2535" authorId="0" shapeId="0">
      <text>
        <t/>
      </text>
    </comment>
    <comment ref="O2535" authorId="0" shapeId="0">
      <text>
        <t>Tipo de actividad (elegir de la lista si se corrige a mano)</t>
      </text>
    </comment>
    <comment ref="M2542" authorId="0" shapeId="0">
      <text>
        <t>Elegir el instructor de la lista</t>
      </text>
    </comment>
    <comment ref="N2542" authorId="0" shapeId="0">
      <text>
        <t/>
      </text>
    </comment>
    <comment ref="O2542" authorId="0" shapeId="0">
      <text>
        <t>Tipo de actividad (elegir de la lista si se corrige a mano)</t>
      </text>
    </comment>
    <comment ref="M2547" authorId="0" shapeId="0">
      <text>
        <t>Elegir el instructor de la lista</t>
      </text>
    </comment>
    <comment ref="N2547" authorId="0" shapeId="0">
      <text>
        <t/>
      </text>
    </comment>
    <comment ref="O2547" authorId="0" shapeId="0">
      <text>
        <t>Tipo de actividad (elegir de la lista si se corrige a mano)</t>
      </text>
    </comment>
    <comment ref="M2554" authorId="0" shapeId="0">
      <text>
        <t>Elegir el instructor de la lista</t>
      </text>
    </comment>
    <comment ref="N2554" authorId="0" shapeId="0">
      <text>
        <t/>
      </text>
    </comment>
    <comment ref="O2554" authorId="0" shapeId="0">
      <text>
        <t>Tipo de actividad (elegir de la lista si se corrige a mano)</t>
      </text>
    </comment>
    <comment ref="M2559" authorId="0" shapeId="0">
      <text>
        <t>Elegir el instructor de la lista</t>
      </text>
    </comment>
    <comment ref="N2559" authorId="0" shapeId="0">
      <text>
        <t/>
      </text>
    </comment>
    <comment ref="O2559" authorId="0" shapeId="0">
      <text>
        <t>Tipo de actividad (elegir de la lista si se corrige a mano)</t>
      </text>
    </comment>
    <comment ref="M2564" authorId="0" shapeId="0">
      <text>
        <t>Elegir el instructor de la lista</t>
      </text>
    </comment>
    <comment ref="N2564" authorId="0" shapeId="0">
      <text>
        <t/>
      </text>
    </comment>
    <comment ref="O2564" authorId="0" shapeId="0">
      <text>
        <t>Tipo de actividad (elegir de la lista si se corrige a mano)</t>
      </text>
    </comment>
    <comment ref="M2569" authorId="0" shapeId="0">
      <text>
        <t>Elegir el instructor de la lista</t>
      </text>
    </comment>
    <comment ref="N2569" authorId="0" shapeId="0">
      <text>
        <t/>
      </text>
    </comment>
    <comment ref="O2569" authorId="0" shapeId="0">
      <text>
        <t>Tipo de actividad (elegir de la lista si se corrige a mano)</t>
      </text>
    </comment>
    <comment ref="M2574" authorId="0" shapeId="0">
      <text>
        <t>Elegir el instructor de la lista</t>
      </text>
    </comment>
    <comment ref="N2574" authorId="0" shapeId="0">
      <text>
        <t/>
      </text>
    </comment>
    <comment ref="O2574" authorId="0" shapeId="0">
      <text>
        <t>Tipo de actividad (elegir de la lista si se corrige a mano)</t>
      </text>
    </comment>
    <comment ref="M2579" authorId="0" shapeId="0">
      <text>
        <t>Elegir el instructor de la lista</t>
      </text>
    </comment>
    <comment ref="N2579" authorId="0" shapeId="0">
      <text>
        <t/>
      </text>
    </comment>
    <comment ref="O2579" authorId="0" shapeId="0">
      <text>
        <t>Tipo de actividad (elegir de la lista si se corrige a mano)</t>
      </text>
    </comment>
    <comment ref="M2584" authorId="0" shapeId="0">
      <text>
        <t>Elegir el instructor de la lista</t>
      </text>
    </comment>
    <comment ref="N2584" authorId="0" shapeId="0">
      <text>
        <t/>
      </text>
    </comment>
    <comment ref="O2584" authorId="0" shapeId="0">
      <text>
        <t>Tipo de actividad (elegir de la lista si se corrige a mano)</t>
      </text>
    </comment>
    <comment ref="M2591" authorId="0" shapeId="0">
      <text>
        <t>Elegir el instructor de la lista</t>
      </text>
    </comment>
    <comment ref="N2591" authorId="0" shapeId="0">
      <text>
        <t/>
      </text>
    </comment>
    <comment ref="O2591" authorId="0" shapeId="0">
      <text>
        <t>Tipo de actividad (elegir de la lista si se corrige a mano)</t>
      </text>
    </comment>
    <comment ref="M2598" authorId="0" shapeId="0">
      <text>
        <t>Elegir el instructor de la lista</t>
      </text>
    </comment>
    <comment ref="N2598" authorId="0" shapeId="0">
      <text>
        <t/>
      </text>
    </comment>
    <comment ref="O2598" authorId="0" shapeId="0">
      <text>
        <t>Tipo de actividad (elegir de la lista si se corrige a mano)</t>
      </text>
    </comment>
    <comment ref="M2603" authorId="0" shapeId="0">
      <text>
        <t>Elegir el instructor de la lista</t>
      </text>
    </comment>
    <comment ref="N2603" authorId="0" shapeId="0">
      <text>
        <t/>
      </text>
    </comment>
    <comment ref="O2603" authorId="0" shapeId="0">
      <text>
        <t>Tipo de actividad (elegir de la lista si se corrige a mano)</t>
      </text>
    </comment>
    <comment ref="M2608" authorId="0" shapeId="0">
      <text>
        <t>Elegir el instructor de la lista</t>
      </text>
    </comment>
    <comment ref="N2608" authorId="0" shapeId="0">
      <text>
        <t/>
      </text>
    </comment>
    <comment ref="O2608" authorId="0" shapeId="0">
      <text>
        <t>Tipo de actividad (elegir de la lista si se corrige a mano)</t>
      </text>
    </comment>
    <comment ref="M2615" authorId="0" shapeId="0">
      <text>
        <t>Elegir el instructor de la lista</t>
      </text>
    </comment>
    <comment ref="N2615" authorId="0" shapeId="0">
      <text>
        <t/>
      </text>
    </comment>
    <comment ref="O2615" authorId="0" shapeId="0">
      <text>
        <t>Tipo de actividad (elegir de la lista si se corrige a mano)</t>
      </text>
    </comment>
    <comment ref="M2620" authorId="0" shapeId="0">
      <text>
        <t>Elegir el instructor de la lista</t>
      </text>
    </comment>
    <comment ref="N2620" authorId="0" shapeId="0">
      <text>
        <t/>
      </text>
    </comment>
    <comment ref="O2620" authorId="0" shapeId="0">
      <text>
        <t>Tipo de actividad (elegir de la lista si se corrige a mano)</t>
      </text>
    </comment>
    <comment ref="M2625" authorId="0" shapeId="0">
      <text>
        <t>Elegir el instructor de la lista</t>
      </text>
    </comment>
    <comment ref="N2625" authorId="0" shapeId="0">
      <text>
        <t/>
      </text>
    </comment>
    <comment ref="O2625" authorId="0" shapeId="0">
      <text>
        <t>Tipo de actividad (elegir de la lista si se corrige a mano)</t>
      </text>
    </comment>
    <comment ref="M2630" authorId="0" shapeId="0">
      <text>
        <t>Elegir el instructor de la lista</t>
      </text>
    </comment>
    <comment ref="N2630" authorId="0" shapeId="0">
      <text>
        <t/>
      </text>
    </comment>
    <comment ref="O2630" authorId="0" shapeId="0">
      <text>
        <t>Tipo de actividad (elegir de la lista si se corrige a mano)</t>
      </text>
    </comment>
    <comment ref="M2637" authorId="0" shapeId="0">
      <text>
        <t>Elegir el instructor de la lista</t>
      </text>
    </comment>
    <comment ref="N2637" authorId="0" shapeId="0">
      <text>
        <t/>
      </text>
    </comment>
    <comment ref="O2637" authorId="0" shapeId="0">
      <text>
        <t>Tipo de actividad (elegir de la lista si se corrige a mano)</t>
      </text>
    </comment>
    <comment ref="M2642" authorId="0" shapeId="0">
      <text>
        <t>Elegir el instructor de la lista</t>
      </text>
    </comment>
    <comment ref="N2642" authorId="0" shapeId="0">
      <text>
        <t/>
      </text>
    </comment>
    <comment ref="O2642" authorId="0" shapeId="0">
      <text>
        <t>Tipo de actividad (elegir de la lista si se corrige a mano)</t>
      </text>
    </comment>
    <comment ref="M2647" authorId="0" shapeId="0">
      <text>
        <t>Elegir el instructor de la lista</t>
      </text>
    </comment>
    <comment ref="N2647" authorId="0" shapeId="0">
      <text>
        <t/>
      </text>
    </comment>
    <comment ref="O2647" authorId="0" shapeId="0">
      <text>
        <t>Tipo de actividad (elegir de la lista si se corrige a mano)</t>
      </text>
    </comment>
    <comment ref="M2652" authorId="0" shapeId="0">
      <text>
        <t>Elegir el instructor de la lista</t>
      </text>
    </comment>
    <comment ref="N2652" authorId="0" shapeId="0">
      <text>
        <t/>
      </text>
    </comment>
    <comment ref="O2652" authorId="0" shapeId="0">
      <text>
        <t>Tipo de actividad (elegir de la lista si se corrige a mano)</t>
      </text>
    </comment>
    <comment ref="M2657" authorId="0" shapeId="0">
      <text>
        <t>Elegir el instructor de la lista</t>
      </text>
    </comment>
    <comment ref="N2657" authorId="0" shapeId="0">
      <text>
        <t/>
      </text>
    </comment>
    <comment ref="O2657" authorId="0" shapeId="0">
      <text>
        <t>Tipo de actividad (elegir de la lista si se corrige a mano)</t>
      </text>
    </comment>
    <comment ref="M2662" authorId="0" shapeId="0">
      <text>
        <t>Elegir el instructor de la lista</t>
      </text>
    </comment>
    <comment ref="N2662" authorId="0" shapeId="0">
      <text>
        <t/>
      </text>
    </comment>
    <comment ref="O2662" authorId="0" shapeId="0">
      <text>
        <t>Tipo de actividad (elegir de la lista si se corrige a mano)</t>
      </text>
    </comment>
    <comment ref="M2667" authorId="0" shapeId="0">
      <text>
        <t>Elegir el instructor de la lista</t>
      </text>
    </comment>
    <comment ref="N2667" authorId="0" shapeId="0">
      <text>
        <t/>
      </text>
    </comment>
    <comment ref="O2667" authorId="0" shapeId="0">
      <text>
        <t>Tipo de actividad (elegir de la lista si se corrige a mano)</t>
      </text>
    </comment>
    <comment ref="M2672" authorId="0" shapeId="0">
      <text>
        <t>Elegir el instructor de la lista</t>
      </text>
    </comment>
    <comment ref="N2672" authorId="0" shapeId="0">
      <text>
        <t/>
      </text>
    </comment>
    <comment ref="O2672" authorId="0" shapeId="0">
      <text>
        <t>Tipo de actividad (elegir de la lista si se corrige a mano)</t>
      </text>
    </comment>
    <comment ref="M2677" authorId="0" shapeId="0">
      <text>
        <t>Elegir el instructor de la lista</t>
      </text>
    </comment>
    <comment ref="N2677" authorId="0" shapeId="0">
      <text>
        <t/>
      </text>
    </comment>
    <comment ref="O2677" authorId="0" shapeId="0">
      <text>
        <t>Tipo de actividad (elegir de la lista si se corrige a mano)</t>
      </text>
    </comment>
    <comment ref="M2682" authorId="0" shapeId="0">
      <text>
        <t>Elegir el instructor de la lista</t>
      </text>
    </comment>
    <comment ref="N2682" authorId="0" shapeId="0">
      <text>
        <t/>
      </text>
    </comment>
    <comment ref="O2682" authorId="0" shapeId="0">
      <text>
        <t>Tipo de actividad (elegir de la lista si se corrige a mano)</t>
      </text>
    </comment>
    <comment ref="M2689" authorId="0" shapeId="0">
      <text>
        <t>Elegir el instructor de la lista</t>
      </text>
    </comment>
    <comment ref="N2689" authorId="0" shapeId="0">
      <text>
        <t/>
      </text>
    </comment>
    <comment ref="O2689" authorId="0" shapeId="0">
      <text>
        <t>Tipo de actividad (elegir de la lista si se corrige a mano)</t>
      </text>
    </comment>
    <comment ref="M2696" authorId="0" shapeId="0">
      <text>
        <t>Elegir el instructor de la lista</t>
      </text>
    </comment>
    <comment ref="N2696" authorId="0" shapeId="0">
      <text>
        <t/>
      </text>
    </comment>
    <comment ref="O2696" authorId="0" shapeId="0">
      <text>
        <t>Tipo de actividad (elegir de la lista si se corrige a mano)</t>
      </text>
    </comment>
    <comment ref="M2703" authorId="0" shapeId="0">
      <text>
        <t>Elegir el instructor de la lista</t>
      </text>
    </comment>
    <comment ref="N2703" authorId="0" shapeId="0">
      <text>
        <t/>
      </text>
    </comment>
    <comment ref="O2703" authorId="0" shapeId="0">
      <text>
        <t>Tipo de actividad (elegir de la lista si se corrige a mano)</t>
      </text>
    </comment>
    <comment ref="M2710" authorId="0" shapeId="0">
      <text>
        <t>Elegir el instructor de la lista</t>
      </text>
    </comment>
    <comment ref="N2710" authorId="0" shapeId="0">
      <text>
        <t/>
      </text>
    </comment>
    <comment ref="O2710" authorId="0" shapeId="0">
      <text>
        <t>Tipo de actividad (elegir de la lista si se corrige a mano)</t>
      </text>
    </comment>
    <comment ref="M2715" authorId="0" shapeId="0">
      <text>
        <t>Elegir el instructor de la lista</t>
      </text>
    </comment>
    <comment ref="N2715" authorId="0" shapeId="0">
      <text>
        <t/>
      </text>
    </comment>
    <comment ref="O2715" authorId="0" shapeId="0">
      <text>
        <t>Tipo de actividad (elegir de la lista si se corrige a mano)</t>
      </text>
    </comment>
    <comment ref="M2720" authorId="0" shapeId="0">
      <text>
        <t>Elegir el instructor de la lista</t>
      </text>
    </comment>
    <comment ref="N2720" authorId="0" shapeId="0">
      <text>
        <t/>
      </text>
    </comment>
    <comment ref="O2720" authorId="0" shapeId="0">
      <text>
        <t>Tipo de actividad (elegir de la lista si se corrige a mano)</t>
      </text>
    </comment>
    <comment ref="M2725" authorId="0" shapeId="0">
      <text>
        <t>Elegir el instructor de la lista</t>
      </text>
    </comment>
    <comment ref="N2725" authorId="0" shapeId="0">
      <text>
        <t/>
      </text>
    </comment>
    <comment ref="O2725" authorId="0" shapeId="0">
      <text>
        <t>Tipo de actividad (elegir de la lista si se corrige a mano)</t>
      </text>
    </comment>
    <comment ref="M2730" authorId="0" shapeId="0">
      <text>
        <t>Elegir el instructor de la lista</t>
      </text>
    </comment>
    <comment ref="N2730" authorId="0" shapeId="0">
      <text>
        <t/>
      </text>
    </comment>
    <comment ref="O2730" authorId="0" shapeId="0">
      <text>
        <t>Tipo de actividad (elegir de la lista si se corrige a mano)</t>
      </text>
    </comment>
    <comment ref="M2735" authorId="0" shapeId="0">
      <text>
        <t>Elegir el instructor de la lista</t>
      </text>
    </comment>
    <comment ref="N2735" authorId="0" shapeId="0">
      <text>
        <t/>
      </text>
    </comment>
    <comment ref="O2735" authorId="0" shapeId="0">
      <text>
        <t>Tipo de actividad (elegir de la lista si se corrige a mano)</t>
      </text>
    </comment>
    <comment ref="M2740" authorId="0" shapeId="0">
      <text>
        <t>Elegir el instructor de la lista</t>
      </text>
    </comment>
    <comment ref="N2740" authorId="0" shapeId="0">
      <text>
        <t/>
      </text>
    </comment>
    <comment ref="O2740" authorId="0" shapeId="0">
      <text>
        <t>Tipo de actividad (elegir de la lista si se corrige a mano)</t>
      </text>
    </comment>
    <comment ref="M2745" authorId="0" shapeId="0">
      <text>
        <t>Elegir el instructor de la lista</t>
      </text>
    </comment>
    <comment ref="N2745" authorId="0" shapeId="0">
      <text>
        <t/>
      </text>
    </comment>
    <comment ref="O2745" authorId="0" shapeId="0">
      <text>
        <t>Tipo de actividad (elegir de la lista si se corrige a mano)</t>
      </text>
    </comment>
    <comment ref="M2750" authorId="0" shapeId="0">
      <text>
        <t>Elegir el instructor de la lista</t>
      </text>
    </comment>
    <comment ref="N2750" authorId="0" shapeId="0">
      <text>
        <t/>
      </text>
    </comment>
    <comment ref="O2750" authorId="0" shapeId="0">
      <text>
        <t>Tipo de actividad (elegir de la lista si se corrige a mano)</t>
      </text>
    </comment>
    <comment ref="M2755" authorId="0" shapeId="0">
      <text>
        <t>Elegir el instructor de la lista</t>
      </text>
    </comment>
    <comment ref="N2755" authorId="0" shapeId="0">
      <text>
        <t/>
      </text>
    </comment>
    <comment ref="O2755" authorId="0" shapeId="0">
      <text>
        <t>Tipo de actividad (elegir de la lista si se corrige a mano)</t>
      </text>
    </comment>
    <comment ref="M2760" authorId="0" shapeId="0">
      <text>
        <t>Elegir el instructor de la lista</t>
      </text>
    </comment>
    <comment ref="N2760" authorId="0" shapeId="0">
      <text>
        <t/>
      </text>
    </comment>
    <comment ref="O2760" authorId="0" shapeId="0">
      <text>
        <t>Tipo de actividad (elegir de la lista si se corrige a mano)</t>
      </text>
    </comment>
    <comment ref="M2765" authorId="0" shapeId="0">
      <text>
        <t>Elegir el instructor de la lista</t>
      </text>
    </comment>
    <comment ref="N2765" authorId="0" shapeId="0">
      <text>
        <t/>
      </text>
    </comment>
    <comment ref="O2765" authorId="0" shapeId="0">
      <text>
        <t>Tipo de actividad (elegir de la lista si se corrige a mano)</t>
      </text>
    </comment>
    <comment ref="M2770" authorId="0" shapeId="0">
      <text>
        <t>Elegir el instructor de la lista</t>
      </text>
    </comment>
    <comment ref="N2770" authorId="0" shapeId="0">
      <text>
        <t/>
      </text>
    </comment>
    <comment ref="O2770" authorId="0" shapeId="0">
      <text>
        <t>Tipo de actividad (elegir de la lista si se corrige a mano)</t>
      </text>
    </comment>
    <comment ref="M2775" authorId="0" shapeId="0">
      <text>
        <t>Elegir el instructor de la lista</t>
      </text>
    </comment>
    <comment ref="N2775" authorId="0" shapeId="0">
      <text>
        <t/>
      </text>
    </comment>
    <comment ref="O2775" authorId="0" shapeId="0">
      <text>
        <t>Tipo de actividad (elegir de la lista si se corrige a mano)</t>
      </text>
    </comment>
    <comment ref="M2780" authorId="0" shapeId="0">
      <text>
        <t>Elegir el instructor de la lista</t>
      </text>
    </comment>
    <comment ref="N2780" authorId="0" shapeId="0">
      <text>
        <t/>
      </text>
    </comment>
    <comment ref="O2780" authorId="0" shapeId="0">
      <text>
        <t>Tipo de actividad (elegir de la lista si se corrige a mano)</t>
      </text>
    </comment>
    <comment ref="M2785" authorId="0" shapeId="0">
      <text>
        <t>Elegir el instructor de la lista</t>
      </text>
    </comment>
    <comment ref="N2785" authorId="0" shapeId="0">
      <text>
        <t/>
      </text>
    </comment>
    <comment ref="O2785" authorId="0" shapeId="0">
      <text>
        <t>Tipo de actividad (elegir de la lista si se corrige a mano)</t>
      </text>
    </comment>
    <comment ref="M2790" authorId="0" shapeId="0">
      <text>
        <t>Elegir el instructor de la lista</t>
      </text>
    </comment>
    <comment ref="N2790" authorId="0" shapeId="0">
      <text>
        <t/>
      </text>
    </comment>
    <comment ref="O2790" authorId="0" shapeId="0">
      <text>
        <t>Tipo de actividad (elegir de la lista si se corrige a mano)</t>
      </text>
    </comment>
    <comment ref="M2795" authorId="0" shapeId="0">
      <text>
        <t>Elegir el instructor de la lista</t>
      </text>
    </comment>
    <comment ref="N2795" authorId="0" shapeId="0">
      <text>
        <t/>
      </text>
    </comment>
    <comment ref="O2795" authorId="0" shapeId="0">
      <text>
        <t>Tipo de actividad (elegir de la lista si se corrige a 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1:X279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2" max="2"/>
    <col width="11" customWidth="1" min="3" max="3"/>
    <col width="9" customWidth="1" min="4" max="4"/>
    <col width="8" customWidth="1" min="5" max="5"/>
    <col width="7" customWidth="1" min="6" max="6"/>
    <col width="7" customWidth="1" min="7" max="7"/>
    <col width="9" customWidth="1" min="8" max="8"/>
    <col width="9" customWidth="1" min="9" max="9"/>
    <col width="9" customWidth="1" min="10" max="10"/>
    <col width="9" customWidth="1" min="11" max="11"/>
    <col width="8" customWidth="1" min="12" max="12"/>
    <col width="18" customWidth="1" min="13" max="13"/>
    <col width="34" customWidth="1" min="14" max="14"/>
    <col width="26" customWidth="1" min="15" max="15"/>
    <col width="3" customWidth="1" min="16" max="16"/>
    <col width="10" customWidth="1" min="17" max="17"/>
    <col width="11" customWidth="1" min="18" max="18"/>
    <col width="9" customWidth="1" min="19" max="19"/>
    <col width="12" customWidth="1" min="20" max="20"/>
    <col width="16" customWidth="1" min="21" max="21"/>
    <col width="18" customWidth="1" min="22" max="22"/>
    <col width="24" customWidth="1" min="23" max="23"/>
    <col width="9" customWidth="1" min="24" max="24"/>
  </cols>
  <sheetData>
    <row r="1">
      <c r="B1" s="1" t="inlineStr">
        <is>
          <t>Conexión &gt; o = a 50min y &lt; a 1hr y 30min</t>
        </is>
      </c>
      <c r="D1" s="2" t="inlineStr">
        <is>
          <t>NO CONSIDERAR TRU/JUL/JAE/AYP/JAU/IQT</t>
        </is>
      </c>
      <c r="H1" s="1" t="inlineStr">
        <is>
          <t>CONSIDERAR PAIRINGS PARTIDOS LCK A320</t>
        </is>
      </c>
      <c r="K1" s="1" t="inlineStr">
        <is>
          <t>Vuelos LCK = Siempre en Flota 320</t>
        </is>
      </c>
    </row>
    <row r="2">
      <c r="B2" s="1" t="inlineStr">
        <is>
          <t>Vuelos HBT mayor a 1 hora</t>
        </is>
      </c>
      <c r="D2" s="1" t="inlineStr">
        <is>
          <t>PSV NO MAYOR A 11 HRS</t>
        </is>
      </c>
      <c r="H2" s="1" t="inlineStr">
        <is>
          <t>CONSIDERAR SIEMPRE EL PDR</t>
        </is>
      </c>
      <c r="K2" s="1" t="inlineStr">
        <is>
          <t>Vuelos iniciando más de 08:30</t>
        </is>
      </c>
    </row>
    <row r="3">
      <c r="D3" s="2" t="inlineStr">
        <is>
          <t>NO REPETIR PAIRING EN LCK</t>
        </is>
      </c>
    </row>
    <row r="6">
      <c r="Q6" s="3" t="inlineStr">
        <is>
          <t>Pairing ID</t>
        </is>
      </c>
      <c r="R6" s="3" t="inlineStr">
        <is>
          <t>Fecha</t>
        </is>
      </c>
      <c r="S6" s="3" t="inlineStr">
        <is>
          <t>DíaSem</t>
        </is>
      </c>
      <c r="T6" s="3" t="inlineStr">
        <is>
          <t>Vuelo</t>
        </is>
      </c>
      <c r="U6" s="3" t="inlineStr">
        <is>
          <t>Ruta</t>
        </is>
      </c>
      <c r="V6" s="3" t="inlineStr">
        <is>
          <t>Instructor</t>
        </is>
      </c>
      <c r="W6" s="3" t="inlineStr">
        <is>
          <t>Actividad</t>
        </is>
      </c>
      <c r="X6" s="3" t="inlineStr">
        <is>
          <t>Sub Flota</t>
        </is>
      </c>
    </row>
    <row r="8">
      <c r="B8" s="3" t="inlineStr">
        <is>
          <t>Pairing ID</t>
        </is>
      </c>
      <c r="C8" s="3" t="inlineStr">
        <is>
          <t>FECHA REAL</t>
        </is>
      </c>
      <c r="D8" s="3" t="inlineStr">
        <is>
          <t>Day of Week</t>
        </is>
      </c>
      <c r="E8" s="3" t="inlineStr">
        <is>
          <t>Flight No</t>
        </is>
      </c>
      <c r="F8" s="3" t="inlineStr">
        <is>
          <t>Dep Stn</t>
        </is>
      </c>
      <c r="G8" s="3" t="inlineStr">
        <is>
          <t>Arr Stn</t>
        </is>
      </c>
      <c r="H8" s="3" t="inlineStr">
        <is>
          <t>STD</t>
        </is>
      </c>
      <c r="I8" s="3" t="inlineStr">
        <is>
          <t>STA</t>
        </is>
      </c>
      <c r="J8" s="3" t="inlineStr">
        <is>
          <t>subflota</t>
        </is>
      </c>
      <c r="K8" s="3" t="inlineStr">
        <is>
          <t>Conexion</t>
        </is>
      </c>
      <c r="L8" s="3" t="inlineStr">
        <is>
          <t>HBT</t>
        </is>
      </c>
    </row>
    <row r="9">
      <c r="B9" s="4" t="n">
        <v>117</v>
      </c>
      <c r="C9" s="4" t="inlineStr">
        <is>
          <t>01/09/2026</t>
        </is>
      </c>
      <c r="D9" s="4" t="inlineStr">
        <is>
          <t>martes</t>
        </is>
      </c>
      <c r="E9" s="4" t="n">
        <v>2013</v>
      </c>
      <c r="F9" s="4" t="inlineStr">
        <is>
          <t>LIM</t>
        </is>
      </c>
      <c r="G9" s="4" t="inlineStr">
        <is>
          <t>CUZ</t>
        </is>
      </c>
      <c r="H9" s="4" t="inlineStr">
        <is>
          <t>08:40:00</t>
        </is>
      </c>
      <c r="I9" s="4" t="inlineStr">
        <is>
          <t>10:00:00</t>
        </is>
      </c>
      <c r="J9" s="4" t="n">
        <v>320</v>
      </c>
      <c r="L9" s="4" t="inlineStr">
        <is>
          <t>01:20:00</t>
        </is>
      </c>
      <c r="M9" s="5" t="inlineStr">
        <is>
          <t>Christian Rondon</t>
        </is>
      </c>
      <c r="N9" s="6" t="inlineStr">
        <is>
          <t>Tripulante Ejemplo 01, Tripulante Ejemplo 02, Tripulante Ejemplo 03, Tripulante Ejemplo 04</t>
        </is>
      </c>
      <c r="O9" s="5" t="inlineStr">
        <is>
          <t>LCK A320F</t>
        </is>
      </c>
      <c r="Q9" s="4">
        <f>B9</f>
        <v/>
      </c>
      <c r="R9" s="4">
        <f>C9</f>
        <v/>
      </c>
      <c r="S9" s="4">
        <f>D9</f>
        <v/>
      </c>
      <c r="T9" s="4">
        <f>E9&amp;"/"&amp;E10</f>
        <v/>
      </c>
      <c r="U9" s="4">
        <f>F9&amp;"-"&amp;G9&amp;"-"&amp;F9</f>
        <v/>
      </c>
      <c r="V9" s="4">
        <f>IF($M$9="","",$M$9)</f>
        <v/>
      </c>
      <c r="W9" s="4">
        <f>IF($O$9="","",$O$9)</f>
        <v/>
      </c>
      <c r="X9" s="4">
        <f>J9</f>
        <v/>
      </c>
    </row>
    <row r="10">
      <c r="B10" s="4" t="n">
        <v>117</v>
      </c>
      <c r="C10" s="4" t="inlineStr">
        <is>
          <t>01/09/2026</t>
        </is>
      </c>
      <c r="D10" s="4" t="inlineStr">
        <is>
          <t>martes</t>
        </is>
      </c>
      <c r="E10" s="4" t="n">
        <v>2014</v>
      </c>
      <c r="F10" s="4" t="inlineStr">
        <is>
          <t>CUZ</t>
        </is>
      </c>
      <c r="G10" s="4" t="inlineStr">
        <is>
          <t>LIM</t>
        </is>
      </c>
      <c r="H10" s="4" t="inlineStr">
        <is>
          <t>10:40:00</t>
        </is>
      </c>
      <c r="I10" s="4" t="inlineStr">
        <is>
          <t>12:15:00</t>
        </is>
      </c>
      <c r="J10" s="4" t="n">
        <v>320</v>
      </c>
      <c r="K10">
        <f>TEXT(TIMEVALUE(H10)-TIMEVALUE(I9)+(TIMEVALUE(H10)&lt;TIMEVALUE(I9)),"[h]:mm")</f>
        <v/>
      </c>
      <c r="L10" s="4" t="inlineStr">
        <is>
          <t>01:35:00</t>
        </is>
      </c>
      <c r="O10">
        <f>"LIM-"&amp;G9&amp;"-LIM   LA "&amp;E9&amp;" ("&amp;LEFT(H9,5)&amp;"-"&amp;LEFT(I9,5)&amp;" hrs)  /  LA "&amp;E10&amp;" ("&amp;LEFT(H10,5)&amp;"-"&amp;LEFT(I10,5)&amp;" hrs)"</f>
        <v/>
      </c>
    </row>
    <row r="11">
      <c r="B11" s="4" t="n">
        <v>139</v>
      </c>
      <c r="C11" s="4" t="inlineStr">
        <is>
          <t>01/09/2026</t>
        </is>
      </c>
      <c r="D11" s="4" t="inlineStr">
        <is>
          <t>martes</t>
        </is>
      </c>
      <c r="E11" s="4" t="n">
        <v>2028</v>
      </c>
      <c r="F11" s="4" t="inlineStr">
        <is>
          <t>LIM</t>
        </is>
      </c>
      <c r="G11" s="4" t="inlineStr">
        <is>
          <t>CUZ</t>
        </is>
      </c>
      <c r="H11" s="4" t="inlineStr">
        <is>
          <t>13:25:00</t>
        </is>
      </c>
      <c r="I11" s="4" t="inlineStr">
        <is>
          <t>14:45:00</t>
        </is>
      </c>
      <c r="J11" s="4" t="n">
        <v>320</v>
      </c>
      <c r="K11" s="7">
        <f>TEXT(TIMEVALUE(H11)-TIMEVALUE(I10)+(TIMEVALUE(H11)&lt;TIMEVALUE(I10)),"[h]:mm")</f>
        <v/>
      </c>
      <c r="L11" s="4" t="inlineStr">
        <is>
          <t>01:20:00</t>
        </is>
      </c>
      <c r="M11">
        <f>IF($M$9="","",$M$9)</f>
        <v/>
      </c>
      <c r="O11">
        <f>IF($O$9="","",$O$9)</f>
        <v/>
      </c>
      <c r="Q11" s="4">
        <f>B11</f>
        <v/>
      </c>
      <c r="R11" s="4">
        <f>C11</f>
        <v/>
      </c>
      <c r="S11" s="4">
        <f>D11</f>
        <v/>
      </c>
      <c r="T11" s="4">
        <f>E11&amp;"/"&amp;E12</f>
        <v/>
      </c>
      <c r="U11" s="4">
        <f>F11&amp;"-"&amp;G11&amp;"-"&amp;F11</f>
        <v/>
      </c>
      <c r="V11" s="4">
        <f>IF($M$9="","",$M$9)</f>
        <v/>
      </c>
      <c r="W11" s="4">
        <f>IF($O$9="","",$O$9)</f>
        <v/>
      </c>
      <c r="X11" s="4">
        <f>J11</f>
        <v/>
      </c>
    </row>
    <row r="12">
      <c r="B12" s="4" t="n">
        <v>139</v>
      </c>
      <c r="C12" s="4" t="inlineStr">
        <is>
          <t>01/09/2026</t>
        </is>
      </c>
      <c r="D12" s="4" t="inlineStr">
        <is>
          <t>martes</t>
        </is>
      </c>
      <c r="E12" s="4" t="n">
        <v>2029</v>
      </c>
      <c r="F12" s="4" t="inlineStr">
        <is>
          <t>CUZ</t>
        </is>
      </c>
      <c r="G12" s="4" t="inlineStr">
        <is>
          <t>LIM</t>
        </is>
      </c>
      <c r="H12" s="4" t="inlineStr">
        <is>
          <t>15:30:00</t>
        </is>
      </c>
      <c r="I12" s="4" t="inlineStr">
        <is>
          <t>17:05:00</t>
        </is>
      </c>
      <c r="J12" s="4" t="n">
        <v>320</v>
      </c>
      <c r="K12">
        <f>TEXT(TIMEVALUE(H12)-TIMEVALUE(I11)+(TIMEVALUE(H12)&lt;TIMEVALUE(I11)),"[h]:mm")</f>
        <v/>
      </c>
      <c r="L12" s="4" t="inlineStr">
        <is>
          <t>01:35:00</t>
        </is>
      </c>
      <c r="O12">
        <f>"LIM-"&amp;G11&amp;"-LIM   LA "&amp;E11&amp;" ("&amp;LEFT(H11,5)&amp;"-"&amp;LEFT(I11,5)&amp;" hrs)  /  LA "&amp;E12&amp;" ("&amp;LEFT(H12,5)&amp;"-"&amp;LEFT(I12,5)&amp;" hrs)"</f>
        <v/>
      </c>
    </row>
    <row r="13">
      <c r="J13" s="8" t="inlineStr">
        <is>
          <t>PSV total:</t>
        </is>
      </c>
      <c r="K13" s="9">
        <f>TEXT(TIMEVALUE(I12)-TIMEVALUE(H9)+(I12&lt;H9),"[h]:mm")</f>
        <v/>
      </c>
    </row>
    <row r="15">
      <c r="B15" s="3" t="inlineStr">
        <is>
          <t>Pairing ID</t>
        </is>
      </c>
      <c r="C15" s="3" t="inlineStr">
        <is>
          <t>FECHA REAL</t>
        </is>
      </c>
      <c r="D15" s="3" t="inlineStr">
        <is>
          <t>Day of Week</t>
        </is>
      </c>
      <c r="E15" s="3" t="inlineStr">
        <is>
          <t>Flight No</t>
        </is>
      </c>
      <c r="F15" s="3" t="inlineStr">
        <is>
          <t>Dep Stn</t>
        </is>
      </c>
      <c r="G15" s="3" t="inlineStr">
        <is>
          <t>Arr Stn</t>
        </is>
      </c>
      <c r="H15" s="3" t="inlineStr">
        <is>
          <t>STD</t>
        </is>
      </c>
      <c r="I15" s="3" t="inlineStr">
        <is>
          <t>STA</t>
        </is>
      </c>
      <c r="J15" s="3" t="inlineStr">
        <is>
          <t>subflota</t>
        </is>
      </c>
      <c r="K15" s="3" t="inlineStr">
        <is>
          <t>Conexion</t>
        </is>
      </c>
      <c r="L15" s="3" t="inlineStr">
        <is>
          <t>HBT</t>
        </is>
      </c>
    </row>
    <row r="16">
      <c r="B16" s="4" t="n">
        <v>121</v>
      </c>
      <c r="C16" s="4" t="inlineStr">
        <is>
          <t>01/09/2026</t>
        </is>
      </c>
      <c r="D16" s="4" t="inlineStr">
        <is>
          <t>martes</t>
        </is>
      </c>
      <c r="E16" s="4" t="n">
        <v>2123</v>
      </c>
      <c r="F16" s="4" t="inlineStr">
        <is>
          <t>LIM</t>
        </is>
      </c>
      <c r="G16" s="4" t="inlineStr">
        <is>
          <t>AQP</t>
        </is>
      </c>
      <c r="H16" s="4" t="inlineStr">
        <is>
          <t>09:15:00</t>
        </is>
      </c>
      <c r="I16" s="4" t="inlineStr">
        <is>
          <t>10:45:00</t>
        </is>
      </c>
      <c r="J16" s="4" t="n">
        <v>319</v>
      </c>
      <c r="L16" s="4" t="inlineStr">
        <is>
          <t>01:30:00</t>
        </is>
      </c>
      <c r="M16" s="5" t="inlineStr">
        <is>
          <t>Fiorella Ruiz</t>
        </is>
      </c>
      <c r="N16" s="6" t="inlineStr">
        <is>
          <t>Tripulante Ejemplo 05, Tripulante Ejemplo 06, Tripulante Ejemplo 07</t>
        </is>
      </c>
      <c r="O16" s="5" t="inlineStr">
        <is>
          <t>Reentrenamiento A320F</t>
        </is>
      </c>
      <c r="Q16" s="4">
        <f>B16</f>
        <v/>
      </c>
      <c r="R16" s="4">
        <f>C16</f>
        <v/>
      </c>
      <c r="S16" s="4">
        <f>D16</f>
        <v/>
      </c>
      <c r="T16" s="4">
        <f>E16&amp;"/"&amp;E17</f>
        <v/>
      </c>
      <c r="U16" s="4">
        <f>F16&amp;"-"&amp;G16&amp;"-"&amp;F16</f>
        <v/>
      </c>
      <c r="V16" s="4">
        <f>IF($M$16="","",$M$16)</f>
        <v/>
      </c>
      <c r="W16" s="4">
        <f>IF($O$16="","",$O$16)</f>
        <v/>
      </c>
      <c r="X16" s="4">
        <f>J16</f>
        <v/>
      </c>
    </row>
    <row r="17">
      <c r="B17" s="4" t="n">
        <v>121</v>
      </c>
      <c r="C17" s="4" t="inlineStr">
        <is>
          <t>01/09/2026</t>
        </is>
      </c>
      <c r="D17" s="4" t="inlineStr">
        <is>
          <t>martes</t>
        </is>
      </c>
      <c r="E17" s="4" t="n">
        <v>2124</v>
      </c>
      <c r="F17" s="4" t="inlineStr">
        <is>
          <t>AQP</t>
        </is>
      </c>
      <c r="G17" s="4" t="inlineStr">
        <is>
          <t>LIM</t>
        </is>
      </c>
      <c r="H17" s="4" t="inlineStr">
        <is>
          <t>11:35:00</t>
        </is>
      </c>
      <c r="I17" s="4" t="inlineStr">
        <is>
          <t>13:10:00</t>
        </is>
      </c>
      <c r="J17" s="4" t="n">
        <v>319</v>
      </c>
      <c r="K17">
        <f>TEXT(TIMEVALUE(H17)-TIMEVALUE(I16)+(TIMEVALUE(H17)&lt;TIMEVALUE(I16)),"[h]:mm")</f>
        <v/>
      </c>
      <c r="L17" s="4" t="inlineStr">
        <is>
          <t>01:35:00</t>
        </is>
      </c>
      <c r="O17">
        <f>"LIM-"&amp;G16&amp;"-LIM   LA "&amp;E16&amp;" ("&amp;LEFT(H16,5)&amp;"-"&amp;LEFT(I16,5)&amp;" hrs)  /  LA "&amp;E17&amp;" ("&amp;LEFT(H17,5)&amp;"-"&amp;LEFT(I17,5)&amp;" hrs)"</f>
        <v/>
      </c>
    </row>
    <row r="18">
      <c r="B18" s="4" t="n">
        <v>142</v>
      </c>
      <c r="C18" s="4" t="inlineStr">
        <is>
          <t>01/09/2026</t>
        </is>
      </c>
      <c r="D18" s="4" t="inlineStr">
        <is>
          <t>martes</t>
        </is>
      </c>
      <c r="E18" s="4" t="n">
        <v>2295</v>
      </c>
      <c r="F18" s="4" t="inlineStr">
        <is>
          <t>LIM</t>
        </is>
      </c>
      <c r="G18" s="4" t="inlineStr">
        <is>
          <t>CJA</t>
        </is>
      </c>
      <c r="H18" s="4" t="inlineStr">
        <is>
          <t>14:10:00</t>
        </is>
      </c>
      <c r="I18" s="4" t="inlineStr">
        <is>
          <t>15:30:00</t>
        </is>
      </c>
      <c r="J18" s="4" t="n">
        <v>320</v>
      </c>
      <c r="K18" s="7">
        <f>TEXT(TIMEVALUE(H18)-TIMEVALUE(I17)+(TIMEVALUE(H18)&lt;TIMEVALUE(I17)),"[h]:mm")</f>
        <v/>
      </c>
      <c r="L18" s="4" t="inlineStr">
        <is>
          <t>01:20:00</t>
        </is>
      </c>
      <c r="M18">
        <f>IF($M$16="","",$M$16)</f>
        <v/>
      </c>
      <c r="O18">
        <f>IF($O$16="","",$O$16)</f>
        <v/>
      </c>
      <c r="Q18" s="4">
        <f>B18</f>
        <v/>
      </c>
      <c r="R18" s="4">
        <f>C18</f>
        <v/>
      </c>
      <c r="S18" s="4">
        <f>D18</f>
        <v/>
      </c>
      <c r="T18" s="4">
        <f>E18&amp;"/"&amp;E19</f>
        <v/>
      </c>
      <c r="U18" s="4">
        <f>F18&amp;"-"&amp;G18&amp;"-"&amp;F18</f>
        <v/>
      </c>
      <c r="V18" s="4">
        <f>IF($M$16="","",$M$16)</f>
        <v/>
      </c>
      <c r="W18" s="4">
        <f>IF($O$16="","",$O$16)</f>
        <v/>
      </c>
      <c r="X18" s="4">
        <f>J18</f>
        <v/>
      </c>
    </row>
    <row r="19">
      <c r="B19" s="4" t="n">
        <v>142</v>
      </c>
      <c r="C19" s="4" t="inlineStr">
        <is>
          <t>01/09/2026</t>
        </is>
      </c>
      <c r="D19" s="4" t="inlineStr">
        <is>
          <t>martes</t>
        </is>
      </c>
      <c r="E19" s="4" t="n">
        <v>2294</v>
      </c>
      <c r="F19" s="4" t="inlineStr">
        <is>
          <t>CJA</t>
        </is>
      </c>
      <c r="G19" s="4" t="inlineStr">
        <is>
          <t>LIM</t>
        </is>
      </c>
      <c r="H19" s="4" t="inlineStr">
        <is>
          <t>16:10:00</t>
        </is>
      </c>
      <c r="I19" s="4" t="inlineStr">
        <is>
          <t>17:15:00</t>
        </is>
      </c>
      <c r="J19" s="4" t="n">
        <v>320</v>
      </c>
      <c r="K19">
        <f>TEXT(TIMEVALUE(H19)-TIMEVALUE(I18)+(TIMEVALUE(H19)&lt;TIMEVALUE(I18)),"[h]:mm")</f>
        <v/>
      </c>
      <c r="L19" s="4" t="inlineStr">
        <is>
          <t>01:05:00</t>
        </is>
      </c>
      <c r="O19">
        <f>"LIM-"&amp;G18&amp;"-LIM   LA "&amp;E18&amp;" ("&amp;LEFT(H18,5)&amp;"-"&amp;LEFT(I18,5)&amp;" hrs)  /  LA "&amp;E19&amp;" ("&amp;LEFT(H19,5)&amp;"-"&amp;LEFT(I19,5)&amp;" hrs)"</f>
        <v/>
      </c>
    </row>
    <row r="20">
      <c r="J20" s="8" t="inlineStr">
        <is>
          <t>PSV total:</t>
        </is>
      </c>
      <c r="K20" s="9">
        <f>TEXT(TIMEVALUE(I19)-TIMEVALUE(H16)+(I19&lt;H16),"[h]:mm")</f>
        <v/>
      </c>
    </row>
    <row r="22">
      <c r="B22" s="3" t="inlineStr">
        <is>
          <t>Pairing ID</t>
        </is>
      </c>
      <c r="C22" s="3" t="inlineStr">
        <is>
          <t>FECHA REAL</t>
        </is>
      </c>
      <c r="D22" s="3" t="inlineStr">
        <is>
          <t>Day of Week</t>
        </is>
      </c>
      <c r="E22" s="3" t="inlineStr">
        <is>
          <t>Flight No</t>
        </is>
      </c>
      <c r="F22" s="3" t="inlineStr">
        <is>
          <t>Dep Stn</t>
        </is>
      </c>
      <c r="G22" s="3" t="inlineStr">
        <is>
          <t>Arr Stn</t>
        </is>
      </c>
      <c r="H22" s="3" t="inlineStr">
        <is>
          <t>STD</t>
        </is>
      </c>
      <c r="I22" s="3" t="inlineStr">
        <is>
          <t>STA</t>
        </is>
      </c>
      <c r="J22" s="3" t="inlineStr">
        <is>
          <t>subflota</t>
        </is>
      </c>
      <c r="K22" s="3" t="inlineStr">
        <is>
          <t>Conexion</t>
        </is>
      </c>
      <c r="L22" s="3" t="inlineStr">
        <is>
          <t>HBT</t>
        </is>
      </c>
    </row>
    <row r="23">
      <c r="B23" s="4" t="n">
        <v>127</v>
      </c>
      <c r="C23" s="4" t="inlineStr">
        <is>
          <t>01/09/2026</t>
        </is>
      </c>
      <c r="D23" s="4" t="inlineStr">
        <is>
          <t>martes</t>
        </is>
      </c>
      <c r="E23" s="4" t="n">
        <v>2019</v>
      </c>
      <c r="F23" s="4" t="inlineStr">
        <is>
          <t>LIM</t>
        </is>
      </c>
      <c r="G23" s="4" t="inlineStr">
        <is>
          <t>IQT</t>
        </is>
      </c>
      <c r="H23" s="4" t="inlineStr">
        <is>
          <t>11:35:00</t>
        </is>
      </c>
      <c r="I23" s="4" t="inlineStr">
        <is>
          <t>13:25:00</t>
        </is>
      </c>
      <c r="J23" s="4" t="n">
        <v>320</v>
      </c>
      <c r="L23" s="4" t="inlineStr">
        <is>
          <t>01:50:00</t>
        </is>
      </c>
      <c r="M23" s="5" t="inlineStr">
        <is>
          <t>Jefferson Mendez</t>
        </is>
      </c>
      <c r="N23" s="6" t="inlineStr">
        <is>
          <t>Tripulante Ejemplo 08, Tripulante Ejemplo 09, Tripulante Ejemplo 10, Tripulante Ejemplo 11</t>
        </is>
      </c>
      <c r="O23" s="5" t="inlineStr">
        <is>
          <t>Reentrenamiento A320F</t>
        </is>
      </c>
      <c r="Q23" s="4">
        <f>B23</f>
        <v/>
      </c>
      <c r="R23" s="4">
        <f>C23</f>
        <v/>
      </c>
      <c r="S23" s="4">
        <f>D23</f>
        <v/>
      </c>
      <c r="T23" s="4">
        <f>E23&amp;"/"&amp;E24</f>
        <v/>
      </c>
      <c r="U23" s="4">
        <f>F23&amp;"-"&amp;G23&amp;"-"&amp;F23</f>
        <v/>
      </c>
      <c r="V23" s="4">
        <f>IF($M$23="","",$M$23)</f>
        <v/>
      </c>
      <c r="W23" s="4">
        <f>IF($O$23="","",$O$23)</f>
        <v/>
      </c>
      <c r="X23" s="4">
        <f>J23</f>
        <v/>
      </c>
    </row>
    <row r="24">
      <c r="B24" s="4" t="n">
        <v>127</v>
      </c>
      <c r="C24" s="4" t="inlineStr">
        <is>
          <t>01/09/2026</t>
        </is>
      </c>
      <c r="D24" s="4" t="inlineStr">
        <is>
          <t>martes</t>
        </is>
      </c>
      <c r="E24" s="4" t="n">
        <v>2038</v>
      </c>
      <c r="F24" s="4" t="inlineStr">
        <is>
          <t>IQT</t>
        </is>
      </c>
      <c r="G24" s="4" t="inlineStr">
        <is>
          <t>LIM</t>
        </is>
      </c>
      <c r="H24" s="4" t="inlineStr">
        <is>
          <t>14:05:00</t>
        </is>
      </c>
      <c r="I24" s="4" t="inlineStr">
        <is>
          <t>15:55:00</t>
        </is>
      </c>
      <c r="J24" s="4" t="n">
        <v>320</v>
      </c>
      <c r="K24">
        <f>TEXT(TIMEVALUE(H24)-TIMEVALUE(I23)+(TIMEVALUE(H24)&lt;TIMEVALUE(I23)),"[h]:mm")</f>
        <v/>
      </c>
      <c r="L24" s="4" t="inlineStr">
        <is>
          <t>01:50:00</t>
        </is>
      </c>
      <c r="O24">
        <f>"LIM-"&amp;G23&amp;"-LIM   LA "&amp;E23&amp;" ("&amp;LEFT(H23,5)&amp;"-"&amp;LEFT(I23,5)&amp;" hrs)  /  LA "&amp;E24&amp;" ("&amp;LEFT(H24,5)&amp;"-"&amp;LEFT(I24,5)&amp;" hrs)"</f>
        <v/>
      </c>
    </row>
    <row r="25">
      <c r="B25" s="4" t="n">
        <v>156</v>
      </c>
      <c r="C25" s="4" t="inlineStr">
        <is>
          <t>01/09/2026</t>
        </is>
      </c>
      <c r="D25" s="4" t="inlineStr">
        <is>
          <t>martes</t>
        </is>
      </c>
      <c r="E25" s="4" t="n">
        <v>2213</v>
      </c>
      <c r="F25" s="4" t="inlineStr">
        <is>
          <t>LIM</t>
        </is>
      </c>
      <c r="G25" s="4" t="inlineStr">
        <is>
          <t>CIX</t>
        </is>
      </c>
      <c r="H25" s="4" t="inlineStr">
        <is>
          <t>17:20:00</t>
        </is>
      </c>
      <c r="I25" s="4" t="inlineStr">
        <is>
          <t>18:50:00</t>
        </is>
      </c>
      <c r="J25" s="4" t="n">
        <v>320</v>
      </c>
      <c r="K25" s="7">
        <f>TEXT(TIMEVALUE(H25)-TIMEVALUE(I24)+(TIMEVALUE(H25)&lt;TIMEVALUE(I24)),"[h]:mm")</f>
        <v/>
      </c>
      <c r="L25" s="4" t="inlineStr">
        <is>
          <t>01:30:00</t>
        </is>
      </c>
      <c r="M25">
        <f>IF($M$23="","",$M$23)</f>
        <v/>
      </c>
      <c r="O25">
        <f>IF($O$23="","",$O$23)</f>
        <v/>
      </c>
      <c r="Q25" s="4">
        <f>B25</f>
        <v/>
      </c>
      <c r="R25" s="4">
        <f>C25</f>
        <v/>
      </c>
      <c r="S25" s="4">
        <f>D25</f>
        <v/>
      </c>
      <c r="T25" s="4">
        <f>E25&amp;"/"&amp;E26</f>
        <v/>
      </c>
      <c r="U25" s="4">
        <f>F25&amp;"-"&amp;G25&amp;"-"&amp;F25</f>
        <v/>
      </c>
      <c r="V25" s="4">
        <f>IF($M$23="","",$M$23)</f>
        <v/>
      </c>
      <c r="W25" s="4">
        <f>IF($O$23="","",$O$23)</f>
        <v/>
      </c>
      <c r="X25" s="4">
        <f>J25</f>
        <v/>
      </c>
    </row>
    <row r="26">
      <c r="B26" s="4" t="n">
        <v>156</v>
      </c>
      <c r="C26" s="4" t="inlineStr">
        <is>
          <t>01/09/2026</t>
        </is>
      </c>
      <c r="D26" s="4" t="inlineStr">
        <is>
          <t>martes</t>
        </is>
      </c>
      <c r="E26" s="4" t="n">
        <v>2214</v>
      </c>
      <c r="F26" s="4" t="inlineStr">
        <is>
          <t>CIX</t>
        </is>
      </c>
      <c r="G26" s="4" t="inlineStr">
        <is>
          <t>LIM</t>
        </is>
      </c>
      <c r="H26" s="4" t="inlineStr">
        <is>
          <t>19:25:00</t>
        </is>
      </c>
      <c r="I26" s="4" t="inlineStr">
        <is>
          <t>20:40:00</t>
        </is>
      </c>
      <c r="J26" s="4" t="n">
        <v>320</v>
      </c>
      <c r="K26">
        <f>TEXT(TIMEVALUE(H26)-TIMEVALUE(I25)+(TIMEVALUE(H26)&lt;TIMEVALUE(I25)),"[h]:mm")</f>
        <v/>
      </c>
      <c r="L26" s="4" t="inlineStr">
        <is>
          <t>01:15:00</t>
        </is>
      </c>
      <c r="O26">
        <f>"LIM-"&amp;G25&amp;"-LIM   LA "&amp;E25&amp;" ("&amp;LEFT(H25,5)&amp;"-"&amp;LEFT(I25,5)&amp;" hrs)  /  LA "&amp;E26&amp;" ("&amp;LEFT(H26,5)&amp;"-"&amp;LEFT(I26,5)&amp;" hrs)"</f>
        <v/>
      </c>
    </row>
    <row r="27">
      <c r="J27" s="8" t="inlineStr">
        <is>
          <t>PSV total:</t>
        </is>
      </c>
      <c r="K27" s="9">
        <f>TEXT(TIMEVALUE(I26)-TIMEVALUE(H23)+(I26&lt;H23),"[h]:mm")</f>
        <v/>
      </c>
    </row>
    <row r="29">
      <c r="B29" s="3" t="inlineStr">
        <is>
          <t>Pairing ID</t>
        </is>
      </c>
      <c r="C29" s="3" t="inlineStr">
        <is>
          <t>FECHA REAL</t>
        </is>
      </c>
      <c r="D29" s="3" t="inlineStr">
        <is>
          <t>Day of Week</t>
        </is>
      </c>
      <c r="E29" s="3" t="inlineStr">
        <is>
          <t>Flight No</t>
        </is>
      </c>
      <c r="F29" s="3" t="inlineStr">
        <is>
          <t>Dep Stn</t>
        </is>
      </c>
      <c r="G29" s="3" t="inlineStr">
        <is>
          <t>Arr Stn</t>
        </is>
      </c>
      <c r="H29" s="3" t="inlineStr">
        <is>
          <t>STD</t>
        </is>
      </c>
      <c r="I29" s="3" t="inlineStr">
        <is>
          <t>STA</t>
        </is>
      </c>
      <c r="J29" s="3" t="inlineStr">
        <is>
          <t>subflota</t>
        </is>
      </c>
      <c r="K29" s="3" t="inlineStr">
        <is>
          <t>Conexion</t>
        </is>
      </c>
      <c r="L29" s="3" t="inlineStr">
        <is>
          <t>HBT</t>
        </is>
      </c>
    </row>
    <row r="30">
      <c r="B30" s="4" t="n">
        <v>128</v>
      </c>
      <c r="C30" s="4" t="inlineStr">
        <is>
          <t>01/09/2026</t>
        </is>
      </c>
      <c r="D30" s="4" t="inlineStr">
        <is>
          <t>martes</t>
        </is>
      </c>
      <c r="E30" s="4" t="n">
        <v>2299</v>
      </c>
      <c r="F30" s="4" t="inlineStr">
        <is>
          <t>LIM</t>
        </is>
      </c>
      <c r="G30" s="4" t="inlineStr">
        <is>
          <t>CJA</t>
        </is>
      </c>
      <c r="H30" s="4" t="inlineStr">
        <is>
          <t>11:35:00</t>
        </is>
      </c>
      <c r="I30" s="4" t="inlineStr">
        <is>
          <t>12:55:00</t>
        </is>
      </c>
      <c r="J30" s="4" t="n">
        <v>320</v>
      </c>
      <c r="L30" s="4" t="inlineStr">
        <is>
          <t>01:20:00</t>
        </is>
      </c>
      <c r="M30" s="5" t="inlineStr">
        <is>
          <t>Sebastian Correa</t>
        </is>
      </c>
      <c r="N30" s="6" t="inlineStr">
        <is>
          <t>Tripulante Ejemplo 12, Tripulante Ejemplo 13, Tripulante Ejemplo 14, Tripulante Ejemplo 15</t>
        </is>
      </c>
      <c r="O30" s="5" t="inlineStr">
        <is>
          <t>Reentrenamiento A320F</t>
        </is>
      </c>
      <c r="Q30" s="4">
        <f>B30</f>
        <v/>
      </c>
      <c r="R30" s="4">
        <f>C30</f>
        <v/>
      </c>
      <c r="S30" s="4">
        <f>D30</f>
        <v/>
      </c>
      <c r="T30" s="4">
        <f>E30&amp;"/"&amp;E31</f>
        <v/>
      </c>
      <c r="U30" s="4">
        <f>F30&amp;"-"&amp;G30&amp;"-"&amp;F30</f>
        <v/>
      </c>
      <c r="V30" s="4">
        <f>IF($M$30="","",$M$30)</f>
        <v/>
      </c>
      <c r="W30" s="4">
        <f>IF($O$30="","",$O$30)</f>
        <v/>
      </c>
      <c r="X30" s="4">
        <f>J30</f>
        <v/>
      </c>
    </row>
    <row r="31">
      <c r="B31" s="4" t="n">
        <v>128</v>
      </c>
      <c r="C31" s="4" t="inlineStr">
        <is>
          <t>01/09/2026</t>
        </is>
      </c>
      <c r="D31" s="4" t="inlineStr">
        <is>
          <t>martes</t>
        </is>
      </c>
      <c r="E31" s="4" t="n">
        <v>2298</v>
      </c>
      <c r="F31" s="4" t="inlineStr">
        <is>
          <t>CJA</t>
        </is>
      </c>
      <c r="G31" s="4" t="inlineStr">
        <is>
          <t>LIM</t>
        </is>
      </c>
      <c r="H31" s="4" t="inlineStr">
        <is>
          <t>13:40:00</t>
        </is>
      </c>
      <c r="I31" s="4" t="inlineStr">
        <is>
          <t>14:50:00</t>
        </is>
      </c>
      <c r="J31" s="4" t="n">
        <v>320</v>
      </c>
      <c r="K31">
        <f>TEXT(TIMEVALUE(H31)-TIMEVALUE(I30)+(TIMEVALUE(H31)&lt;TIMEVALUE(I30)),"[h]:mm")</f>
        <v/>
      </c>
      <c r="L31" s="4" t="inlineStr">
        <is>
          <t>01:10:00</t>
        </is>
      </c>
      <c r="O31">
        <f>"LIM-"&amp;G30&amp;"-LIM   LA "&amp;E30&amp;" ("&amp;LEFT(H30,5)&amp;"-"&amp;LEFT(I30,5)&amp;" hrs)  /  LA "&amp;E31&amp;" ("&amp;LEFT(H31,5)&amp;"-"&amp;LEFT(I31,5)&amp;" hrs)"</f>
        <v/>
      </c>
    </row>
    <row r="32">
      <c r="J32" s="8" t="inlineStr">
        <is>
          <t>PSV total:</t>
        </is>
      </c>
      <c r="K32" s="9">
        <f>TEXT(TIMEVALUE(I31)-TIMEVALUE(H30)+(I31&lt;H30),"[h]:mm")</f>
        <v/>
      </c>
    </row>
    <row r="34">
      <c r="B34" s="3" t="inlineStr">
        <is>
          <t>Pairing ID</t>
        </is>
      </c>
      <c r="C34" s="3" t="inlineStr">
        <is>
          <t>FECHA REAL</t>
        </is>
      </c>
      <c r="D34" s="3" t="inlineStr">
        <is>
          <t>Day of Week</t>
        </is>
      </c>
      <c r="E34" s="3" t="inlineStr">
        <is>
          <t>Flight No</t>
        </is>
      </c>
      <c r="F34" s="3" t="inlineStr">
        <is>
          <t>Dep Stn</t>
        </is>
      </c>
      <c r="G34" s="3" t="inlineStr">
        <is>
          <t>Arr Stn</t>
        </is>
      </c>
      <c r="H34" s="3" t="inlineStr">
        <is>
          <t>STD</t>
        </is>
      </c>
      <c r="I34" s="3" t="inlineStr">
        <is>
          <t>STA</t>
        </is>
      </c>
      <c r="J34" s="3" t="inlineStr">
        <is>
          <t>subflota</t>
        </is>
      </c>
      <c r="K34" s="3" t="inlineStr">
        <is>
          <t>Conexion</t>
        </is>
      </c>
      <c r="L34" s="3" t="inlineStr">
        <is>
          <t>HBT</t>
        </is>
      </c>
    </row>
    <row r="35">
      <c r="B35" s="4" t="n">
        <v>130</v>
      </c>
      <c r="C35" s="4" t="inlineStr">
        <is>
          <t>01/09/2026</t>
        </is>
      </c>
      <c r="D35" s="4" t="inlineStr">
        <is>
          <t>martes</t>
        </is>
      </c>
      <c r="E35" s="4" t="n">
        <v>2111</v>
      </c>
      <c r="F35" s="4" t="inlineStr">
        <is>
          <t>LIM</t>
        </is>
      </c>
      <c r="G35" s="4" t="inlineStr">
        <is>
          <t>AQP</t>
        </is>
      </c>
      <c r="H35" s="4" t="inlineStr">
        <is>
          <t>11:40:00</t>
        </is>
      </c>
      <c r="I35" s="4" t="inlineStr">
        <is>
          <t>13:10:00</t>
        </is>
      </c>
      <c r="J35" s="4" t="n">
        <v>319</v>
      </c>
      <c r="L35" s="4" t="inlineStr">
        <is>
          <t>01:30:00</t>
        </is>
      </c>
      <c r="M35" s="5" t="inlineStr">
        <is>
          <t>Claudia Flores</t>
        </is>
      </c>
      <c r="N35" s="6" t="inlineStr">
        <is>
          <t>Tripulante Ejemplo 16, Tripulante Ejemplo 17, Tripulante Ejemplo 18</t>
        </is>
      </c>
      <c r="O35" s="5" t="inlineStr">
        <is>
          <t>LCK A320F</t>
        </is>
      </c>
      <c r="Q35" s="4">
        <f>B35</f>
        <v/>
      </c>
      <c r="R35" s="4">
        <f>C35</f>
        <v/>
      </c>
      <c r="S35" s="4">
        <f>D35</f>
        <v/>
      </c>
      <c r="T35" s="4">
        <f>E35&amp;"/"&amp;E36</f>
        <v/>
      </c>
      <c r="U35" s="4">
        <f>F35&amp;"-"&amp;G35&amp;"-"&amp;F35</f>
        <v/>
      </c>
      <c r="V35" s="4">
        <f>IF($M$35="","",$M$35)</f>
        <v/>
      </c>
      <c r="W35" s="4">
        <f>IF($O$35="","",$O$35)</f>
        <v/>
      </c>
      <c r="X35" s="4">
        <f>J35</f>
        <v/>
      </c>
    </row>
    <row r="36">
      <c r="B36" s="4" t="n">
        <v>130</v>
      </c>
      <c r="C36" s="4" t="inlineStr">
        <is>
          <t>01/09/2026</t>
        </is>
      </c>
      <c r="D36" s="4" t="inlineStr">
        <is>
          <t>martes</t>
        </is>
      </c>
      <c r="E36" s="4" t="n">
        <v>2110</v>
      </c>
      <c r="F36" s="4" t="inlineStr">
        <is>
          <t>AQP</t>
        </is>
      </c>
      <c r="G36" s="4" t="inlineStr">
        <is>
          <t>LIM</t>
        </is>
      </c>
      <c r="H36" s="4" t="inlineStr">
        <is>
          <t>14:00:00</t>
        </is>
      </c>
      <c r="I36" s="4" t="inlineStr">
        <is>
          <t>15:40:00</t>
        </is>
      </c>
      <c r="J36" s="4" t="n">
        <v>319</v>
      </c>
      <c r="K36">
        <f>TEXT(TIMEVALUE(H36)-TIMEVALUE(I35)+(TIMEVALUE(H36)&lt;TIMEVALUE(I35)),"[h]:mm")</f>
        <v/>
      </c>
      <c r="L36" s="4" t="inlineStr">
        <is>
          <t>01:40:00</t>
        </is>
      </c>
      <c r="O36">
        <f>"LIM-"&amp;G35&amp;"-LIM   LA "&amp;E35&amp;" ("&amp;LEFT(H35,5)&amp;"-"&amp;LEFT(I35,5)&amp;" hrs)  /  LA "&amp;E36&amp;" ("&amp;LEFT(H36,5)&amp;"-"&amp;LEFT(I36,5)&amp;" hrs)"</f>
        <v/>
      </c>
    </row>
    <row r="37">
      <c r="B37" s="4" t="n">
        <v>155</v>
      </c>
      <c r="C37" s="4" t="inlineStr">
        <is>
          <t>01/09/2026</t>
        </is>
      </c>
      <c r="D37" s="4" t="inlineStr">
        <is>
          <t>martes</t>
        </is>
      </c>
      <c r="E37" s="4" t="n">
        <v>2276</v>
      </c>
      <c r="F37" s="4" t="inlineStr">
        <is>
          <t>LIM</t>
        </is>
      </c>
      <c r="G37" s="4" t="inlineStr">
        <is>
          <t>CUZ</t>
        </is>
      </c>
      <c r="H37" s="4" t="inlineStr">
        <is>
          <t>16:35:00</t>
        </is>
      </c>
      <c r="I37" s="4" t="inlineStr">
        <is>
          <t>17:55:00</t>
        </is>
      </c>
      <c r="J37" s="4" t="n">
        <v>320</v>
      </c>
      <c r="K37" s="7">
        <f>TEXT(TIMEVALUE(H37)-TIMEVALUE(I36)+(TIMEVALUE(H37)&lt;TIMEVALUE(I36)),"[h]:mm")</f>
        <v/>
      </c>
      <c r="L37" s="4" t="inlineStr">
        <is>
          <t>01:20:00</t>
        </is>
      </c>
      <c r="M37">
        <f>IF($M$35="","",$M$35)</f>
        <v/>
      </c>
      <c r="O37">
        <f>IF($O$35="","",$O$35)</f>
        <v/>
      </c>
      <c r="Q37" s="4">
        <f>B37</f>
        <v/>
      </c>
      <c r="R37" s="4">
        <f>C37</f>
        <v/>
      </c>
      <c r="S37" s="4">
        <f>D37</f>
        <v/>
      </c>
      <c r="T37" s="4">
        <f>E37&amp;"/"&amp;E38</f>
        <v/>
      </c>
      <c r="U37" s="4">
        <f>F37&amp;"-"&amp;G37&amp;"-"&amp;F37</f>
        <v/>
      </c>
      <c r="V37" s="4">
        <f>IF($M$35="","",$M$35)</f>
        <v/>
      </c>
      <c r="W37" s="4">
        <f>IF($O$35="","",$O$35)</f>
        <v/>
      </c>
      <c r="X37" s="4">
        <f>J37</f>
        <v/>
      </c>
    </row>
    <row r="38">
      <c r="B38" s="4" t="n">
        <v>155</v>
      </c>
      <c r="C38" s="4" t="inlineStr">
        <is>
          <t>01/09/2026</t>
        </is>
      </c>
      <c r="D38" s="4" t="inlineStr">
        <is>
          <t>martes</t>
        </is>
      </c>
      <c r="E38" s="4" t="n">
        <v>2277</v>
      </c>
      <c r="F38" s="4" t="inlineStr">
        <is>
          <t>CUZ</t>
        </is>
      </c>
      <c r="G38" s="4" t="inlineStr">
        <is>
          <t>LIM</t>
        </is>
      </c>
      <c r="H38" s="4" t="inlineStr">
        <is>
          <t>18:50:00</t>
        </is>
      </c>
      <c r="I38" s="4" t="inlineStr">
        <is>
          <t>20:25:00</t>
        </is>
      </c>
      <c r="J38" s="4" t="n">
        <v>320</v>
      </c>
      <c r="K38">
        <f>TEXT(TIMEVALUE(H38)-TIMEVALUE(I37)+(TIMEVALUE(H38)&lt;TIMEVALUE(I37)),"[h]:mm")</f>
        <v/>
      </c>
      <c r="L38" s="4" t="inlineStr">
        <is>
          <t>01:35:00</t>
        </is>
      </c>
      <c r="O38">
        <f>"LIM-"&amp;G37&amp;"-LIM   LA "&amp;E37&amp;" ("&amp;LEFT(H37,5)&amp;"-"&amp;LEFT(I37,5)&amp;" hrs)  /  LA "&amp;E38&amp;" ("&amp;LEFT(H38,5)&amp;"-"&amp;LEFT(I38,5)&amp;" hrs)"</f>
        <v/>
      </c>
    </row>
    <row r="39">
      <c r="J39" s="8" t="inlineStr">
        <is>
          <t>PSV total:</t>
        </is>
      </c>
      <c r="K39" s="9">
        <f>TEXT(TIMEVALUE(I38)-TIMEVALUE(H35)+(I38&lt;H35),"[h]:mm")</f>
        <v/>
      </c>
    </row>
    <row r="41">
      <c r="B41" s="3" t="inlineStr">
        <is>
          <t>Pairing ID</t>
        </is>
      </c>
      <c r="C41" s="3" t="inlineStr">
        <is>
          <t>FECHA REAL</t>
        </is>
      </c>
      <c r="D41" s="3" t="inlineStr">
        <is>
          <t>Day of Week</t>
        </is>
      </c>
      <c r="E41" s="3" t="inlineStr">
        <is>
          <t>Flight No</t>
        </is>
      </c>
      <c r="F41" s="3" t="inlineStr">
        <is>
          <t>Dep Stn</t>
        </is>
      </c>
      <c r="G41" s="3" t="inlineStr">
        <is>
          <t>Arr Stn</t>
        </is>
      </c>
      <c r="H41" s="3" t="inlineStr">
        <is>
          <t>STD</t>
        </is>
      </c>
      <c r="I41" s="3" t="inlineStr">
        <is>
          <t>STA</t>
        </is>
      </c>
      <c r="J41" s="3" t="inlineStr">
        <is>
          <t>subflota</t>
        </is>
      </c>
      <c r="K41" s="3" t="inlineStr">
        <is>
          <t>Conexion</t>
        </is>
      </c>
      <c r="L41" s="3" t="inlineStr">
        <is>
          <t>HBT</t>
        </is>
      </c>
    </row>
    <row r="42">
      <c r="B42" s="4" t="n">
        <v>133</v>
      </c>
      <c r="C42" s="4" t="inlineStr">
        <is>
          <t>01/09/2026</t>
        </is>
      </c>
      <c r="D42" s="4" t="inlineStr">
        <is>
          <t>martes</t>
        </is>
      </c>
      <c r="E42" s="4" t="n">
        <v>2023</v>
      </c>
      <c r="F42" s="4" t="inlineStr">
        <is>
          <t>LIM</t>
        </is>
      </c>
      <c r="G42" s="4" t="inlineStr">
        <is>
          <t>PEM</t>
        </is>
      </c>
      <c r="H42" s="4" t="inlineStr">
        <is>
          <t>12:15:00</t>
        </is>
      </c>
      <c r="I42" s="4" t="inlineStr">
        <is>
          <t>13:55:00</t>
        </is>
      </c>
      <c r="J42" s="4" t="n">
        <v>320</v>
      </c>
      <c r="L42" s="4" t="inlineStr">
        <is>
          <t>01:40:00</t>
        </is>
      </c>
      <c r="M42" s="5" t="inlineStr">
        <is>
          <t>Javier Zapata</t>
        </is>
      </c>
      <c r="N42" s="6" t="inlineStr">
        <is>
          <t>Tripulante Ejemplo 19, Tripulante Ejemplo 20, Tripulante Ejemplo 21, Tripulante Ejemplo 22</t>
        </is>
      </c>
      <c r="O42" s="5" t="inlineStr">
        <is>
          <t>Reentrenamiento A320F</t>
        </is>
      </c>
      <c r="Q42" s="4">
        <f>B42</f>
        <v/>
      </c>
      <c r="R42" s="4">
        <f>C42</f>
        <v/>
      </c>
      <c r="S42" s="4">
        <f>D42</f>
        <v/>
      </c>
      <c r="T42" s="4">
        <f>E42&amp;"/"&amp;E43</f>
        <v/>
      </c>
      <c r="U42" s="4">
        <f>F42&amp;"-"&amp;G42&amp;"-"&amp;F42</f>
        <v/>
      </c>
      <c r="V42" s="4">
        <f>IF($M$42="","",$M$42)</f>
        <v/>
      </c>
      <c r="W42" s="4">
        <f>IF($O$42="","",$O$42)</f>
        <v/>
      </c>
      <c r="X42" s="4">
        <f>J42</f>
        <v/>
      </c>
    </row>
    <row r="43">
      <c r="B43" s="4" t="n">
        <v>133</v>
      </c>
      <c r="C43" s="4" t="inlineStr">
        <is>
          <t>01/09/2026</t>
        </is>
      </c>
      <c r="D43" s="4" t="inlineStr">
        <is>
          <t>martes</t>
        </is>
      </c>
      <c r="E43" s="4" t="n">
        <v>2024</v>
      </c>
      <c r="F43" s="4" t="inlineStr">
        <is>
          <t>PEM</t>
        </is>
      </c>
      <c r="G43" s="4" t="inlineStr">
        <is>
          <t>LIM</t>
        </is>
      </c>
      <c r="H43" s="4" t="inlineStr">
        <is>
          <t>14:35:00</t>
        </is>
      </c>
      <c r="I43" s="4" t="inlineStr">
        <is>
          <t>16:10:00</t>
        </is>
      </c>
      <c r="J43" s="4" t="n">
        <v>320</v>
      </c>
      <c r="K43">
        <f>TEXT(TIMEVALUE(H43)-TIMEVALUE(I42)+(TIMEVALUE(H43)&lt;TIMEVALUE(I42)),"[h]:mm")</f>
        <v/>
      </c>
      <c r="L43" s="4" t="inlineStr">
        <is>
          <t>01:35:00</t>
        </is>
      </c>
      <c r="O43">
        <f>"LIM-"&amp;G42&amp;"-LIM   LA "&amp;E42&amp;" ("&amp;LEFT(H42,5)&amp;"-"&amp;LEFT(I42,5)&amp;" hrs)  /  LA "&amp;E43&amp;" ("&amp;LEFT(H43,5)&amp;"-"&amp;LEFT(I43,5)&amp;" hrs)"</f>
        <v/>
      </c>
    </row>
    <row r="44">
      <c r="B44" s="4" t="n">
        <v>157</v>
      </c>
      <c r="C44" s="4" t="inlineStr">
        <is>
          <t>01/09/2026</t>
        </is>
      </c>
      <c r="D44" s="4" t="inlineStr">
        <is>
          <t>martes</t>
        </is>
      </c>
      <c r="E44" s="4" t="n">
        <v>2213</v>
      </c>
      <c r="F44" s="4" t="inlineStr">
        <is>
          <t>LIM</t>
        </is>
      </c>
      <c r="G44" s="4" t="inlineStr">
        <is>
          <t>CIX</t>
        </is>
      </c>
      <c r="H44" s="4" t="inlineStr">
        <is>
          <t>17:20:00</t>
        </is>
      </c>
      <c r="I44" s="4" t="inlineStr">
        <is>
          <t>18:50:00</t>
        </is>
      </c>
      <c r="J44" s="4" t="n">
        <v>320</v>
      </c>
      <c r="K44" s="7">
        <f>TEXT(TIMEVALUE(H44)-TIMEVALUE(I43)+(TIMEVALUE(H44)&lt;TIMEVALUE(I43)),"[h]:mm")</f>
        <v/>
      </c>
      <c r="L44" s="4" t="inlineStr">
        <is>
          <t>01:30:00</t>
        </is>
      </c>
      <c r="M44">
        <f>IF($M$42="","",$M$42)</f>
        <v/>
      </c>
      <c r="O44">
        <f>IF($O$42="","",$O$42)</f>
        <v/>
      </c>
      <c r="Q44" s="4">
        <f>B44</f>
        <v/>
      </c>
      <c r="R44" s="4">
        <f>C44</f>
        <v/>
      </c>
      <c r="S44" s="4">
        <f>D44</f>
        <v/>
      </c>
      <c r="T44" s="4">
        <f>E44&amp;"/"&amp;E45</f>
        <v/>
      </c>
      <c r="U44" s="4">
        <f>F44&amp;"-"&amp;G44&amp;"-"&amp;F44</f>
        <v/>
      </c>
      <c r="V44" s="4">
        <f>IF($M$42="","",$M$42)</f>
        <v/>
      </c>
      <c r="W44" s="4">
        <f>IF($O$42="","",$O$42)</f>
        <v/>
      </c>
      <c r="X44" s="4">
        <f>J44</f>
        <v/>
      </c>
    </row>
    <row r="45">
      <c r="B45" s="4" t="n">
        <v>157</v>
      </c>
      <c r="C45" s="4" t="inlineStr">
        <is>
          <t>01/09/2026</t>
        </is>
      </c>
      <c r="D45" s="4" t="inlineStr">
        <is>
          <t>martes</t>
        </is>
      </c>
      <c r="E45" s="4" t="n">
        <v>2214</v>
      </c>
      <c r="F45" s="4" t="inlineStr">
        <is>
          <t>CIX</t>
        </is>
      </c>
      <c r="G45" s="4" t="inlineStr">
        <is>
          <t>LIM</t>
        </is>
      </c>
      <c r="H45" s="4" t="inlineStr">
        <is>
          <t>19:25:00</t>
        </is>
      </c>
      <c r="I45" s="4" t="inlineStr">
        <is>
          <t>20:40:00</t>
        </is>
      </c>
      <c r="J45" s="4" t="n">
        <v>320</v>
      </c>
      <c r="K45">
        <f>TEXT(TIMEVALUE(H45)-TIMEVALUE(I44)+(TIMEVALUE(H45)&lt;TIMEVALUE(I44)),"[h]:mm")</f>
        <v/>
      </c>
      <c r="L45" s="4" t="inlineStr">
        <is>
          <t>01:15:00</t>
        </is>
      </c>
      <c r="O45">
        <f>"LIM-"&amp;G44&amp;"-LIM   LA "&amp;E44&amp;" ("&amp;LEFT(H44,5)&amp;"-"&amp;LEFT(I44,5)&amp;" hrs)  /  LA "&amp;E45&amp;" ("&amp;LEFT(H45,5)&amp;"-"&amp;LEFT(I45,5)&amp;" hrs)"</f>
        <v/>
      </c>
    </row>
    <row r="46">
      <c r="J46" s="8" t="inlineStr">
        <is>
          <t>PSV total:</t>
        </is>
      </c>
      <c r="K46" s="9">
        <f>TEXT(TIMEVALUE(I45)-TIMEVALUE(H42)+(I45&lt;H42),"[h]:mm")</f>
        <v/>
      </c>
    </row>
    <row r="48">
      <c r="B48" s="3" t="inlineStr">
        <is>
          <t>Pairing ID</t>
        </is>
      </c>
      <c r="C48" s="3" t="inlineStr">
        <is>
          <t>FECHA REAL</t>
        </is>
      </c>
      <c r="D48" s="3" t="inlineStr">
        <is>
          <t>Day of Week</t>
        </is>
      </c>
      <c r="E48" s="3" t="inlineStr">
        <is>
          <t>Flight No</t>
        </is>
      </c>
      <c r="F48" s="3" t="inlineStr">
        <is>
          <t>Dep Stn</t>
        </is>
      </c>
      <c r="G48" s="3" t="inlineStr">
        <is>
          <t>Arr Stn</t>
        </is>
      </c>
      <c r="H48" s="3" t="inlineStr">
        <is>
          <t>STD</t>
        </is>
      </c>
      <c r="I48" s="3" t="inlineStr">
        <is>
          <t>STA</t>
        </is>
      </c>
      <c r="J48" s="3" t="inlineStr">
        <is>
          <t>subflota</t>
        </is>
      </c>
      <c r="K48" s="3" t="inlineStr">
        <is>
          <t>Conexion</t>
        </is>
      </c>
      <c r="L48" s="3" t="inlineStr">
        <is>
          <t>HBT</t>
        </is>
      </c>
    </row>
    <row r="49">
      <c r="B49" s="4" t="n">
        <v>140</v>
      </c>
      <c r="C49" s="4" t="inlineStr">
        <is>
          <t>01/09/2026</t>
        </is>
      </c>
      <c r="D49" s="4" t="inlineStr">
        <is>
          <t>martes</t>
        </is>
      </c>
      <c r="E49" s="4" t="n">
        <v>2234</v>
      </c>
      <c r="F49" s="4" t="inlineStr">
        <is>
          <t>LIM</t>
        </is>
      </c>
      <c r="G49" s="4" t="inlineStr">
        <is>
          <t>IQT</t>
        </is>
      </c>
      <c r="H49" s="4" t="inlineStr">
        <is>
          <t>13:35:00</t>
        </is>
      </c>
      <c r="I49" s="4" t="inlineStr">
        <is>
          <t>15:25:00</t>
        </is>
      </c>
      <c r="J49" s="4" t="n">
        <v>320</v>
      </c>
      <c r="L49" s="4" t="inlineStr">
        <is>
          <t>01:50:00</t>
        </is>
      </c>
      <c r="M49" s="5" t="inlineStr">
        <is>
          <t>Jazmin Guerra</t>
        </is>
      </c>
      <c r="N49" s="6" t="inlineStr">
        <is>
          <t>Tripulante Ejemplo 23, Tripulante Ejemplo 24, Tripulante Ejemplo 25, Tripulante Ejemplo 26</t>
        </is>
      </c>
      <c r="O49" s="5" t="inlineStr">
        <is>
          <t>LCK A320F</t>
        </is>
      </c>
      <c r="Q49" s="4">
        <f>B49</f>
        <v/>
      </c>
      <c r="R49" s="4">
        <f>C49</f>
        <v/>
      </c>
      <c r="S49" s="4">
        <f>D49</f>
        <v/>
      </c>
      <c r="T49" s="4">
        <f>E49&amp;"/"&amp;E50</f>
        <v/>
      </c>
      <c r="U49" s="4">
        <f>F49&amp;"-"&amp;G49&amp;"-"&amp;F49</f>
        <v/>
      </c>
      <c r="V49" s="4">
        <f>IF($M$49="","",$M$49)</f>
        <v/>
      </c>
      <c r="W49" s="4">
        <f>IF($O$49="","",$O$49)</f>
        <v/>
      </c>
      <c r="X49" s="4">
        <f>J49</f>
        <v/>
      </c>
    </row>
    <row r="50">
      <c r="B50" s="4" t="n">
        <v>140</v>
      </c>
      <c r="C50" s="4" t="inlineStr">
        <is>
          <t>01/09/2026</t>
        </is>
      </c>
      <c r="D50" s="4" t="inlineStr">
        <is>
          <t>martes</t>
        </is>
      </c>
      <c r="E50" s="4" t="n">
        <v>2235</v>
      </c>
      <c r="F50" s="4" t="inlineStr">
        <is>
          <t>IQT</t>
        </is>
      </c>
      <c r="G50" s="4" t="inlineStr">
        <is>
          <t>LIM</t>
        </is>
      </c>
      <c r="H50" s="4" t="inlineStr">
        <is>
          <t>16:05:00</t>
        </is>
      </c>
      <c r="I50" s="4" t="inlineStr">
        <is>
          <t>17:55:00</t>
        </is>
      </c>
      <c r="J50" s="4" t="n">
        <v>320</v>
      </c>
      <c r="K50">
        <f>TEXT(TIMEVALUE(H50)-TIMEVALUE(I49)+(TIMEVALUE(H50)&lt;TIMEVALUE(I49)),"[h]:mm")</f>
        <v/>
      </c>
      <c r="L50" s="4" t="inlineStr">
        <is>
          <t>01:50:00</t>
        </is>
      </c>
      <c r="O50">
        <f>"LIM-"&amp;G49&amp;"-LIM   LA "&amp;E49&amp;" ("&amp;LEFT(H49,5)&amp;"-"&amp;LEFT(I49,5)&amp;" hrs)  /  LA "&amp;E50&amp;" ("&amp;LEFT(H50,5)&amp;"-"&amp;LEFT(I50,5)&amp;" hrs)"</f>
        <v/>
      </c>
    </row>
    <row r="51">
      <c r="J51" s="8" t="inlineStr">
        <is>
          <t>PSV total:</t>
        </is>
      </c>
      <c r="K51" s="9">
        <f>TEXT(TIMEVALUE(I50)-TIMEVALUE(H49)+(I50&lt;H49),"[h]:mm")</f>
        <v/>
      </c>
    </row>
    <row r="53">
      <c r="B53" s="3" t="inlineStr">
        <is>
          <t>Pairing ID</t>
        </is>
      </c>
      <c r="C53" s="3" t="inlineStr">
        <is>
          <t>FECHA REAL</t>
        </is>
      </c>
      <c r="D53" s="3" t="inlineStr">
        <is>
          <t>Day of Week</t>
        </is>
      </c>
      <c r="E53" s="3" t="inlineStr">
        <is>
          <t>Flight No</t>
        </is>
      </c>
      <c r="F53" s="3" t="inlineStr">
        <is>
          <t>Dep Stn</t>
        </is>
      </c>
      <c r="G53" s="3" t="inlineStr">
        <is>
          <t>Arr Stn</t>
        </is>
      </c>
      <c r="H53" s="3" t="inlineStr">
        <is>
          <t>STD</t>
        </is>
      </c>
      <c r="I53" s="3" t="inlineStr">
        <is>
          <t>STA</t>
        </is>
      </c>
      <c r="J53" s="3" t="inlineStr">
        <is>
          <t>subflota</t>
        </is>
      </c>
      <c r="K53" s="3" t="inlineStr">
        <is>
          <t>Conexion</t>
        </is>
      </c>
      <c r="L53" s="3" t="inlineStr">
        <is>
          <t>HBT</t>
        </is>
      </c>
    </row>
    <row r="54">
      <c r="B54" s="4" t="n">
        <v>146</v>
      </c>
      <c r="C54" s="4" t="inlineStr">
        <is>
          <t>01/09/2026</t>
        </is>
      </c>
      <c r="D54" s="4" t="inlineStr">
        <is>
          <t>martes</t>
        </is>
      </c>
      <c r="E54" s="4" t="n">
        <v>2264</v>
      </c>
      <c r="F54" s="4" t="inlineStr">
        <is>
          <t>LIM</t>
        </is>
      </c>
      <c r="G54" s="4" t="inlineStr">
        <is>
          <t>PEM</t>
        </is>
      </c>
      <c r="H54" s="4" t="inlineStr">
        <is>
          <t>14:55:00</t>
        </is>
      </c>
      <c r="I54" s="4" t="inlineStr">
        <is>
          <t>16:40:00</t>
        </is>
      </c>
      <c r="J54" s="4" t="n">
        <v>319</v>
      </c>
      <c r="L54" s="4" t="inlineStr">
        <is>
          <t>01:45:00</t>
        </is>
      </c>
      <c r="M54" s="5" t="inlineStr">
        <is>
          <t>Jennifert Acurio</t>
        </is>
      </c>
      <c r="N54" s="6" t="inlineStr">
        <is>
          <t>Tripulante Ejemplo 27, Tripulante Ejemplo 28, Tripulante Ejemplo 29</t>
        </is>
      </c>
      <c r="O54" s="5" t="inlineStr">
        <is>
          <t>Reentrenamiento A320F</t>
        </is>
      </c>
      <c r="Q54" s="4">
        <f>B54</f>
        <v/>
      </c>
      <c r="R54" s="4">
        <f>C54</f>
        <v/>
      </c>
      <c r="S54" s="4">
        <f>D54</f>
        <v/>
      </c>
      <c r="T54" s="4">
        <f>E54&amp;"/"&amp;E55</f>
        <v/>
      </c>
      <c r="U54" s="4">
        <f>F54&amp;"-"&amp;G54&amp;"-"&amp;F54</f>
        <v/>
      </c>
      <c r="V54" s="4">
        <f>IF($M$54="","",$M$54)</f>
        <v/>
      </c>
      <c r="W54" s="4">
        <f>IF($O$54="","",$O$54)</f>
        <v/>
      </c>
      <c r="X54" s="4">
        <f>J54</f>
        <v/>
      </c>
    </row>
    <row r="55">
      <c r="B55" s="4" t="n">
        <v>146</v>
      </c>
      <c r="C55" s="4" t="inlineStr">
        <is>
          <t>01/09/2026</t>
        </is>
      </c>
      <c r="D55" s="4" t="inlineStr">
        <is>
          <t>martes</t>
        </is>
      </c>
      <c r="E55" s="4" t="n">
        <v>2265</v>
      </c>
      <c r="F55" s="4" t="inlineStr">
        <is>
          <t>PEM</t>
        </is>
      </c>
      <c r="G55" s="4" t="inlineStr">
        <is>
          <t>LIM</t>
        </is>
      </c>
      <c r="H55" s="4" t="inlineStr">
        <is>
          <t>17:20:00</t>
        </is>
      </c>
      <c r="I55" s="4" t="inlineStr">
        <is>
          <t>18:55:00</t>
        </is>
      </c>
      <c r="J55" s="4" t="n">
        <v>319</v>
      </c>
      <c r="K55">
        <f>TEXT(TIMEVALUE(H55)-TIMEVALUE(I54)+(TIMEVALUE(H55)&lt;TIMEVALUE(I54)),"[h]:mm")</f>
        <v/>
      </c>
      <c r="L55" s="4" t="inlineStr">
        <is>
          <t>01:35:00</t>
        </is>
      </c>
      <c r="O55">
        <f>"LIM-"&amp;G54&amp;"-LIM   LA "&amp;E54&amp;" ("&amp;LEFT(H54,5)&amp;"-"&amp;LEFT(I54,5)&amp;" hrs)  /  LA "&amp;E55&amp;" ("&amp;LEFT(H55,5)&amp;"-"&amp;LEFT(I55,5)&amp;" hrs)"</f>
        <v/>
      </c>
    </row>
    <row r="56">
      <c r="J56" s="8" t="inlineStr">
        <is>
          <t>PSV total:</t>
        </is>
      </c>
      <c r="K56" s="9">
        <f>TEXT(TIMEVALUE(I55)-TIMEVALUE(H54)+(I55&lt;H54),"[h]:mm")</f>
        <v/>
      </c>
    </row>
    <row r="58">
      <c r="B58" s="3" t="inlineStr">
        <is>
          <t>Pairing ID</t>
        </is>
      </c>
      <c r="C58" s="3" t="inlineStr">
        <is>
          <t>FECHA REAL</t>
        </is>
      </c>
      <c r="D58" s="3" t="inlineStr">
        <is>
          <t>Day of Week</t>
        </is>
      </c>
      <c r="E58" s="3" t="inlineStr">
        <is>
          <t>Flight No</t>
        </is>
      </c>
      <c r="F58" s="3" t="inlineStr">
        <is>
          <t>Dep Stn</t>
        </is>
      </c>
      <c r="G58" s="3" t="inlineStr">
        <is>
          <t>Arr Stn</t>
        </is>
      </c>
      <c r="H58" s="3" t="inlineStr">
        <is>
          <t>STD</t>
        </is>
      </c>
      <c r="I58" s="3" t="inlineStr">
        <is>
          <t>STA</t>
        </is>
      </c>
      <c r="J58" s="3" t="inlineStr">
        <is>
          <t>subflota</t>
        </is>
      </c>
      <c r="K58" s="3" t="inlineStr">
        <is>
          <t>Conexion</t>
        </is>
      </c>
      <c r="L58" s="3" t="inlineStr">
        <is>
          <t>HBT</t>
        </is>
      </c>
    </row>
    <row r="59">
      <c r="B59" s="4" t="n">
        <v>147</v>
      </c>
      <c r="C59" s="4" t="inlineStr">
        <is>
          <t>01/09/2026</t>
        </is>
      </c>
      <c r="D59" s="4" t="inlineStr">
        <is>
          <t>martes</t>
        </is>
      </c>
      <c r="E59" s="4" t="n">
        <v>2113</v>
      </c>
      <c r="F59" s="4" t="inlineStr">
        <is>
          <t>LIM</t>
        </is>
      </c>
      <c r="G59" s="4" t="inlineStr">
        <is>
          <t>AQP</t>
        </is>
      </c>
      <c r="H59" s="4" t="inlineStr">
        <is>
          <t>15:05:00</t>
        </is>
      </c>
      <c r="I59" s="4" t="inlineStr">
        <is>
          <t>16:35:00</t>
        </is>
      </c>
      <c r="J59" s="4" t="n">
        <v>320</v>
      </c>
      <c r="L59" s="4" t="inlineStr">
        <is>
          <t>01:30:00</t>
        </is>
      </c>
      <c r="M59" s="5" t="inlineStr">
        <is>
          <t>Gabriela Ungaro</t>
        </is>
      </c>
      <c r="N59" s="6" t="inlineStr">
        <is>
          <t>Tripulante Ejemplo 30, Tripulante Ejemplo 31, Tripulante Ejemplo 32</t>
        </is>
      </c>
      <c r="O59" s="5" t="inlineStr">
        <is>
          <t>Reentrenamiento A320F</t>
        </is>
      </c>
      <c r="Q59" s="4">
        <f>B59</f>
        <v/>
      </c>
      <c r="R59" s="4">
        <f>C59</f>
        <v/>
      </c>
      <c r="S59" s="4">
        <f>D59</f>
        <v/>
      </c>
      <c r="T59" s="4">
        <f>E59&amp;"/"&amp;E60</f>
        <v/>
      </c>
      <c r="U59" s="4">
        <f>F59&amp;"-"&amp;G59&amp;"-"&amp;F59</f>
        <v/>
      </c>
      <c r="V59" s="4">
        <f>IF($M$59="","",$M$59)</f>
        <v/>
      </c>
      <c r="W59" s="4">
        <f>IF($O$59="","",$O$59)</f>
        <v/>
      </c>
      <c r="X59" s="4">
        <f>J59</f>
        <v/>
      </c>
    </row>
    <row r="60">
      <c r="B60" s="4" t="n">
        <v>147</v>
      </c>
      <c r="C60" s="4" t="inlineStr">
        <is>
          <t>01/09/2026</t>
        </is>
      </c>
      <c r="D60" s="4" t="inlineStr">
        <is>
          <t>martes</t>
        </is>
      </c>
      <c r="E60" s="4" t="n">
        <v>2112</v>
      </c>
      <c r="F60" s="4" t="inlineStr">
        <is>
          <t>AQP</t>
        </is>
      </c>
      <c r="G60" s="4" t="inlineStr">
        <is>
          <t>LIM</t>
        </is>
      </c>
      <c r="H60" s="4" t="inlineStr">
        <is>
          <t>17:15:00</t>
        </is>
      </c>
      <c r="I60" s="4" t="inlineStr">
        <is>
          <t>18:55:00</t>
        </is>
      </c>
      <c r="J60" s="4" t="n">
        <v>320</v>
      </c>
      <c r="K60">
        <f>TEXT(TIMEVALUE(H60)-TIMEVALUE(I59)+(TIMEVALUE(H60)&lt;TIMEVALUE(I59)),"[h]:mm")</f>
        <v/>
      </c>
      <c r="L60" s="4" t="inlineStr">
        <is>
          <t>01:40:00</t>
        </is>
      </c>
      <c r="O60">
        <f>"LIM-"&amp;G59&amp;"-LIM   LA "&amp;E59&amp;" ("&amp;LEFT(H59,5)&amp;"-"&amp;LEFT(I59,5)&amp;" hrs)  /  LA "&amp;E60&amp;" ("&amp;LEFT(H60,5)&amp;"-"&amp;LEFT(I60,5)&amp;" hrs)"</f>
        <v/>
      </c>
    </row>
    <row r="61">
      <c r="J61" s="8" t="inlineStr">
        <is>
          <t>PSV total:</t>
        </is>
      </c>
      <c r="K61" s="9">
        <f>TEXT(TIMEVALUE(I60)-TIMEVALUE(H59)+(I60&lt;H59),"[h]:mm")</f>
        <v/>
      </c>
    </row>
    <row r="63">
      <c r="B63" s="3" t="inlineStr">
        <is>
          <t>Pairing ID</t>
        </is>
      </c>
      <c r="C63" s="3" t="inlineStr">
        <is>
          <t>FECHA REAL</t>
        </is>
      </c>
      <c r="D63" s="3" t="inlineStr">
        <is>
          <t>Day of Week</t>
        </is>
      </c>
      <c r="E63" s="3" t="inlineStr">
        <is>
          <t>Flight No</t>
        </is>
      </c>
      <c r="F63" s="3" t="inlineStr">
        <is>
          <t>Dep Stn</t>
        </is>
      </c>
      <c r="G63" s="3" t="inlineStr">
        <is>
          <t>Arr Stn</t>
        </is>
      </c>
      <c r="H63" s="3" t="inlineStr">
        <is>
          <t>STD</t>
        </is>
      </c>
      <c r="I63" s="3" t="inlineStr">
        <is>
          <t>STA</t>
        </is>
      </c>
      <c r="J63" s="3" t="inlineStr">
        <is>
          <t>subflota</t>
        </is>
      </c>
      <c r="K63" s="3" t="inlineStr">
        <is>
          <t>Conexion</t>
        </is>
      </c>
      <c r="L63" s="3" t="inlineStr">
        <is>
          <t>HBT</t>
        </is>
      </c>
    </row>
    <row r="64">
      <c r="B64" s="4" t="n">
        <v>149</v>
      </c>
      <c r="C64" s="4" t="inlineStr">
        <is>
          <t>01/09/2026</t>
        </is>
      </c>
      <c r="D64" s="4" t="inlineStr">
        <is>
          <t>martes</t>
        </is>
      </c>
      <c r="E64" s="4" t="n">
        <v>2297</v>
      </c>
      <c r="F64" s="4" t="inlineStr">
        <is>
          <t>LIM</t>
        </is>
      </c>
      <c r="G64" s="4" t="inlineStr">
        <is>
          <t>CJA</t>
        </is>
      </c>
      <c r="H64" s="4" t="inlineStr">
        <is>
          <t>15:15:00</t>
        </is>
      </c>
      <c r="I64" s="4" t="inlineStr">
        <is>
          <t>16:35:00</t>
        </is>
      </c>
      <c r="J64" s="4" t="n">
        <v>320</v>
      </c>
      <c r="L64" s="4" t="inlineStr">
        <is>
          <t>01:20:00</t>
        </is>
      </c>
      <c r="M64" s="5" t="n"/>
      <c r="N64" s="6" t="n"/>
      <c r="O64" s="5" t="n"/>
      <c r="Q64" s="4">
        <f>B64</f>
        <v/>
      </c>
      <c r="R64" s="4">
        <f>C64</f>
        <v/>
      </c>
      <c r="S64" s="4">
        <f>D64</f>
        <v/>
      </c>
      <c r="T64" s="4">
        <f>E64&amp;"/"&amp;E65</f>
        <v/>
      </c>
      <c r="U64" s="4">
        <f>F64&amp;"-"&amp;G64&amp;"-"&amp;F64</f>
        <v/>
      </c>
      <c r="V64" s="4">
        <f>IF($M$64="","",$M$64)</f>
        <v/>
      </c>
      <c r="W64" s="4">
        <f>IF($O$64="","",$O$64)</f>
        <v/>
      </c>
      <c r="X64" s="4">
        <f>J64</f>
        <v/>
      </c>
    </row>
    <row r="65">
      <c r="B65" s="4" t="n">
        <v>149</v>
      </c>
      <c r="C65" s="4" t="inlineStr">
        <is>
          <t>01/09/2026</t>
        </is>
      </c>
      <c r="D65" s="4" t="inlineStr">
        <is>
          <t>martes</t>
        </is>
      </c>
      <c r="E65" s="4" t="n">
        <v>2296</v>
      </c>
      <c r="F65" s="4" t="inlineStr">
        <is>
          <t>CJA</t>
        </is>
      </c>
      <c r="G65" s="4" t="inlineStr">
        <is>
          <t>LIM</t>
        </is>
      </c>
      <c r="H65" s="4" t="inlineStr">
        <is>
          <t>17:20:00</t>
        </is>
      </c>
      <c r="I65" s="4" t="inlineStr">
        <is>
          <t>18:25:00</t>
        </is>
      </c>
      <c r="J65" s="4" t="n">
        <v>320</v>
      </c>
      <c r="K65">
        <f>TEXT(TIMEVALUE(H65)-TIMEVALUE(I64)+(TIMEVALUE(H65)&lt;TIMEVALUE(I64)),"[h]:mm")</f>
        <v/>
      </c>
      <c r="L65" s="4" t="inlineStr">
        <is>
          <t>01:05:00</t>
        </is>
      </c>
      <c r="O65">
        <f>"LIM-"&amp;G64&amp;"-LIM   LA "&amp;E64&amp;" ("&amp;LEFT(H64,5)&amp;"-"&amp;LEFT(I64,5)&amp;" hrs)  /  LA "&amp;E65&amp;" ("&amp;LEFT(H65,5)&amp;"-"&amp;LEFT(I65,5)&amp;" hrs)"</f>
        <v/>
      </c>
    </row>
    <row r="66">
      <c r="J66" s="8" t="inlineStr">
        <is>
          <t>PSV total:</t>
        </is>
      </c>
      <c r="K66" s="9">
        <f>TEXT(TIMEVALUE(I65)-TIMEVALUE(H64)+(I65&lt;H64),"[h]:mm")</f>
        <v/>
      </c>
    </row>
    <row r="68">
      <c r="B68" s="3" t="inlineStr">
        <is>
          <t>Pairing ID</t>
        </is>
      </c>
      <c r="C68" s="3" t="inlineStr">
        <is>
          <t>FECHA REAL</t>
        </is>
      </c>
      <c r="D68" s="3" t="inlineStr">
        <is>
          <t>Day of Week</t>
        </is>
      </c>
      <c r="E68" s="3" t="inlineStr">
        <is>
          <t>Flight No</t>
        </is>
      </c>
      <c r="F68" s="3" t="inlineStr">
        <is>
          <t>Dep Stn</t>
        </is>
      </c>
      <c r="G68" s="3" t="inlineStr">
        <is>
          <t>Arr Stn</t>
        </is>
      </c>
      <c r="H68" s="3" t="inlineStr">
        <is>
          <t>STD</t>
        </is>
      </c>
      <c r="I68" s="3" t="inlineStr">
        <is>
          <t>STA</t>
        </is>
      </c>
      <c r="J68" s="3" t="inlineStr">
        <is>
          <t>subflota</t>
        </is>
      </c>
      <c r="K68" s="3" t="inlineStr">
        <is>
          <t>Conexion</t>
        </is>
      </c>
      <c r="L68" s="3" t="inlineStr">
        <is>
          <t>HBT</t>
        </is>
      </c>
    </row>
    <row r="69">
      <c r="B69" s="4" t="n">
        <v>150</v>
      </c>
      <c r="C69" s="4" t="inlineStr">
        <is>
          <t>01/09/2026</t>
        </is>
      </c>
      <c r="D69" s="4" t="inlineStr">
        <is>
          <t>martes</t>
        </is>
      </c>
      <c r="E69" s="4" t="n">
        <v>2360</v>
      </c>
      <c r="F69" s="4" t="inlineStr">
        <is>
          <t>LIM</t>
        </is>
      </c>
      <c r="G69" s="4" t="inlineStr">
        <is>
          <t>PCL</t>
        </is>
      </c>
      <c r="H69" s="4" t="inlineStr">
        <is>
          <t>15:25:00</t>
        </is>
      </c>
      <c r="I69" s="4" t="inlineStr">
        <is>
          <t>16:40:00</t>
        </is>
      </c>
      <c r="J69" s="4" t="n">
        <v>320</v>
      </c>
      <c r="L69" s="4" t="inlineStr">
        <is>
          <t>01:15:00</t>
        </is>
      </c>
      <c r="M69" s="5" t="n"/>
      <c r="N69" s="6" t="n"/>
      <c r="O69" s="5" t="n"/>
      <c r="Q69" s="4">
        <f>B69</f>
        <v/>
      </c>
      <c r="R69" s="4">
        <f>C69</f>
        <v/>
      </c>
      <c r="S69" s="4">
        <f>D69</f>
        <v/>
      </c>
      <c r="T69" s="4">
        <f>E69&amp;"/"&amp;E70</f>
        <v/>
      </c>
      <c r="U69" s="4">
        <f>F69&amp;"-"&amp;G69&amp;"-"&amp;F69</f>
        <v/>
      </c>
      <c r="V69" s="4">
        <f>IF($M$69="","",$M$69)</f>
        <v/>
      </c>
      <c r="W69" s="4">
        <f>IF($O$69="","",$O$69)</f>
        <v/>
      </c>
      <c r="X69" s="4">
        <f>J69</f>
        <v/>
      </c>
    </row>
    <row r="70">
      <c r="B70" s="4" t="n">
        <v>150</v>
      </c>
      <c r="C70" s="4" t="inlineStr">
        <is>
          <t>01/09/2026</t>
        </is>
      </c>
      <c r="D70" s="4" t="inlineStr">
        <is>
          <t>martes</t>
        </is>
      </c>
      <c r="E70" s="4" t="n">
        <v>2361</v>
      </c>
      <c r="F70" s="4" t="inlineStr">
        <is>
          <t>PCL</t>
        </is>
      </c>
      <c r="G70" s="4" t="inlineStr">
        <is>
          <t>LIM</t>
        </is>
      </c>
      <c r="H70" s="4" t="inlineStr">
        <is>
          <t>17:20:00</t>
        </is>
      </c>
      <c r="I70" s="4" t="inlineStr">
        <is>
          <t>18:35:00</t>
        </is>
      </c>
      <c r="J70" s="4" t="n">
        <v>320</v>
      </c>
      <c r="K70">
        <f>TEXT(TIMEVALUE(H70)-TIMEVALUE(I69)+(TIMEVALUE(H70)&lt;TIMEVALUE(I69)),"[h]:mm")</f>
        <v/>
      </c>
      <c r="L70" s="4" t="inlineStr">
        <is>
          <t>01:15:00</t>
        </is>
      </c>
      <c r="O70">
        <f>"LIM-"&amp;G69&amp;"-LIM   LA "&amp;E69&amp;" ("&amp;LEFT(H69,5)&amp;"-"&amp;LEFT(I69,5)&amp;" hrs)  /  LA "&amp;E70&amp;" ("&amp;LEFT(H70,5)&amp;"-"&amp;LEFT(I70,5)&amp;" hrs)"</f>
        <v/>
      </c>
    </row>
    <row r="71">
      <c r="J71" s="8" t="inlineStr">
        <is>
          <t>PSV total:</t>
        </is>
      </c>
      <c r="K71" s="9">
        <f>TEXT(TIMEVALUE(I70)-TIMEVALUE(H69)+(I70&lt;H69),"[h]:mm")</f>
        <v/>
      </c>
    </row>
    <row r="73">
      <c r="B73" s="3" t="inlineStr">
        <is>
          <t>Pairing ID</t>
        </is>
      </c>
      <c r="C73" s="3" t="inlineStr">
        <is>
          <t>FECHA REAL</t>
        </is>
      </c>
      <c r="D73" s="3" t="inlineStr">
        <is>
          <t>Day of Week</t>
        </is>
      </c>
      <c r="E73" s="3" t="inlineStr">
        <is>
          <t>Flight No</t>
        </is>
      </c>
      <c r="F73" s="3" t="inlineStr">
        <is>
          <t>Dep Stn</t>
        </is>
      </c>
      <c r="G73" s="3" t="inlineStr">
        <is>
          <t>Arr Stn</t>
        </is>
      </c>
      <c r="H73" s="3" t="inlineStr">
        <is>
          <t>STD</t>
        </is>
      </c>
      <c r="I73" s="3" t="inlineStr">
        <is>
          <t>STA</t>
        </is>
      </c>
      <c r="J73" s="3" t="inlineStr">
        <is>
          <t>subflota</t>
        </is>
      </c>
      <c r="K73" s="3" t="inlineStr">
        <is>
          <t>Conexion</t>
        </is>
      </c>
      <c r="L73" s="3" t="inlineStr">
        <is>
          <t>HBT</t>
        </is>
      </c>
    </row>
    <row r="74">
      <c r="B74" s="4" t="n">
        <v>151</v>
      </c>
      <c r="C74" s="4" t="inlineStr">
        <is>
          <t>01/09/2026</t>
        </is>
      </c>
      <c r="D74" s="4" t="inlineStr">
        <is>
          <t>martes</t>
        </is>
      </c>
      <c r="E74" s="4" t="n">
        <v>2312</v>
      </c>
      <c r="F74" s="4" t="inlineStr">
        <is>
          <t>LIM</t>
        </is>
      </c>
      <c r="G74" s="4" t="inlineStr">
        <is>
          <t>CIX</t>
        </is>
      </c>
      <c r="H74" s="4" t="inlineStr">
        <is>
          <t>15:35:00</t>
        </is>
      </c>
      <c r="I74" s="4" t="inlineStr">
        <is>
          <t>17:05:00</t>
        </is>
      </c>
      <c r="J74" s="4" t="n">
        <v>320</v>
      </c>
      <c r="L74" s="4" t="inlineStr">
        <is>
          <t>01:30:00</t>
        </is>
      </c>
      <c r="M74" s="5" t="n"/>
      <c r="N74" s="6" t="n"/>
      <c r="O74" s="5" t="n"/>
      <c r="Q74" s="4">
        <f>B74</f>
        <v/>
      </c>
      <c r="R74" s="4">
        <f>C74</f>
        <v/>
      </c>
      <c r="S74" s="4">
        <f>D74</f>
        <v/>
      </c>
      <c r="T74" s="4">
        <f>E74&amp;"/"&amp;E75</f>
        <v/>
      </c>
      <c r="U74" s="4">
        <f>F74&amp;"-"&amp;G74&amp;"-"&amp;F74</f>
        <v/>
      </c>
      <c r="V74" s="4">
        <f>IF($M$74="","",$M$74)</f>
        <v/>
      </c>
      <c r="W74" s="4">
        <f>IF($O$74="","",$O$74)</f>
        <v/>
      </c>
      <c r="X74" s="4">
        <f>J74</f>
        <v/>
      </c>
    </row>
    <row r="75">
      <c r="B75" s="4" t="n">
        <v>151</v>
      </c>
      <c r="C75" s="4" t="inlineStr">
        <is>
          <t>01/09/2026</t>
        </is>
      </c>
      <c r="D75" s="4" t="inlineStr">
        <is>
          <t>martes</t>
        </is>
      </c>
      <c r="E75" s="4" t="n">
        <v>2313</v>
      </c>
      <c r="F75" s="4" t="inlineStr">
        <is>
          <t>CIX</t>
        </is>
      </c>
      <c r="G75" s="4" t="inlineStr">
        <is>
          <t>LIM</t>
        </is>
      </c>
      <c r="H75" s="4" t="inlineStr">
        <is>
          <t>17:50:00</t>
        </is>
      </c>
      <c r="I75" s="4" t="inlineStr">
        <is>
          <t>19:10:00</t>
        </is>
      </c>
      <c r="J75" s="4" t="n">
        <v>320</v>
      </c>
      <c r="K75">
        <f>TEXT(TIMEVALUE(H75)-TIMEVALUE(I74)+(TIMEVALUE(H75)&lt;TIMEVALUE(I74)),"[h]:mm")</f>
        <v/>
      </c>
      <c r="L75" s="4" t="inlineStr">
        <is>
          <t>01:20:00</t>
        </is>
      </c>
      <c r="O75">
        <f>"LIM-"&amp;G74&amp;"-LIM   LA "&amp;E74&amp;" ("&amp;LEFT(H74,5)&amp;"-"&amp;LEFT(I74,5)&amp;" hrs)  /  LA "&amp;E75&amp;" ("&amp;LEFT(H75,5)&amp;"-"&amp;LEFT(I75,5)&amp;" hrs)"</f>
        <v/>
      </c>
    </row>
    <row r="76">
      <c r="J76" s="8" t="inlineStr">
        <is>
          <t>PSV total:</t>
        </is>
      </c>
      <c r="K76" s="9">
        <f>TEXT(TIMEVALUE(I75)-TIMEVALUE(H74)+(I75&lt;H74),"[h]:mm")</f>
        <v/>
      </c>
    </row>
    <row r="78">
      <c r="B78" s="3" t="inlineStr">
        <is>
          <t>Pairing ID</t>
        </is>
      </c>
      <c r="C78" s="3" t="inlineStr">
        <is>
          <t>FECHA REAL</t>
        </is>
      </c>
      <c r="D78" s="3" t="inlineStr">
        <is>
          <t>Day of Week</t>
        </is>
      </c>
      <c r="E78" s="3" t="inlineStr">
        <is>
          <t>Flight No</t>
        </is>
      </c>
      <c r="F78" s="3" t="inlineStr">
        <is>
          <t>Dep Stn</t>
        </is>
      </c>
      <c r="G78" s="3" t="inlineStr">
        <is>
          <t>Arr Stn</t>
        </is>
      </c>
      <c r="H78" s="3" t="inlineStr">
        <is>
          <t>STD</t>
        </is>
      </c>
      <c r="I78" s="3" t="inlineStr">
        <is>
          <t>STA</t>
        </is>
      </c>
      <c r="J78" s="3" t="inlineStr">
        <is>
          <t>subflota</t>
        </is>
      </c>
      <c r="K78" s="3" t="inlineStr">
        <is>
          <t>Conexion</t>
        </is>
      </c>
      <c r="L78" s="3" t="inlineStr">
        <is>
          <t>HBT</t>
        </is>
      </c>
    </row>
    <row r="79">
      <c r="B79" s="4" t="n">
        <v>159</v>
      </c>
      <c r="C79" s="4" t="inlineStr">
        <is>
          <t>01/09/2026</t>
        </is>
      </c>
      <c r="D79" s="4" t="inlineStr">
        <is>
          <t>martes</t>
        </is>
      </c>
      <c r="E79" s="4" t="n">
        <v>2039</v>
      </c>
      <c r="F79" s="4" t="inlineStr">
        <is>
          <t>LIM</t>
        </is>
      </c>
      <c r="G79" s="4" t="inlineStr">
        <is>
          <t>PCL</t>
        </is>
      </c>
      <c r="H79" s="4" t="inlineStr">
        <is>
          <t>18:15:00</t>
        </is>
      </c>
      <c r="I79" s="4" t="inlineStr">
        <is>
          <t>19:30:00</t>
        </is>
      </c>
      <c r="J79" s="4" t="n">
        <v>320</v>
      </c>
      <c r="L79" s="4" t="inlineStr">
        <is>
          <t>01:15:00</t>
        </is>
      </c>
      <c r="M79" s="5" t="n"/>
      <c r="N79" s="6" t="n"/>
      <c r="O79" s="5" t="n"/>
      <c r="Q79" s="4">
        <f>B79</f>
        <v/>
      </c>
      <c r="R79" s="4">
        <f>C79</f>
        <v/>
      </c>
      <c r="S79" s="4">
        <f>D79</f>
        <v/>
      </c>
      <c r="T79" s="4">
        <f>E79&amp;"/"&amp;E80</f>
        <v/>
      </c>
      <c r="U79" s="4">
        <f>F79&amp;"-"&amp;G79&amp;"-"&amp;F79</f>
        <v/>
      </c>
      <c r="V79" s="4">
        <f>IF($M$79="","",$M$79)</f>
        <v/>
      </c>
      <c r="W79" s="4">
        <f>IF($O$79="","",$O$79)</f>
        <v/>
      </c>
      <c r="X79" s="4">
        <f>J79</f>
        <v/>
      </c>
    </row>
    <row r="80">
      <c r="B80" s="4" t="n">
        <v>159</v>
      </c>
      <c r="C80" s="4" t="inlineStr">
        <is>
          <t>01/09/2026</t>
        </is>
      </c>
      <c r="D80" s="4" t="inlineStr">
        <is>
          <t>martes</t>
        </is>
      </c>
      <c r="E80" s="4" t="n">
        <v>2040</v>
      </c>
      <c r="F80" s="4" t="inlineStr">
        <is>
          <t>PCL</t>
        </is>
      </c>
      <c r="G80" s="4" t="inlineStr">
        <is>
          <t>LIM</t>
        </is>
      </c>
      <c r="H80" s="4" t="inlineStr">
        <is>
          <t>20:15:00</t>
        </is>
      </c>
      <c r="I80" s="4" t="inlineStr">
        <is>
          <t>21:30:00</t>
        </is>
      </c>
      <c r="J80" s="4" t="n">
        <v>320</v>
      </c>
      <c r="K80">
        <f>TEXT(TIMEVALUE(H80)-TIMEVALUE(I79)+(TIMEVALUE(H80)&lt;TIMEVALUE(I79)),"[h]:mm")</f>
        <v/>
      </c>
      <c r="L80" s="4" t="inlineStr">
        <is>
          <t>01:15:00</t>
        </is>
      </c>
      <c r="O80">
        <f>"LIM-"&amp;G79&amp;"-LIM   LA "&amp;E79&amp;" ("&amp;LEFT(H79,5)&amp;"-"&amp;LEFT(I79,5)&amp;" hrs)  /  LA "&amp;E80&amp;" ("&amp;LEFT(H80,5)&amp;"-"&amp;LEFT(I80,5)&amp;" hrs)"</f>
        <v/>
      </c>
    </row>
    <row r="81">
      <c r="J81" s="8" t="inlineStr">
        <is>
          <t>PSV total:</t>
        </is>
      </c>
      <c r="K81" s="9">
        <f>TEXT(TIMEVALUE(I80)-TIMEVALUE(H79)+(I80&lt;H79),"[h]:mm")</f>
        <v/>
      </c>
    </row>
    <row r="83">
      <c r="B83" s="3" t="inlineStr">
        <is>
          <t>Pairing ID</t>
        </is>
      </c>
      <c r="C83" s="3" t="inlineStr">
        <is>
          <t>FECHA REAL</t>
        </is>
      </c>
      <c r="D83" s="3" t="inlineStr">
        <is>
          <t>Day of Week</t>
        </is>
      </c>
      <c r="E83" s="3" t="inlineStr">
        <is>
          <t>Flight No</t>
        </is>
      </c>
      <c r="F83" s="3" t="inlineStr">
        <is>
          <t>Dep Stn</t>
        </is>
      </c>
      <c r="G83" s="3" t="inlineStr">
        <is>
          <t>Arr Stn</t>
        </is>
      </c>
      <c r="H83" s="3" t="inlineStr">
        <is>
          <t>STD</t>
        </is>
      </c>
      <c r="I83" s="3" t="inlineStr">
        <is>
          <t>STA</t>
        </is>
      </c>
      <c r="J83" s="3" t="inlineStr">
        <is>
          <t>subflota</t>
        </is>
      </c>
      <c r="K83" s="3" t="inlineStr">
        <is>
          <t>Conexion</t>
        </is>
      </c>
      <c r="L83" s="3" t="inlineStr">
        <is>
          <t>HBT</t>
        </is>
      </c>
    </row>
    <row r="84">
      <c r="B84" s="4" t="n">
        <v>160</v>
      </c>
      <c r="C84" s="4" t="inlineStr">
        <is>
          <t>01/09/2026</t>
        </is>
      </c>
      <c r="D84" s="4" t="inlineStr">
        <is>
          <t>martes</t>
        </is>
      </c>
      <c r="E84" s="4" t="n">
        <v>2091</v>
      </c>
      <c r="F84" s="4" t="inlineStr">
        <is>
          <t>LIM</t>
        </is>
      </c>
      <c r="G84" s="4" t="inlineStr">
        <is>
          <t>TPP</t>
        </is>
      </c>
      <c r="H84" s="4" t="inlineStr">
        <is>
          <t>18:30:00</t>
        </is>
      </c>
      <c r="I84" s="4" t="inlineStr">
        <is>
          <t>19:55:00</t>
        </is>
      </c>
      <c r="J84" s="4" t="n">
        <v>320</v>
      </c>
      <c r="L84" s="4" t="inlineStr">
        <is>
          <t>01:25:00</t>
        </is>
      </c>
      <c r="M84" s="5" t="n"/>
      <c r="N84" s="6" t="n"/>
      <c r="O84" s="5" t="n"/>
      <c r="Q84" s="4">
        <f>B84</f>
        <v/>
      </c>
      <c r="R84" s="4">
        <f>C84</f>
        <v/>
      </c>
      <c r="S84" s="4">
        <f>D84</f>
        <v/>
      </c>
      <c r="T84" s="4">
        <f>E84&amp;"/"&amp;E85</f>
        <v/>
      </c>
      <c r="U84" s="4">
        <f>F84&amp;"-"&amp;G84&amp;"-"&amp;F84</f>
        <v/>
      </c>
      <c r="V84" s="4">
        <f>IF($M$84="","",$M$84)</f>
        <v/>
      </c>
      <c r="W84" s="4">
        <f>IF($O$84="","",$O$84)</f>
        <v/>
      </c>
      <c r="X84" s="4">
        <f>J84</f>
        <v/>
      </c>
    </row>
    <row r="85">
      <c r="B85" s="4" t="n">
        <v>160</v>
      </c>
      <c r="C85" s="4" t="inlineStr">
        <is>
          <t>01/09/2026</t>
        </is>
      </c>
      <c r="D85" s="4" t="inlineStr">
        <is>
          <t>martes</t>
        </is>
      </c>
      <c r="E85" s="4" t="n">
        <v>2092</v>
      </c>
      <c r="F85" s="4" t="inlineStr">
        <is>
          <t>TPP</t>
        </is>
      </c>
      <c r="G85" s="4" t="inlineStr">
        <is>
          <t>LIM</t>
        </is>
      </c>
      <c r="H85" s="4" t="inlineStr">
        <is>
          <t>20:30:00</t>
        </is>
      </c>
      <c r="I85" s="4" t="inlineStr">
        <is>
          <t>21:55:00</t>
        </is>
      </c>
      <c r="J85" s="4" t="n">
        <v>320</v>
      </c>
      <c r="K85">
        <f>TEXT(TIMEVALUE(H85)-TIMEVALUE(I84)+(TIMEVALUE(H85)&lt;TIMEVALUE(I84)),"[h]:mm")</f>
        <v/>
      </c>
      <c r="L85" s="4" t="inlineStr">
        <is>
          <t>01:25:00</t>
        </is>
      </c>
      <c r="O85">
        <f>"LIM-"&amp;G84&amp;"-LIM   LA "&amp;E84&amp;" ("&amp;LEFT(H84,5)&amp;"-"&amp;LEFT(I84,5)&amp;" hrs)  /  LA "&amp;E85&amp;" ("&amp;LEFT(H85,5)&amp;"-"&amp;LEFT(I85,5)&amp;" hrs)"</f>
        <v/>
      </c>
    </row>
    <row r="86">
      <c r="J86" s="8" t="inlineStr">
        <is>
          <t>PSV total:</t>
        </is>
      </c>
      <c r="K86" s="9">
        <f>TEXT(TIMEVALUE(I85)-TIMEVALUE(H84)+(I85&lt;H84),"[h]:mm")</f>
        <v/>
      </c>
    </row>
    <row r="88">
      <c r="B88" s="3" t="inlineStr">
        <is>
          <t>Pairing ID</t>
        </is>
      </c>
      <c r="C88" s="3" t="inlineStr">
        <is>
          <t>FECHA REAL</t>
        </is>
      </c>
      <c r="D88" s="3" t="inlineStr">
        <is>
          <t>Day of Week</t>
        </is>
      </c>
      <c r="E88" s="3" t="inlineStr">
        <is>
          <t>Flight No</t>
        </is>
      </c>
      <c r="F88" s="3" t="inlineStr">
        <is>
          <t>Dep Stn</t>
        </is>
      </c>
      <c r="G88" s="3" t="inlineStr">
        <is>
          <t>Arr Stn</t>
        </is>
      </c>
      <c r="H88" s="3" t="inlineStr">
        <is>
          <t>STD</t>
        </is>
      </c>
      <c r="I88" s="3" t="inlineStr">
        <is>
          <t>STA</t>
        </is>
      </c>
      <c r="J88" s="3" t="inlineStr">
        <is>
          <t>subflota</t>
        </is>
      </c>
      <c r="K88" s="3" t="inlineStr">
        <is>
          <t>Conexion</t>
        </is>
      </c>
      <c r="L88" s="3" t="inlineStr">
        <is>
          <t>HBT</t>
        </is>
      </c>
    </row>
    <row r="89">
      <c r="B89" s="4" t="n">
        <v>162</v>
      </c>
      <c r="C89" s="4" t="inlineStr">
        <is>
          <t>01/09/2026</t>
        </is>
      </c>
      <c r="D89" s="4" t="inlineStr">
        <is>
          <t>martes</t>
        </is>
      </c>
      <c r="E89" s="4" t="n">
        <v>2164</v>
      </c>
      <c r="F89" s="4" t="inlineStr">
        <is>
          <t>LIM</t>
        </is>
      </c>
      <c r="G89" s="4" t="inlineStr">
        <is>
          <t>IQT</t>
        </is>
      </c>
      <c r="H89" s="4" t="inlineStr">
        <is>
          <t>21:30:00</t>
        </is>
      </c>
      <c r="I89" s="4" t="inlineStr">
        <is>
          <t>23:20:00</t>
        </is>
      </c>
      <c r="J89" s="4" t="n">
        <v>320</v>
      </c>
      <c r="L89" s="4" t="inlineStr">
        <is>
          <t>01:50:00</t>
        </is>
      </c>
      <c r="M89" s="5" t="n"/>
      <c r="N89" s="6" t="n"/>
      <c r="O89" s="5" t="n"/>
      <c r="Q89" s="4">
        <f>B89</f>
        <v/>
      </c>
      <c r="R89" s="4">
        <f>C89</f>
        <v/>
      </c>
      <c r="S89" s="4">
        <f>D89</f>
        <v/>
      </c>
      <c r="T89" s="4">
        <f>E89&amp;"/"&amp;E90</f>
        <v/>
      </c>
      <c r="U89" s="4">
        <f>F89&amp;"-"&amp;G89&amp;"-"&amp;F89</f>
        <v/>
      </c>
      <c r="V89" s="4">
        <f>IF($M$89="","",$M$89)</f>
        <v/>
      </c>
      <c r="W89" s="4">
        <f>IF($O$89="","",$O$89)</f>
        <v/>
      </c>
      <c r="X89" s="4">
        <f>J89</f>
        <v/>
      </c>
    </row>
    <row r="90">
      <c r="B90" s="4" t="n">
        <v>162</v>
      </c>
      <c r="C90" s="4" t="inlineStr">
        <is>
          <t>01/09/2026</t>
        </is>
      </c>
      <c r="D90" s="4" t="inlineStr">
        <is>
          <t>martes</t>
        </is>
      </c>
      <c r="E90" s="4" t="n">
        <v>2165</v>
      </c>
      <c r="F90" s="4" t="inlineStr">
        <is>
          <t>IQT</t>
        </is>
      </c>
      <c r="G90" s="4" t="inlineStr">
        <is>
          <t>LIM</t>
        </is>
      </c>
      <c r="H90" s="4" t="inlineStr">
        <is>
          <t>00:05:00</t>
        </is>
      </c>
      <c r="I90" s="4" t="inlineStr">
        <is>
          <t>01:55:00</t>
        </is>
      </c>
      <c r="J90" s="4" t="n">
        <v>320</v>
      </c>
      <c r="K90">
        <f>TEXT(TIMEVALUE(H90)-TIMEVALUE(I89)+(TIMEVALUE(H90)&lt;TIMEVALUE(I89)),"[h]:mm")</f>
        <v/>
      </c>
      <c r="L90" s="4" t="inlineStr">
        <is>
          <t>01:50:00</t>
        </is>
      </c>
      <c r="O90">
        <f>"LIM-"&amp;G89&amp;"-LIM   LA "&amp;E89&amp;" ("&amp;LEFT(H89,5)&amp;"-"&amp;LEFT(I89,5)&amp;" hrs)  /  LA "&amp;E90&amp;" ("&amp;LEFT(H90,5)&amp;"-"&amp;LEFT(I90,5)&amp;" hrs)"</f>
        <v/>
      </c>
    </row>
    <row r="91">
      <c r="J91" s="8" t="inlineStr">
        <is>
          <t>PSV total:</t>
        </is>
      </c>
      <c r="K91" s="9">
        <f>TEXT(TIMEVALUE(I90)-TIMEVALUE(H89)+(I90&lt;H89),"[h]:mm")</f>
        <v/>
      </c>
    </row>
    <row r="93">
      <c r="B93" s="3" t="inlineStr">
        <is>
          <t>Pairing ID</t>
        </is>
      </c>
      <c r="C93" s="3" t="inlineStr">
        <is>
          <t>FECHA REAL</t>
        </is>
      </c>
      <c r="D93" s="3" t="inlineStr">
        <is>
          <t>Day of Week</t>
        </is>
      </c>
      <c r="E93" s="3" t="inlineStr">
        <is>
          <t>Flight No</t>
        </is>
      </c>
      <c r="F93" s="3" t="inlineStr">
        <is>
          <t>Dep Stn</t>
        </is>
      </c>
      <c r="G93" s="3" t="inlineStr">
        <is>
          <t>Arr Stn</t>
        </is>
      </c>
      <c r="H93" s="3" t="inlineStr">
        <is>
          <t>STD</t>
        </is>
      </c>
      <c r="I93" s="3" t="inlineStr">
        <is>
          <t>STA</t>
        </is>
      </c>
      <c r="J93" s="3" t="inlineStr">
        <is>
          <t>subflota</t>
        </is>
      </c>
      <c r="K93" s="3" t="inlineStr">
        <is>
          <t>Conexion</t>
        </is>
      </c>
      <c r="L93" s="3" t="inlineStr">
        <is>
          <t>HBT</t>
        </is>
      </c>
    </row>
    <row r="94">
      <c r="B94" s="4" t="n">
        <v>205</v>
      </c>
      <c r="C94" s="4" t="inlineStr">
        <is>
          <t>02/09/2026</t>
        </is>
      </c>
      <c r="D94" s="4" t="inlineStr">
        <is>
          <t>miércoles</t>
        </is>
      </c>
      <c r="E94" s="4" t="n">
        <v>2013</v>
      </c>
      <c r="F94" s="4" t="inlineStr">
        <is>
          <t>LIM</t>
        </is>
      </c>
      <c r="G94" s="4" t="inlineStr">
        <is>
          <t>CUZ</t>
        </is>
      </c>
      <c r="H94" s="4" t="inlineStr">
        <is>
          <t>08:40:00</t>
        </is>
      </c>
      <c r="I94" s="4" t="inlineStr">
        <is>
          <t>10:00:00</t>
        </is>
      </c>
      <c r="J94" s="4" t="n">
        <v>320</v>
      </c>
      <c r="L94" s="4" t="inlineStr">
        <is>
          <t>01:20:00</t>
        </is>
      </c>
      <c r="M94" s="5" t="n"/>
      <c r="N94" s="6" t="n"/>
      <c r="O94" s="5" t="n"/>
      <c r="Q94" s="4">
        <f>B94</f>
        <v/>
      </c>
      <c r="R94" s="4">
        <f>C94</f>
        <v/>
      </c>
      <c r="S94" s="4">
        <f>D94</f>
        <v/>
      </c>
      <c r="T94" s="4">
        <f>E94&amp;"/"&amp;E95</f>
        <v/>
      </c>
      <c r="U94" s="4">
        <f>F94&amp;"-"&amp;G94&amp;"-"&amp;F94</f>
        <v/>
      </c>
      <c r="V94" s="4">
        <f>IF($M$94="","",$M$94)</f>
        <v/>
      </c>
      <c r="W94" s="4">
        <f>IF($O$94="","",$O$94)</f>
        <v/>
      </c>
      <c r="X94" s="4">
        <f>J94</f>
        <v/>
      </c>
    </row>
    <row r="95">
      <c r="B95" s="4" t="n">
        <v>205</v>
      </c>
      <c r="C95" s="4" t="inlineStr">
        <is>
          <t>02/09/2026</t>
        </is>
      </c>
      <c r="D95" s="4" t="inlineStr">
        <is>
          <t>miércoles</t>
        </is>
      </c>
      <c r="E95" s="4" t="n">
        <v>2014</v>
      </c>
      <c r="F95" s="4" t="inlineStr">
        <is>
          <t>CUZ</t>
        </is>
      </c>
      <c r="G95" s="4" t="inlineStr">
        <is>
          <t>LIM</t>
        </is>
      </c>
      <c r="H95" s="4" t="inlineStr">
        <is>
          <t>10:40:00</t>
        </is>
      </c>
      <c r="I95" s="4" t="inlineStr">
        <is>
          <t>12:15:00</t>
        </is>
      </c>
      <c r="J95" s="4" t="n">
        <v>320</v>
      </c>
      <c r="K95">
        <f>TEXT(TIMEVALUE(H95)-TIMEVALUE(I94)+(TIMEVALUE(H95)&lt;TIMEVALUE(I94)),"[h]:mm")</f>
        <v/>
      </c>
      <c r="L95" s="4" t="inlineStr">
        <is>
          <t>01:35:00</t>
        </is>
      </c>
      <c r="O95">
        <f>"LIM-"&amp;G94&amp;"-LIM   LA "&amp;E94&amp;" ("&amp;LEFT(H94,5)&amp;"-"&amp;LEFT(I94,5)&amp;" hrs)  /  LA "&amp;E95&amp;" ("&amp;LEFT(H95,5)&amp;"-"&amp;LEFT(I95,5)&amp;" hrs)"</f>
        <v/>
      </c>
    </row>
    <row r="96">
      <c r="J96" s="8" t="inlineStr">
        <is>
          <t>PSV total:</t>
        </is>
      </c>
      <c r="K96" s="9">
        <f>TEXT(TIMEVALUE(I95)-TIMEVALUE(H94)+(I95&lt;H94),"[h]:mm")</f>
        <v/>
      </c>
    </row>
    <row r="98">
      <c r="B98" s="3" t="inlineStr">
        <is>
          <t>Pairing ID</t>
        </is>
      </c>
      <c r="C98" s="3" t="inlineStr">
        <is>
          <t>FECHA REAL</t>
        </is>
      </c>
      <c r="D98" s="3" t="inlineStr">
        <is>
          <t>Day of Week</t>
        </is>
      </c>
      <c r="E98" s="3" t="inlineStr">
        <is>
          <t>Flight No</t>
        </is>
      </c>
      <c r="F98" s="3" t="inlineStr">
        <is>
          <t>Dep Stn</t>
        </is>
      </c>
      <c r="G98" s="3" t="inlineStr">
        <is>
          <t>Arr Stn</t>
        </is>
      </c>
      <c r="H98" s="3" t="inlineStr">
        <is>
          <t>STD</t>
        </is>
      </c>
      <c r="I98" s="3" t="inlineStr">
        <is>
          <t>STA</t>
        </is>
      </c>
      <c r="J98" s="3" t="inlineStr">
        <is>
          <t>subflota</t>
        </is>
      </c>
      <c r="K98" s="3" t="inlineStr">
        <is>
          <t>Conexion</t>
        </is>
      </c>
      <c r="L98" s="3" t="inlineStr">
        <is>
          <t>HBT</t>
        </is>
      </c>
    </row>
    <row r="99">
      <c r="B99" s="4" t="n">
        <v>209</v>
      </c>
      <c r="C99" s="4" t="inlineStr">
        <is>
          <t>02/09/2026</t>
        </is>
      </c>
      <c r="D99" s="4" t="inlineStr">
        <is>
          <t>miércoles</t>
        </is>
      </c>
      <c r="E99" s="4" t="n">
        <v>2007</v>
      </c>
      <c r="F99" s="4" t="inlineStr">
        <is>
          <t>LIM</t>
        </is>
      </c>
      <c r="G99" s="4" t="inlineStr">
        <is>
          <t>CUZ</t>
        </is>
      </c>
      <c r="H99" s="4" t="inlineStr">
        <is>
          <t>09:10:00</t>
        </is>
      </c>
      <c r="I99" s="4" t="inlineStr">
        <is>
          <t>10:30:00</t>
        </is>
      </c>
      <c r="J99" s="4" t="n">
        <v>319</v>
      </c>
      <c r="L99" s="4" t="inlineStr">
        <is>
          <t>01:20:00</t>
        </is>
      </c>
      <c r="M99" s="5" t="n"/>
      <c r="N99" s="6" t="n"/>
      <c r="O99" s="5" t="n"/>
      <c r="Q99" s="4">
        <f>B99</f>
        <v/>
      </c>
      <c r="R99" s="4">
        <f>C99</f>
        <v/>
      </c>
      <c r="S99" s="4">
        <f>D99</f>
        <v/>
      </c>
      <c r="T99" s="4">
        <f>E99&amp;"/"&amp;E100</f>
        <v/>
      </c>
      <c r="U99" s="4">
        <f>F99&amp;"-"&amp;G99&amp;"-"&amp;F99</f>
        <v/>
      </c>
      <c r="V99" s="4">
        <f>IF($M$99="","",$M$99)</f>
        <v/>
      </c>
      <c r="W99" s="4">
        <f>IF($O$99="","",$O$99)</f>
        <v/>
      </c>
      <c r="X99" s="4">
        <f>J99</f>
        <v/>
      </c>
    </row>
    <row r="100">
      <c r="B100" s="4" t="n">
        <v>209</v>
      </c>
      <c r="C100" s="4" t="inlineStr">
        <is>
          <t>02/09/2026</t>
        </is>
      </c>
      <c r="D100" s="4" t="inlineStr">
        <is>
          <t>miércoles</t>
        </is>
      </c>
      <c r="E100" s="4" t="n">
        <v>2008</v>
      </c>
      <c r="F100" s="4" t="inlineStr">
        <is>
          <t>CUZ</t>
        </is>
      </c>
      <c r="G100" s="4" t="inlineStr">
        <is>
          <t>LIM</t>
        </is>
      </c>
      <c r="H100" s="4" t="inlineStr">
        <is>
          <t>11:20:00</t>
        </is>
      </c>
      <c r="I100" s="4" t="inlineStr">
        <is>
          <t>12:55:00</t>
        </is>
      </c>
      <c r="J100" s="4" t="n">
        <v>319</v>
      </c>
      <c r="K100">
        <f>TEXT(TIMEVALUE(H100)-TIMEVALUE(I99)+(TIMEVALUE(H100)&lt;TIMEVALUE(I99)),"[h]:mm")</f>
        <v/>
      </c>
      <c r="L100" s="4" t="inlineStr">
        <is>
          <t>01:35:00</t>
        </is>
      </c>
      <c r="O100">
        <f>"LIM-"&amp;G99&amp;"-LIM   LA "&amp;E99&amp;" ("&amp;LEFT(H99,5)&amp;"-"&amp;LEFT(I99,5)&amp;" hrs)  /  LA "&amp;E100&amp;" ("&amp;LEFT(H100,5)&amp;"-"&amp;LEFT(I100,5)&amp;" hrs)"</f>
        <v/>
      </c>
    </row>
    <row r="101">
      <c r="B101" s="4" t="n">
        <v>227</v>
      </c>
      <c r="C101" s="4" t="inlineStr">
        <is>
          <t>02/09/2026</t>
        </is>
      </c>
      <c r="D101" s="4" t="inlineStr">
        <is>
          <t>miércoles</t>
        </is>
      </c>
      <c r="E101" s="4" t="n">
        <v>2055</v>
      </c>
      <c r="F101" s="4" t="inlineStr">
        <is>
          <t>LIM</t>
        </is>
      </c>
      <c r="G101" s="4" t="inlineStr">
        <is>
          <t>AQP</t>
        </is>
      </c>
      <c r="H101" s="4" t="inlineStr">
        <is>
          <t>13:50:00</t>
        </is>
      </c>
      <c r="I101" s="4" t="inlineStr">
        <is>
          <t>15:20:00</t>
        </is>
      </c>
      <c r="J101" s="4" t="n">
        <v>320</v>
      </c>
      <c r="K101" s="7">
        <f>TEXT(TIMEVALUE(H101)-TIMEVALUE(I100)+(TIMEVALUE(H101)&lt;TIMEVALUE(I100)),"[h]:mm")</f>
        <v/>
      </c>
      <c r="L101" s="4" t="inlineStr">
        <is>
          <t>01:30:00</t>
        </is>
      </c>
      <c r="M101">
        <f>IF($M$99="","",$M$99)</f>
        <v/>
      </c>
      <c r="O101">
        <f>IF($O$99="","",$O$99)</f>
        <v/>
      </c>
      <c r="Q101" s="4">
        <f>B101</f>
        <v/>
      </c>
      <c r="R101" s="4">
        <f>C101</f>
        <v/>
      </c>
      <c r="S101" s="4">
        <f>D101</f>
        <v/>
      </c>
      <c r="T101" s="4">
        <f>E101&amp;"/"&amp;E102</f>
        <v/>
      </c>
      <c r="U101" s="4">
        <f>F101&amp;"-"&amp;G101&amp;"-"&amp;F101</f>
        <v/>
      </c>
      <c r="V101" s="4">
        <f>IF($M$99="","",$M$99)</f>
        <v/>
      </c>
      <c r="W101" s="4">
        <f>IF($O$99="","",$O$99)</f>
        <v/>
      </c>
      <c r="X101" s="4">
        <f>J101</f>
        <v/>
      </c>
    </row>
    <row r="102">
      <c r="B102" s="4" t="n">
        <v>227</v>
      </c>
      <c r="C102" s="4" t="inlineStr">
        <is>
          <t>02/09/2026</t>
        </is>
      </c>
      <c r="D102" s="4" t="inlineStr">
        <is>
          <t>miércoles</t>
        </is>
      </c>
      <c r="E102" s="4" t="n">
        <v>2056</v>
      </c>
      <c r="F102" s="4" t="inlineStr">
        <is>
          <t>AQP</t>
        </is>
      </c>
      <c r="G102" s="4" t="inlineStr">
        <is>
          <t>LIM</t>
        </is>
      </c>
      <c r="H102" s="4" t="inlineStr">
        <is>
          <t>16:10:00</t>
        </is>
      </c>
      <c r="I102" s="4" t="inlineStr">
        <is>
          <t>17:50:00</t>
        </is>
      </c>
      <c r="J102" s="4" t="n">
        <v>320</v>
      </c>
      <c r="K102">
        <f>TEXT(TIMEVALUE(H102)-TIMEVALUE(I101)+(TIMEVALUE(H102)&lt;TIMEVALUE(I101)),"[h]:mm")</f>
        <v/>
      </c>
      <c r="L102" s="4" t="inlineStr">
        <is>
          <t>01:40:00</t>
        </is>
      </c>
      <c r="O102">
        <f>"LIM-"&amp;G101&amp;"-LIM   LA "&amp;E101&amp;" ("&amp;LEFT(H101,5)&amp;"-"&amp;LEFT(I101,5)&amp;" hrs)  /  LA "&amp;E102&amp;" ("&amp;LEFT(H102,5)&amp;"-"&amp;LEFT(I102,5)&amp;" hrs)"</f>
        <v/>
      </c>
    </row>
    <row r="103">
      <c r="J103" s="8" t="inlineStr">
        <is>
          <t>PSV total:</t>
        </is>
      </c>
      <c r="K103" s="9">
        <f>TEXT(TIMEVALUE(I102)-TIMEVALUE(H99)+(I102&lt;H99),"[h]:mm")</f>
        <v/>
      </c>
    </row>
    <row r="105">
      <c r="B105" s="3" t="inlineStr">
        <is>
          <t>Pairing ID</t>
        </is>
      </c>
      <c r="C105" s="3" t="inlineStr">
        <is>
          <t>FECHA REAL</t>
        </is>
      </c>
      <c r="D105" s="3" t="inlineStr">
        <is>
          <t>Day of Week</t>
        </is>
      </c>
      <c r="E105" s="3" t="inlineStr">
        <is>
          <t>Flight No</t>
        </is>
      </c>
      <c r="F105" s="3" t="inlineStr">
        <is>
          <t>Dep Stn</t>
        </is>
      </c>
      <c r="G105" s="3" t="inlineStr">
        <is>
          <t>Arr Stn</t>
        </is>
      </c>
      <c r="H105" s="3" t="inlineStr">
        <is>
          <t>STD</t>
        </is>
      </c>
      <c r="I105" s="3" t="inlineStr">
        <is>
          <t>STA</t>
        </is>
      </c>
      <c r="J105" s="3" t="inlineStr">
        <is>
          <t>subflota</t>
        </is>
      </c>
      <c r="K105" s="3" t="inlineStr">
        <is>
          <t>Conexion</t>
        </is>
      </c>
      <c r="L105" s="3" t="inlineStr">
        <is>
          <t>HBT</t>
        </is>
      </c>
    </row>
    <row r="106">
      <c r="B106" s="4" t="n">
        <v>215</v>
      </c>
      <c r="C106" s="4" t="inlineStr">
        <is>
          <t>02/09/2026</t>
        </is>
      </c>
      <c r="D106" s="4" t="inlineStr">
        <is>
          <t>miércoles</t>
        </is>
      </c>
      <c r="E106" s="4" t="n">
        <v>2019</v>
      </c>
      <c r="F106" s="4" t="inlineStr">
        <is>
          <t>LIM</t>
        </is>
      </c>
      <c r="G106" s="4" t="inlineStr">
        <is>
          <t>IQT</t>
        </is>
      </c>
      <c r="H106" s="4" t="inlineStr">
        <is>
          <t>11:35:00</t>
        </is>
      </c>
      <c r="I106" s="4" t="inlineStr">
        <is>
          <t>13:25:00</t>
        </is>
      </c>
      <c r="J106" s="4" t="n">
        <v>320</v>
      </c>
      <c r="L106" s="4" t="inlineStr">
        <is>
          <t>01:50:00</t>
        </is>
      </c>
      <c r="M106" s="5" t="n"/>
      <c r="N106" s="6" t="n"/>
      <c r="O106" s="5" t="n"/>
      <c r="Q106" s="4">
        <f>B106</f>
        <v/>
      </c>
      <c r="R106" s="4">
        <f>C106</f>
        <v/>
      </c>
      <c r="S106" s="4">
        <f>D106</f>
        <v/>
      </c>
      <c r="T106" s="4">
        <f>E106&amp;"/"&amp;E107</f>
        <v/>
      </c>
      <c r="U106" s="4">
        <f>F106&amp;"-"&amp;G106&amp;"-"&amp;F106</f>
        <v/>
      </c>
      <c r="V106" s="4">
        <f>IF($M$106="","",$M$106)</f>
        <v/>
      </c>
      <c r="W106" s="4">
        <f>IF($O$106="","",$O$106)</f>
        <v/>
      </c>
      <c r="X106" s="4">
        <f>J106</f>
        <v/>
      </c>
    </row>
    <row r="107">
      <c r="B107" s="4" t="n">
        <v>215</v>
      </c>
      <c r="C107" s="4" t="inlineStr">
        <is>
          <t>02/09/2026</t>
        </is>
      </c>
      <c r="D107" s="4" t="inlineStr">
        <is>
          <t>miércoles</t>
        </is>
      </c>
      <c r="E107" s="4" t="n">
        <v>2038</v>
      </c>
      <c r="F107" s="4" t="inlineStr">
        <is>
          <t>IQT</t>
        </is>
      </c>
      <c r="G107" s="4" t="inlineStr">
        <is>
          <t>LIM</t>
        </is>
      </c>
      <c r="H107" s="4" t="inlineStr">
        <is>
          <t>14:05:00</t>
        </is>
      </c>
      <c r="I107" s="4" t="inlineStr">
        <is>
          <t>15:55:00</t>
        </is>
      </c>
      <c r="J107" s="4" t="n">
        <v>320</v>
      </c>
      <c r="K107">
        <f>TEXT(TIMEVALUE(H107)-TIMEVALUE(I106)+(TIMEVALUE(H107)&lt;TIMEVALUE(I106)),"[h]:mm")</f>
        <v/>
      </c>
      <c r="L107" s="4" t="inlineStr">
        <is>
          <t>01:50:00</t>
        </is>
      </c>
      <c r="O107">
        <f>"LIM-"&amp;G106&amp;"-LIM   LA "&amp;E106&amp;" ("&amp;LEFT(H106,5)&amp;"-"&amp;LEFT(I106,5)&amp;" hrs)  /  LA "&amp;E107&amp;" ("&amp;LEFT(H107,5)&amp;"-"&amp;LEFT(I107,5)&amp;" hrs)"</f>
        <v/>
      </c>
    </row>
    <row r="108">
      <c r="J108" s="8" t="inlineStr">
        <is>
          <t>PSV total:</t>
        </is>
      </c>
      <c r="K108" s="9">
        <f>TEXT(TIMEVALUE(I107)-TIMEVALUE(H106)+(I107&lt;H106),"[h]:mm")</f>
        <v/>
      </c>
    </row>
    <row r="110">
      <c r="B110" s="3" t="inlineStr">
        <is>
          <t>Pairing ID</t>
        </is>
      </c>
      <c r="C110" s="3" t="inlineStr">
        <is>
          <t>FECHA REAL</t>
        </is>
      </c>
      <c r="D110" s="3" t="inlineStr">
        <is>
          <t>Day of Week</t>
        </is>
      </c>
      <c r="E110" s="3" t="inlineStr">
        <is>
          <t>Flight No</t>
        </is>
      </c>
      <c r="F110" s="3" t="inlineStr">
        <is>
          <t>Dep Stn</t>
        </is>
      </c>
      <c r="G110" s="3" t="inlineStr">
        <is>
          <t>Arr Stn</t>
        </is>
      </c>
      <c r="H110" s="3" t="inlineStr">
        <is>
          <t>STD</t>
        </is>
      </c>
      <c r="I110" s="3" t="inlineStr">
        <is>
          <t>STA</t>
        </is>
      </c>
      <c r="J110" s="3" t="inlineStr">
        <is>
          <t>subflota</t>
        </is>
      </c>
      <c r="K110" s="3" t="inlineStr">
        <is>
          <t>Conexion</t>
        </is>
      </c>
      <c r="L110" s="3" t="inlineStr">
        <is>
          <t>HBT</t>
        </is>
      </c>
    </row>
    <row r="111">
      <c r="B111" s="4" t="n">
        <v>219</v>
      </c>
      <c r="C111" s="4" t="inlineStr">
        <is>
          <t>02/09/2026</t>
        </is>
      </c>
      <c r="D111" s="4" t="inlineStr">
        <is>
          <t>miércoles</t>
        </is>
      </c>
      <c r="E111" s="4" t="n">
        <v>2023</v>
      </c>
      <c r="F111" s="4" t="inlineStr">
        <is>
          <t>LIM</t>
        </is>
      </c>
      <c r="G111" s="4" t="inlineStr">
        <is>
          <t>PEM</t>
        </is>
      </c>
      <c r="H111" s="4" t="inlineStr">
        <is>
          <t>12:15:00</t>
        </is>
      </c>
      <c r="I111" s="4" t="inlineStr">
        <is>
          <t>13:55:00</t>
        </is>
      </c>
      <c r="J111" s="4" t="n">
        <v>319</v>
      </c>
      <c r="L111" s="4" t="inlineStr">
        <is>
          <t>01:40:00</t>
        </is>
      </c>
      <c r="M111" s="5" t="n"/>
      <c r="N111" s="6" t="n"/>
      <c r="O111" s="5" t="n"/>
      <c r="Q111" s="4">
        <f>B111</f>
        <v/>
      </c>
      <c r="R111" s="4">
        <f>C111</f>
        <v/>
      </c>
      <c r="S111" s="4">
        <f>D111</f>
        <v/>
      </c>
      <c r="T111" s="4">
        <f>E111&amp;"/"&amp;E112</f>
        <v/>
      </c>
      <c r="U111" s="4">
        <f>F111&amp;"-"&amp;G111&amp;"-"&amp;F111</f>
        <v/>
      </c>
      <c r="V111" s="4">
        <f>IF($M$111="","",$M$111)</f>
        <v/>
      </c>
      <c r="W111" s="4">
        <f>IF($O$111="","",$O$111)</f>
        <v/>
      </c>
      <c r="X111" s="4">
        <f>J111</f>
        <v/>
      </c>
    </row>
    <row r="112">
      <c r="B112" s="4" t="n">
        <v>219</v>
      </c>
      <c r="C112" s="4" t="inlineStr">
        <is>
          <t>02/09/2026</t>
        </is>
      </c>
      <c r="D112" s="4" t="inlineStr">
        <is>
          <t>miércoles</t>
        </is>
      </c>
      <c r="E112" s="4" t="n">
        <v>2024</v>
      </c>
      <c r="F112" s="4" t="inlineStr">
        <is>
          <t>PEM</t>
        </is>
      </c>
      <c r="G112" s="4" t="inlineStr">
        <is>
          <t>LIM</t>
        </is>
      </c>
      <c r="H112" s="4" t="inlineStr">
        <is>
          <t>14:35:00</t>
        </is>
      </c>
      <c r="I112" s="4" t="inlineStr">
        <is>
          <t>16:10:00</t>
        </is>
      </c>
      <c r="J112" s="4" t="n">
        <v>319</v>
      </c>
      <c r="K112">
        <f>TEXT(TIMEVALUE(H112)-TIMEVALUE(I111)+(TIMEVALUE(H112)&lt;TIMEVALUE(I111)),"[h]:mm")</f>
        <v/>
      </c>
      <c r="L112" s="4" t="inlineStr">
        <is>
          <t>01:35:00</t>
        </is>
      </c>
      <c r="O112">
        <f>"LIM-"&amp;G111&amp;"-LIM   LA "&amp;E111&amp;" ("&amp;LEFT(H111,5)&amp;"-"&amp;LEFT(I111,5)&amp;" hrs)  /  LA "&amp;E112&amp;" ("&amp;LEFT(H112,5)&amp;"-"&amp;LEFT(I112,5)&amp;" hrs)"</f>
        <v/>
      </c>
    </row>
    <row r="113">
      <c r="J113" s="8" t="inlineStr">
        <is>
          <t>PSV total:</t>
        </is>
      </c>
      <c r="K113" s="9">
        <f>TEXT(TIMEVALUE(I112)-TIMEVALUE(H111)+(I112&lt;H111),"[h]:mm")</f>
        <v/>
      </c>
    </row>
    <row r="115">
      <c r="B115" s="3" t="inlineStr">
        <is>
          <t>Pairing ID</t>
        </is>
      </c>
      <c r="C115" s="3" t="inlineStr">
        <is>
          <t>FECHA REAL</t>
        </is>
      </c>
      <c r="D115" s="3" t="inlineStr">
        <is>
          <t>Day of Week</t>
        </is>
      </c>
      <c r="E115" s="3" t="inlineStr">
        <is>
          <t>Flight No</t>
        </is>
      </c>
      <c r="F115" s="3" t="inlineStr">
        <is>
          <t>Dep Stn</t>
        </is>
      </c>
      <c r="G115" s="3" t="inlineStr">
        <is>
          <t>Arr Stn</t>
        </is>
      </c>
      <c r="H115" s="3" t="inlineStr">
        <is>
          <t>STD</t>
        </is>
      </c>
      <c r="I115" s="3" t="inlineStr">
        <is>
          <t>STA</t>
        </is>
      </c>
      <c r="J115" s="3" t="inlineStr">
        <is>
          <t>subflota</t>
        </is>
      </c>
      <c r="K115" s="3" t="inlineStr">
        <is>
          <t>Conexion</t>
        </is>
      </c>
      <c r="L115" s="3" t="inlineStr">
        <is>
          <t>HBT</t>
        </is>
      </c>
    </row>
    <row r="116">
      <c r="B116" s="4" t="n">
        <v>222</v>
      </c>
      <c r="C116" s="4" t="inlineStr">
        <is>
          <t>02/09/2026</t>
        </is>
      </c>
      <c r="D116" s="4" t="inlineStr">
        <is>
          <t>miércoles</t>
        </is>
      </c>
      <c r="E116" s="4" t="n">
        <v>2308</v>
      </c>
      <c r="F116" s="4" t="inlineStr">
        <is>
          <t>LIM</t>
        </is>
      </c>
      <c r="G116" s="4" t="inlineStr">
        <is>
          <t>PIU</t>
        </is>
      </c>
      <c r="H116" s="4" t="inlineStr">
        <is>
          <t>12:50:00</t>
        </is>
      </c>
      <c r="I116" s="4" t="inlineStr">
        <is>
          <t>14:35:00</t>
        </is>
      </c>
      <c r="J116" s="4" t="n">
        <v>319</v>
      </c>
      <c r="L116" s="4" t="inlineStr">
        <is>
          <t>01:45:00</t>
        </is>
      </c>
      <c r="M116" s="5" t="n"/>
      <c r="N116" s="6" t="n"/>
      <c r="O116" s="5" t="n"/>
      <c r="Q116" s="4">
        <f>B116</f>
        <v/>
      </c>
      <c r="R116" s="4">
        <f>C116</f>
        <v/>
      </c>
      <c r="S116" s="4">
        <f>D116</f>
        <v/>
      </c>
      <c r="T116" s="4">
        <f>E116&amp;"/"&amp;E117</f>
        <v/>
      </c>
      <c r="U116" s="4">
        <f>F116&amp;"-"&amp;G116&amp;"-"&amp;F116</f>
        <v/>
      </c>
      <c r="V116" s="4">
        <f>IF($M$116="","",$M$116)</f>
        <v/>
      </c>
      <c r="W116" s="4">
        <f>IF($O$116="","",$O$116)</f>
        <v/>
      </c>
      <c r="X116" s="4">
        <f>J116</f>
        <v/>
      </c>
    </row>
    <row r="117">
      <c r="B117" s="4" t="n">
        <v>222</v>
      </c>
      <c r="C117" s="4" t="inlineStr">
        <is>
          <t>02/09/2026</t>
        </is>
      </c>
      <c r="D117" s="4" t="inlineStr">
        <is>
          <t>miércoles</t>
        </is>
      </c>
      <c r="E117" s="4" t="n">
        <v>2309</v>
      </c>
      <c r="F117" s="4" t="inlineStr">
        <is>
          <t>PIU</t>
        </is>
      </c>
      <c r="G117" s="4" t="inlineStr">
        <is>
          <t>LIM</t>
        </is>
      </c>
      <c r="H117" s="4" t="inlineStr">
        <is>
          <t>15:25:00</t>
        </is>
      </c>
      <c r="I117" s="4" t="inlineStr">
        <is>
          <t>16:55:00</t>
        </is>
      </c>
      <c r="J117" s="4" t="n">
        <v>319</v>
      </c>
      <c r="K117">
        <f>TEXT(TIMEVALUE(H117)-TIMEVALUE(I116)+(TIMEVALUE(H117)&lt;TIMEVALUE(I116)),"[h]:mm")</f>
        <v/>
      </c>
      <c r="L117" s="4" t="inlineStr">
        <is>
          <t>01:30:00</t>
        </is>
      </c>
      <c r="O117">
        <f>"LIM-"&amp;G116&amp;"-LIM   LA "&amp;E116&amp;" ("&amp;LEFT(H116,5)&amp;"-"&amp;LEFT(I116,5)&amp;" hrs)  /  LA "&amp;E117&amp;" ("&amp;LEFT(H117,5)&amp;"-"&amp;LEFT(I117,5)&amp;" hrs)"</f>
        <v/>
      </c>
    </row>
    <row r="118">
      <c r="B118" s="4" t="n">
        <v>248</v>
      </c>
      <c r="C118" s="4" t="inlineStr">
        <is>
          <t>02/09/2026</t>
        </is>
      </c>
      <c r="D118" s="4" t="inlineStr">
        <is>
          <t>miércoles</t>
        </is>
      </c>
      <c r="E118" s="4" t="n">
        <v>2236</v>
      </c>
      <c r="F118" s="4" t="inlineStr">
        <is>
          <t>LIM</t>
        </is>
      </c>
      <c r="G118" s="4" t="inlineStr">
        <is>
          <t>PIU</t>
        </is>
      </c>
      <c r="H118" s="4" t="inlineStr">
        <is>
          <t>18:00:00</t>
        </is>
      </c>
      <c r="I118" s="4" t="inlineStr">
        <is>
          <t>19:40:00</t>
        </is>
      </c>
      <c r="J118" s="4" t="n">
        <v>320</v>
      </c>
      <c r="K118" s="7">
        <f>TEXT(TIMEVALUE(H118)-TIMEVALUE(I117)+(TIMEVALUE(H118)&lt;TIMEVALUE(I117)),"[h]:mm")</f>
        <v/>
      </c>
      <c r="L118" s="4" t="inlineStr">
        <is>
          <t>01:40:00</t>
        </is>
      </c>
      <c r="M118">
        <f>IF($M$116="","",$M$116)</f>
        <v/>
      </c>
      <c r="O118">
        <f>IF($O$116="","",$O$116)</f>
        <v/>
      </c>
      <c r="Q118" s="4">
        <f>B118</f>
        <v/>
      </c>
      <c r="R118" s="4">
        <f>C118</f>
        <v/>
      </c>
      <c r="S118" s="4">
        <f>D118</f>
        <v/>
      </c>
      <c r="T118" s="4">
        <f>E118&amp;"/"&amp;E119</f>
        <v/>
      </c>
      <c r="U118" s="4">
        <f>F118&amp;"-"&amp;G118&amp;"-"&amp;F118</f>
        <v/>
      </c>
      <c r="V118" s="4">
        <f>IF($M$116="","",$M$116)</f>
        <v/>
      </c>
      <c r="W118" s="4">
        <f>IF($O$116="","",$O$116)</f>
        <v/>
      </c>
      <c r="X118" s="4">
        <f>J118</f>
        <v/>
      </c>
    </row>
    <row r="119">
      <c r="B119" s="4" t="n">
        <v>248</v>
      </c>
      <c r="C119" s="4" t="inlineStr">
        <is>
          <t>02/09/2026</t>
        </is>
      </c>
      <c r="D119" s="4" t="inlineStr">
        <is>
          <t>miércoles</t>
        </is>
      </c>
      <c r="E119" s="4" t="n">
        <v>2237</v>
      </c>
      <c r="F119" s="4" t="inlineStr">
        <is>
          <t>PIU</t>
        </is>
      </c>
      <c r="G119" s="4" t="inlineStr">
        <is>
          <t>LIM</t>
        </is>
      </c>
      <c r="H119" s="4" t="inlineStr">
        <is>
          <t>20:20:00</t>
        </is>
      </c>
      <c r="I119" s="4" t="inlineStr">
        <is>
          <t>21:50:00</t>
        </is>
      </c>
      <c r="J119" s="4" t="n">
        <v>320</v>
      </c>
      <c r="K119">
        <f>TEXT(TIMEVALUE(H119)-TIMEVALUE(I118)+(TIMEVALUE(H119)&lt;TIMEVALUE(I118)),"[h]:mm")</f>
        <v/>
      </c>
      <c r="L119" s="4" t="inlineStr">
        <is>
          <t>01:30:00</t>
        </is>
      </c>
      <c r="O119">
        <f>"LIM-"&amp;G118&amp;"-LIM   LA "&amp;E118&amp;" ("&amp;LEFT(H118,5)&amp;"-"&amp;LEFT(I118,5)&amp;" hrs)  /  LA "&amp;E119&amp;" ("&amp;LEFT(H119,5)&amp;"-"&amp;LEFT(I119,5)&amp;" hrs)"</f>
        <v/>
      </c>
    </row>
    <row r="120">
      <c r="J120" s="8" t="inlineStr">
        <is>
          <t>PSV total:</t>
        </is>
      </c>
      <c r="K120" s="9">
        <f>TEXT(TIMEVALUE(I119)-TIMEVALUE(H116)+(I119&lt;H116),"[h]:mm")</f>
        <v/>
      </c>
    </row>
    <row r="122">
      <c r="B122" s="3" t="inlineStr">
        <is>
          <t>Pairing ID</t>
        </is>
      </c>
      <c r="C122" s="3" t="inlineStr">
        <is>
          <t>FECHA REAL</t>
        </is>
      </c>
      <c r="D122" s="3" t="inlineStr">
        <is>
          <t>Day of Week</t>
        </is>
      </c>
      <c r="E122" s="3" t="inlineStr">
        <is>
          <t>Flight No</t>
        </is>
      </c>
      <c r="F122" s="3" t="inlineStr">
        <is>
          <t>Dep Stn</t>
        </is>
      </c>
      <c r="G122" s="3" t="inlineStr">
        <is>
          <t>Arr Stn</t>
        </is>
      </c>
      <c r="H122" s="3" t="inlineStr">
        <is>
          <t>STD</t>
        </is>
      </c>
      <c r="I122" s="3" t="inlineStr">
        <is>
          <t>STA</t>
        </is>
      </c>
      <c r="J122" s="3" t="inlineStr">
        <is>
          <t>subflota</t>
        </is>
      </c>
      <c r="K122" s="3" t="inlineStr">
        <is>
          <t>Conexion</t>
        </is>
      </c>
      <c r="L122" s="3" t="inlineStr">
        <is>
          <t>HBT</t>
        </is>
      </c>
    </row>
    <row r="123">
      <c r="B123" s="4" t="n">
        <v>229</v>
      </c>
      <c r="C123" s="4" t="inlineStr">
        <is>
          <t>02/09/2026</t>
        </is>
      </c>
      <c r="D123" s="4" t="inlineStr">
        <is>
          <t>miércoles</t>
        </is>
      </c>
      <c r="E123" s="4" t="n">
        <v>2087</v>
      </c>
      <c r="F123" s="4" t="inlineStr">
        <is>
          <t>LIM</t>
        </is>
      </c>
      <c r="G123" s="4" t="inlineStr">
        <is>
          <t>TPP</t>
        </is>
      </c>
      <c r="H123" s="4" t="inlineStr">
        <is>
          <t>14:05:00</t>
        </is>
      </c>
      <c r="I123" s="4" t="inlineStr">
        <is>
          <t>15:30:00</t>
        </is>
      </c>
      <c r="J123" s="4" t="n">
        <v>320</v>
      </c>
      <c r="L123" s="4" t="inlineStr">
        <is>
          <t>01:25:00</t>
        </is>
      </c>
      <c r="M123" s="5" t="n"/>
      <c r="N123" s="6" t="n"/>
      <c r="O123" s="5" t="n"/>
      <c r="Q123" s="4">
        <f>B123</f>
        <v/>
      </c>
      <c r="R123" s="4">
        <f>C123</f>
        <v/>
      </c>
      <c r="S123" s="4">
        <f>D123</f>
        <v/>
      </c>
      <c r="T123" s="4">
        <f>E123&amp;"/"&amp;E124</f>
        <v/>
      </c>
      <c r="U123" s="4">
        <f>F123&amp;"-"&amp;G123&amp;"-"&amp;F123</f>
        <v/>
      </c>
      <c r="V123" s="4">
        <f>IF($M$123="","",$M$123)</f>
        <v/>
      </c>
      <c r="W123" s="4">
        <f>IF($O$123="","",$O$123)</f>
        <v/>
      </c>
      <c r="X123" s="4">
        <f>J123</f>
        <v/>
      </c>
    </row>
    <row r="124">
      <c r="B124" s="4" t="n">
        <v>229</v>
      </c>
      <c r="C124" s="4" t="inlineStr">
        <is>
          <t>02/09/2026</t>
        </is>
      </c>
      <c r="D124" s="4" t="inlineStr">
        <is>
          <t>miércoles</t>
        </is>
      </c>
      <c r="E124" s="4" t="n">
        <v>2088</v>
      </c>
      <c r="F124" s="4" t="inlineStr">
        <is>
          <t>TPP</t>
        </is>
      </c>
      <c r="G124" s="4" t="inlineStr">
        <is>
          <t>LIM</t>
        </is>
      </c>
      <c r="H124" s="4" t="inlineStr">
        <is>
          <t>16:05:00</t>
        </is>
      </c>
      <c r="I124" s="4" t="inlineStr">
        <is>
          <t>17:30:00</t>
        </is>
      </c>
      <c r="J124" s="4" t="n">
        <v>320</v>
      </c>
      <c r="K124">
        <f>TEXT(TIMEVALUE(H124)-TIMEVALUE(I123)+(TIMEVALUE(H124)&lt;TIMEVALUE(I123)),"[h]:mm")</f>
        <v/>
      </c>
      <c r="L124" s="4" t="inlineStr">
        <is>
          <t>01:25:00</t>
        </is>
      </c>
      <c r="O124">
        <f>"LIM-"&amp;G123&amp;"-LIM   LA "&amp;E123&amp;" ("&amp;LEFT(H123,5)&amp;"-"&amp;LEFT(I123,5)&amp;" hrs)  /  LA "&amp;E124&amp;" ("&amp;LEFT(H124,5)&amp;"-"&amp;LEFT(I124,5)&amp;" hrs)"</f>
        <v/>
      </c>
    </row>
    <row r="125">
      <c r="B125" s="4" t="n">
        <v>251</v>
      </c>
      <c r="C125" s="4" t="inlineStr">
        <is>
          <t>02/09/2026</t>
        </is>
      </c>
      <c r="D125" s="4" t="inlineStr">
        <is>
          <t>miércoles</t>
        </is>
      </c>
      <c r="E125" s="4" t="n">
        <v>2117</v>
      </c>
      <c r="F125" s="4" t="inlineStr">
        <is>
          <t>LIM</t>
        </is>
      </c>
      <c r="G125" s="4" t="inlineStr">
        <is>
          <t>AQP</t>
        </is>
      </c>
      <c r="H125" s="4" t="inlineStr">
        <is>
          <t>18:35:00</t>
        </is>
      </c>
      <c r="I125" s="4" t="inlineStr">
        <is>
          <t>20:05:00</t>
        </is>
      </c>
      <c r="J125" s="4" t="n">
        <v>320</v>
      </c>
      <c r="K125" s="7">
        <f>TEXT(TIMEVALUE(H125)-TIMEVALUE(I124)+(TIMEVALUE(H125)&lt;TIMEVALUE(I124)),"[h]:mm")</f>
        <v/>
      </c>
      <c r="L125" s="4" t="inlineStr">
        <is>
          <t>01:30:00</t>
        </is>
      </c>
      <c r="M125">
        <f>IF($M$123="","",$M$123)</f>
        <v/>
      </c>
      <c r="O125">
        <f>IF($O$123="","",$O$123)</f>
        <v/>
      </c>
      <c r="Q125" s="4">
        <f>B125</f>
        <v/>
      </c>
      <c r="R125" s="4">
        <f>C125</f>
        <v/>
      </c>
      <c r="S125" s="4">
        <f>D125</f>
        <v/>
      </c>
      <c r="T125" s="4">
        <f>E125&amp;"/"&amp;E126</f>
        <v/>
      </c>
      <c r="U125" s="4">
        <f>F125&amp;"-"&amp;G125&amp;"-"&amp;F125</f>
        <v/>
      </c>
      <c r="V125" s="4">
        <f>IF($M$123="","",$M$123)</f>
        <v/>
      </c>
      <c r="W125" s="4">
        <f>IF($O$123="","",$O$123)</f>
        <v/>
      </c>
      <c r="X125" s="4">
        <f>J125</f>
        <v/>
      </c>
    </row>
    <row r="126">
      <c r="B126" s="4" t="n">
        <v>251</v>
      </c>
      <c r="C126" s="4" t="inlineStr">
        <is>
          <t>02/09/2026</t>
        </is>
      </c>
      <c r="D126" s="4" t="inlineStr">
        <is>
          <t>miércoles</t>
        </is>
      </c>
      <c r="E126" s="4" t="n">
        <v>2116</v>
      </c>
      <c r="F126" s="4" t="inlineStr">
        <is>
          <t>AQP</t>
        </is>
      </c>
      <c r="G126" s="4" t="inlineStr">
        <is>
          <t>LIM</t>
        </is>
      </c>
      <c r="H126" s="4" t="inlineStr">
        <is>
          <t>20:40:00</t>
        </is>
      </c>
      <c r="I126" s="4" t="inlineStr">
        <is>
          <t>22:20:00</t>
        </is>
      </c>
      <c r="J126" s="4" t="n">
        <v>320</v>
      </c>
      <c r="K126">
        <f>TEXT(TIMEVALUE(H126)-TIMEVALUE(I125)+(TIMEVALUE(H126)&lt;TIMEVALUE(I125)),"[h]:mm")</f>
        <v/>
      </c>
      <c r="L126" s="4" t="inlineStr">
        <is>
          <t>01:40:00</t>
        </is>
      </c>
      <c r="O126">
        <f>"LIM-"&amp;G125&amp;"-LIM   LA "&amp;E125&amp;" ("&amp;LEFT(H125,5)&amp;"-"&amp;LEFT(I125,5)&amp;" hrs)  /  LA "&amp;E126&amp;" ("&amp;LEFT(H126,5)&amp;"-"&amp;LEFT(I126,5)&amp;" hrs)"</f>
        <v/>
      </c>
    </row>
    <row r="127">
      <c r="J127" s="8" t="inlineStr">
        <is>
          <t>PSV total:</t>
        </is>
      </c>
      <c r="K127" s="9">
        <f>TEXT(TIMEVALUE(I126)-TIMEVALUE(H123)+(I126&lt;H123),"[h]:mm")</f>
        <v/>
      </c>
    </row>
    <row r="129">
      <c r="B129" s="3" t="inlineStr">
        <is>
          <t>Pairing ID</t>
        </is>
      </c>
      <c r="C129" s="3" t="inlineStr">
        <is>
          <t>FECHA REAL</t>
        </is>
      </c>
      <c r="D129" s="3" t="inlineStr">
        <is>
          <t>Day of Week</t>
        </is>
      </c>
      <c r="E129" s="3" t="inlineStr">
        <is>
          <t>Flight No</t>
        </is>
      </c>
      <c r="F129" s="3" t="inlineStr">
        <is>
          <t>Dep Stn</t>
        </is>
      </c>
      <c r="G129" s="3" t="inlineStr">
        <is>
          <t>Arr Stn</t>
        </is>
      </c>
      <c r="H129" s="3" t="inlineStr">
        <is>
          <t>STD</t>
        </is>
      </c>
      <c r="I129" s="3" t="inlineStr">
        <is>
          <t>STA</t>
        </is>
      </c>
      <c r="J129" s="3" t="inlineStr">
        <is>
          <t>subflota</t>
        </is>
      </c>
      <c r="K129" s="3" t="inlineStr">
        <is>
          <t>Conexion</t>
        </is>
      </c>
      <c r="L129" s="3" t="inlineStr">
        <is>
          <t>HBT</t>
        </is>
      </c>
    </row>
    <row r="130">
      <c r="B130" s="4" t="n">
        <v>230</v>
      </c>
      <c r="C130" s="4" t="inlineStr">
        <is>
          <t>02/09/2026</t>
        </is>
      </c>
      <c r="D130" s="4" t="inlineStr">
        <is>
          <t>miércoles</t>
        </is>
      </c>
      <c r="E130" s="4" t="n">
        <v>2295</v>
      </c>
      <c r="F130" s="4" t="inlineStr">
        <is>
          <t>LIM</t>
        </is>
      </c>
      <c r="G130" s="4" t="inlineStr">
        <is>
          <t>CJA</t>
        </is>
      </c>
      <c r="H130" s="4" t="inlineStr">
        <is>
          <t>14:10:00</t>
        </is>
      </c>
      <c r="I130" s="4" t="inlineStr">
        <is>
          <t>15:30:00</t>
        </is>
      </c>
      <c r="J130" s="4" t="n">
        <v>319</v>
      </c>
      <c r="L130" s="4" t="inlineStr">
        <is>
          <t>01:20:00</t>
        </is>
      </c>
      <c r="M130" s="5" t="n"/>
      <c r="N130" s="6" t="n"/>
      <c r="O130" s="5" t="n"/>
      <c r="Q130" s="4">
        <f>B130</f>
        <v/>
      </c>
      <c r="R130" s="4">
        <f>C130</f>
        <v/>
      </c>
      <c r="S130" s="4">
        <f>D130</f>
        <v/>
      </c>
      <c r="T130" s="4">
        <f>E130&amp;"/"&amp;E131</f>
        <v/>
      </c>
      <c r="U130" s="4">
        <f>F130&amp;"-"&amp;G130&amp;"-"&amp;F130</f>
        <v/>
      </c>
      <c r="V130" s="4">
        <f>IF($M$130="","",$M$130)</f>
        <v/>
      </c>
      <c r="W130" s="4">
        <f>IF($O$130="","",$O$130)</f>
        <v/>
      </c>
      <c r="X130" s="4">
        <f>J130</f>
        <v/>
      </c>
    </row>
    <row r="131">
      <c r="B131" s="4" t="n">
        <v>230</v>
      </c>
      <c r="C131" s="4" t="inlineStr">
        <is>
          <t>02/09/2026</t>
        </is>
      </c>
      <c r="D131" s="4" t="inlineStr">
        <is>
          <t>miércoles</t>
        </is>
      </c>
      <c r="E131" s="4" t="n">
        <v>2294</v>
      </c>
      <c r="F131" s="4" t="inlineStr">
        <is>
          <t>CJA</t>
        </is>
      </c>
      <c r="G131" s="4" t="inlineStr">
        <is>
          <t>LIM</t>
        </is>
      </c>
      <c r="H131" s="4" t="inlineStr">
        <is>
          <t>16:10:00</t>
        </is>
      </c>
      <c r="I131" s="4" t="inlineStr">
        <is>
          <t>17:15:00</t>
        </is>
      </c>
      <c r="J131" s="4" t="n">
        <v>319</v>
      </c>
      <c r="K131">
        <f>TEXT(TIMEVALUE(H131)-TIMEVALUE(I130)+(TIMEVALUE(H131)&lt;TIMEVALUE(I130)),"[h]:mm")</f>
        <v/>
      </c>
      <c r="L131" s="4" t="inlineStr">
        <is>
          <t>01:05:00</t>
        </is>
      </c>
      <c r="O131">
        <f>"LIM-"&amp;G130&amp;"-LIM   LA "&amp;E130&amp;" ("&amp;LEFT(H130,5)&amp;"-"&amp;LEFT(I130,5)&amp;" hrs)  /  LA "&amp;E131&amp;" ("&amp;LEFT(H131,5)&amp;"-"&amp;LEFT(I131,5)&amp;" hrs)"</f>
        <v/>
      </c>
    </row>
    <row r="132">
      <c r="B132" s="4" t="n">
        <v>249</v>
      </c>
      <c r="C132" s="4" t="inlineStr">
        <is>
          <t>02/09/2026</t>
        </is>
      </c>
      <c r="D132" s="4" t="inlineStr">
        <is>
          <t>miércoles</t>
        </is>
      </c>
      <c r="E132" s="4" t="n">
        <v>2223</v>
      </c>
      <c r="F132" s="4" t="inlineStr">
        <is>
          <t>LIM</t>
        </is>
      </c>
      <c r="G132" s="4" t="inlineStr">
        <is>
          <t>CUZ</t>
        </is>
      </c>
      <c r="H132" s="4" t="inlineStr">
        <is>
          <t>18:15:00</t>
        </is>
      </c>
      <c r="I132" s="4" t="inlineStr">
        <is>
          <t>19:40:00</t>
        </is>
      </c>
      <c r="J132" s="4" t="n">
        <v>320</v>
      </c>
      <c r="K132" s="7">
        <f>TEXT(TIMEVALUE(H132)-TIMEVALUE(I131)+(TIMEVALUE(H132)&lt;TIMEVALUE(I131)),"[h]:mm")</f>
        <v/>
      </c>
      <c r="L132" s="4" t="inlineStr">
        <is>
          <t>01:25:00</t>
        </is>
      </c>
      <c r="M132">
        <f>IF($M$130="","",$M$130)</f>
        <v/>
      </c>
      <c r="O132">
        <f>IF($O$130="","",$O$130)</f>
        <v/>
      </c>
      <c r="Q132" s="4">
        <f>B132</f>
        <v/>
      </c>
      <c r="R132" s="4">
        <f>C132</f>
        <v/>
      </c>
      <c r="S132" s="4">
        <f>D132</f>
        <v/>
      </c>
      <c r="T132" s="4">
        <f>E132&amp;"/"&amp;E133</f>
        <v/>
      </c>
      <c r="U132" s="4">
        <f>F132&amp;"-"&amp;G132&amp;"-"&amp;F132</f>
        <v/>
      </c>
      <c r="V132" s="4">
        <f>IF($M$130="","",$M$130)</f>
        <v/>
      </c>
      <c r="W132" s="4">
        <f>IF($O$130="","",$O$130)</f>
        <v/>
      </c>
      <c r="X132" s="4">
        <f>J132</f>
        <v/>
      </c>
    </row>
    <row r="133">
      <c r="B133" s="4" t="n">
        <v>249</v>
      </c>
      <c r="C133" s="4" t="inlineStr">
        <is>
          <t>02/09/2026</t>
        </is>
      </c>
      <c r="D133" s="4" t="inlineStr">
        <is>
          <t>miércoles</t>
        </is>
      </c>
      <c r="E133" s="4" t="n">
        <v>2224</v>
      </c>
      <c r="F133" s="4" t="inlineStr">
        <is>
          <t>CUZ</t>
        </is>
      </c>
      <c r="G133" s="4" t="inlineStr">
        <is>
          <t>LIM</t>
        </is>
      </c>
      <c r="H133" s="4" t="inlineStr">
        <is>
          <t>21:20:00</t>
        </is>
      </c>
      <c r="I133" s="4" t="inlineStr">
        <is>
          <t>22:55:00</t>
        </is>
      </c>
      <c r="J133" s="4" t="n">
        <v>320</v>
      </c>
      <c r="K133">
        <f>TEXT(TIMEVALUE(H133)-TIMEVALUE(I132)+(TIMEVALUE(H133)&lt;TIMEVALUE(I132)),"[h]:mm")</f>
        <v/>
      </c>
      <c r="L133" s="4" t="inlineStr">
        <is>
          <t>01:35:00</t>
        </is>
      </c>
      <c r="O133">
        <f>"LIM-"&amp;G132&amp;"-LIM   LA "&amp;E132&amp;" ("&amp;LEFT(H132,5)&amp;"-"&amp;LEFT(I132,5)&amp;" hrs)  /  LA "&amp;E133&amp;" ("&amp;LEFT(H133,5)&amp;"-"&amp;LEFT(I133,5)&amp;" hrs)"</f>
        <v/>
      </c>
    </row>
    <row r="134">
      <c r="J134" s="8" t="inlineStr">
        <is>
          <t>PSV total:</t>
        </is>
      </c>
      <c r="K134" s="9">
        <f>TEXT(TIMEVALUE(I133)-TIMEVALUE(H130)+(I133&lt;H130),"[h]:mm")</f>
        <v/>
      </c>
    </row>
    <row r="136">
      <c r="B136" s="3" t="inlineStr">
        <is>
          <t>Pairing ID</t>
        </is>
      </c>
      <c r="C136" s="3" t="inlineStr">
        <is>
          <t>FECHA REAL</t>
        </is>
      </c>
      <c r="D136" s="3" t="inlineStr">
        <is>
          <t>Day of Week</t>
        </is>
      </c>
      <c r="E136" s="3" t="inlineStr">
        <is>
          <t>Flight No</t>
        </is>
      </c>
      <c r="F136" s="3" t="inlineStr">
        <is>
          <t>Dep Stn</t>
        </is>
      </c>
      <c r="G136" s="3" t="inlineStr">
        <is>
          <t>Arr Stn</t>
        </is>
      </c>
      <c r="H136" s="3" t="inlineStr">
        <is>
          <t>STD</t>
        </is>
      </c>
      <c r="I136" s="3" t="inlineStr">
        <is>
          <t>STA</t>
        </is>
      </c>
      <c r="J136" s="3" t="inlineStr">
        <is>
          <t>subflota</t>
        </is>
      </c>
      <c r="K136" s="3" t="inlineStr">
        <is>
          <t>Conexion</t>
        </is>
      </c>
      <c r="L136" s="3" t="inlineStr">
        <is>
          <t>HBT</t>
        </is>
      </c>
    </row>
    <row r="137">
      <c r="B137" s="4" t="n">
        <v>231</v>
      </c>
      <c r="C137" s="4" t="inlineStr">
        <is>
          <t>02/09/2026</t>
        </is>
      </c>
      <c r="D137" s="4" t="inlineStr">
        <is>
          <t>miércoles</t>
        </is>
      </c>
      <c r="E137" s="4" t="n">
        <v>2022</v>
      </c>
      <c r="F137" s="4" t="inlineStr">
        <is>
          <t>LIM</t>
        </is>
      </c>
      <c r="G137" s="4" t="inlineStr">
        <is>
          <t>CUZ</t>
        </is>
      </c>
      <c r="H137" s="4" t="inlineStr">
        <is>
          <t>14:30:00</t>
        </is>
      </c>
      <c r="I137" s="4" t="inlineStr">
        <is>
          <t>15:50:00</t>
        </is>
      </c>
      <c r="J137" s="4" t="n">
        <v>320</v>
      </c>
      <c r="L137" s="4" t="inlineStr">
        <is>
          <t>01:20:00</t>
        </is>
      </c>
      <c r="M137" s="5" t="n"/>
      <c r="N137" s="6" t="n"/>
      <c r="O137" s="5" t="n"/>
      <c r="Q137" s="4">
        <f>B137</f>
        <v/>
      </c>
      <c r="R137" s="4">
        <f>C137</f>
        <v/>
      </c>
      <c r="S137" s="4">
        <f>D137</f>
        <v/>
      </c>
      <c r="T137" s="4">
        <f>E137&amp;"/"&amp;E138</f>
        <v/>
      </c>
      <c r="U137" s="4">
        <f>F137&amp;"-"&amp;G137&amp;"-"&amp;F137</f>
        <v/>
      </c>
      <c r="V137" s="4">
        <f>IF($M$137="","",$M$137)</f>
        <v/>
      </c>
      <c r="W137" s="4">
        <f>IF($O$137="","",$O$137)</f>
        <v/>
      </c>
      <c r="X137" s="4">
        <f>J137</f>
        <v/>
      </c>
    </row>
    <row r="138">
      <c r="B138" s="4" t="n">
        <v>231</v>
      </c>
      <c r="C138" s="4" t="inlineStr">
        <is>
          <t>02/09/2026</t>
        </is>
      </c>
      <c r="D138" s="4" t="inlineStr">
        <is>
          <t>miércoles</t>
        </is>
      </c>
      <c r="E138" s="4" t="n">
        <v>2025</v>
      </c>
      <c r="F138" s="4" t="inlineStr">
        <is>
          <t>CUZ</t>
        </is>
      </c>
      <c r="G138" s="4" t="inlineStr">
        <is>
          <t>LIM</t>
        </is>
      </c>
      <c r="H138" s="4" t="inlineStr">
        <is>
          <t>16:35:00</t>
        </is>
      </c>
      <c r="I138" s="4" t="inlineStr">
        <is>
          <t>18:10:00</t>
        </is>
      </c>
      <c r="J138" s="4" t="n">
        <v>320</v>
      </c>
      <c r="K138">
        <f>TEXT(TIMEVALUE(H138)-TIMEVALUE(I137)+(TIMEVALUE(H138)&lt;TIMEVALUE(I137)),"[h]:mm")</f>
        <v/>
      </c>
      <c r="L138" s="4" t="inlineStr">
        <is>
          <t>01:35:00</t>
        </is>
      </c>
      <c r="O138">
        <f>"LIM-"&amp;G137&amp;"-LIM   LA "&amp;E137&amp;" ("&amp;LEFT(H137,5)&amp;"-"&amp;LEFT(I137,5)&amp;" hrs)  /  LA "&amp;E138&amp;" ("&amp;LEFT(H138,5)&amp;"-"&amp;LEFT(I138,5)&amp;" hrs)"</f>
        <v/>
      </c>
    </row>
    <row r="139">
      <c r="J139" s="8" t="inlineStr">
        <is>
          <t>PSV total:</t>
        </is>
      </c>
      <c r="K139" s="9">
        <f>TEXT(TIMEVALUE(I138)-TIMEVALUE(H137)+(I138&lt;H137),"[h]:mm")</f>
        <v/>
      </c>
    </row>
    <row r="141">
      <c r="B141" s="3" t="inlineStr">
        <is>
          <t>Pairing ID</t>
        </is>
      </c>
      <c r="C141" s="3" t="inlineStr">
        <is>
          <t>FECHA REAL</t>
        </is>
      </c>
      <c r="D141" s="3" t="inlineStr">
        <is>
          <t>Day of Week</t>
        </is>
      </c>
      <c r="E141" s="3" t="inlineStr">
        <is>
          <t>Flight No</t>
        </is>
      </c>
      <c r="F141" s="3" t="inlineStr">
        <is>
          <t>Dep Stn</t>
        </is>
      </c>
      <c r="G141" s="3" t="inlineStr">
        <is>
          <t>Arr Stn</t>
        </is>
      </c>
      <c r="H141" s="3" t="inlineStr">
        <is>
          <t>STD</t>
        </is>
      </c>
      <c r="I141" s="3" t="inlineStr">
        <is>
          <t>STA</t>
        </is>
      </c>
      <c r="J141" s="3" t="inlineStr">
        <is>
          <t>subflota</t>
        </is>
      </c>
      <c r="K141" s="3" t="inlineStr">
        <is>
          <t>Conexion</t>
        </is>
      </c>
      <c r="L141" s="3" t="inlineStr">
        <is>
          <t>HBT</t>
        </is>
      </c>
    </row>
    <row r="142">
      <c r="B142" s="4" t="n">
        <v>232</v>
      </c>
      <c r="C142" s="4" t="inlineStr">
        <is>
          <t>02/09/2026</t>
        </is>
      </c>
      <c r="D142" s="4" t="inlineStr">
        <is>
          <t>miércoles</t>
        </is>
      </c>
      <c r="E142" s="4" t="n">
        <v>2282</v>
      </c>
      <c r="F142" s="4" t="inlineStr">
        <is>
          <t>LIM</t>
        </is>
      </c>
      <c r="G142" s="4" t="inlineStr">
        <is>
          <t>CIX</t>
        </is>
      </c>
      <c r="H142" s="4" t="inlineStr">
        <is>
          <t>14:45:00</t>
        </is>
      </c>
      <c r="I142" s="4" t="inlineStr">
        <is>
          <t>16:15:00</t>
        </is>
      </c>
      <c r="J142" s="4" t="n">
        <v>319</v>
      </c>
      <c r="L142" s="4" t="inlineStr">
        <is>
          <t>01:30:00</t>
        </is>
      </c>
      <c r="M142" s="5" t="n"/>
      <c r="N142" s="6" t="n"/>
      <c r="O142" s="5" t="n"/>
      <c r="Q142" s="4">
        <f>B142</f>
        <v/>
      </c>
      <c r="R142" s="4">
        <f>C142</f>
        <v/>
      </c>
      <c r="S142" s="4">
        <f>D142</f>
        <v/>
      </c>
      <c r="T142" s="4">
        <f>E142&amp;"/"&amp;E143</f>
        <v/>
      </c>
      <c r="U142" s="4">
        <f>F142&amp;"-"&amp;G142&amp;"-"&amp;F142</f>
        <v/>
      </c>
      <c r="V142" s="4">
        <f>IF($M$142="","",$M$142)</f>
        <v/>
      </c>
      <c r="W142" s="4">
        <f>IF($O$142="","",$O$142)</f>
        <v/>
      </c>
      <c r="X142" s="4">
        <f>J142</f>
        <v/>
      </c>
    </row>
    <row r="143">
      <c r="B143" s="4" t="n">
        <v>232</v>
      </c>
      <c r="C143" s="4" t="inlineStr">
        <is>
          <t>02/09/2026</t>
        </is>
      </c>
      <c r="D143" s="4" t="inlineStr">
        <is>
          <t>miércoles</t>
        </is>
      </c>
      <c r="E143" s="4" t="n">
        <v>2283</v>
      </c>
      <c r="F143" s="4" t="inlineStr">
        <is>
          <t>CIX</t>
        </is>
      </c>
      <c r="G143" s="4" t="inlineStr">
        <is>
          <t>LIM</t>
        </is>
      </c>
      <c r="H143" s="4" t="inlineStr">
        <is>
          <t>16:50:00</t>
        </is>
      </c>
      <c r="I143" s="4" t="inlineStr">
        <is>
          <t>18:10:00</t>
        </is>
      </c>
      <c r="J143" s="4" t="n">
        <v>319</v>
      </c>
      <c r="K143">
        <f>TEXT(TIMEVALUE(H143)-TIMEVALUE(I142)+(TIMEVALUE(H143)&lt;TIMEVALUE(I142)),"[h]:mm")</f>
        <v/>
      </c>
      <c r="L143" s="4" t="inlineStr">
        <is>
          <t>01:20:00</t>
        </is>
      </c>
      <c r="O143">
        <f>"LIM-"&amp;G142&amp;"-LIM   LA "&amp;E142&amp;" ("&amp;LEFT(H142,5)&amp;"-"&amp;LEFT(I142,5)&amp;" hrs)  /  LA "&amp;E143&amp;" ("&amp;LEFT(H143,5)&amp;"-"&amp;LEFT(I143,5)&amp;" hrs)"</f>
        <v/>
      </c>
    </row>
    <row r="144">
      <c r="J144" s="8" t="inlineStr">
        <is>
          <t>PSV total:</t>
        </is>
      </c>
      <c r="K144" s="9">
        <f>TEXT(TIMEVALUE(I143)-TIMEVALUE(H142)+(I143&lt;H142),"[h]:mm")</f>
        <v/>
      </c>
    </row>
    <row r="146">
      <c r="B146" s="3" t="inlineStr">
        <is>
          <t>Pairing ID</t>
        </is>
      </c>
      <c r="C146" s="3" t="inlineStr">
        <is>
          <t>FECHA REAL</t>
        </is>
      </c>
      <c r="D146" s="3" t="inlineStr">
        <is>
          <t>Day of Week</t>
        </is>
      </c>
      <c r="E146" s="3" t="inlineStr">
        <is>
          <t>Flight No</t>
        </is>
      </c>
      <c r="F146" s="3" t="inlineStr">
        <is>
          <t>Dep Stn</t>
        </is>
      </c>
      <c r="G146" s="3" t="inlineStr">
        <is>
          <t>Arr Stn</t>
        </is>
      </c>
      <c r="H146" s="3" t="inlineStr">
        <is>
          <t>STD</t>
        </is>
      </c>
      <c r="I146" s="3" t="inlineStr">
        <is>
          <t>STA</t>
        </is>
      </c>
      <c r="J146" s="3" t="inlineStr">
        <is>
          <t>subflota</t>
        </is>
      </c>
      <c r="K146" s="3" t="inlineStr">
        <is>
          <t>Conexion</t>
        </is>
      </c>
      <c r="L146" s="3" t="inlineStr">
        <is>
          <t>HBT</t>
        </is>
      </c>
    </row>
    <row r="147">
      <c r="B147" s="4" t="n">
        <v>233</v>
      </c>
      <c r="C147" s="4" t="inlineStr">
        <is>
          <t>02/09/2026</t>
        </is>
      </c>
      <c r="D147" s="4" t="inlineStr">
        <is>
          <t>miércoles</t>
        </is>
      </c>
      <c r="E147" s="4" t="n">
        <v>2264</v>
      </c>
      <c r="F147" s="4" t="inlineStr">
        <is>
          <t>LIM</t>
        </is>
      </c>
      <c r="G147" s="4" t="inlineStr">
        <is>
          <t>PEM</t>
        </is>
      </c>
      <c r="H147" s="4" t="inlineStr">
        <is>
          <t>14:55:00</t>
        </is>
      </c>
      <c r="I147" s="4" t="inlineStr">
        <is>
          <t>16:40:00</t>
        </is>
      </c>
      <c r="J147" s="4" t="n">
        <v>319</v>
      </c>
      <c r="L147" s="4" t="inlineStr">
        <is>
          <t>01:45:00</t>
        </is>
      </c>
      <c r="M147" s="5" t="n"/>
      <c r="N147" s="6" t="n"/>
      <c r="O147" s="5" t="n"/>
      <c r="Q147" s="4">
        <f>B147</f>
        <v/>
      </c>
      <c r="R147" s="4">
        <f>C147</f>
        <v/>
      </c>
      <c r="S147" s="4">
        <f>D147</f>
        <v/>
      </c>
      <c r="T147" s="4">
        <f>E147&amp;"/"&amp;E148</f>
        <v/>
      </c>
      <c r="U147" s="4">
        <f>F147&amp;"-"&amp;G147&amp;"-"&amp;F147</f>
        <v/>
      </c>
      <c r="V147" s="4">
        <f>IF($M$147="","",$M$147)</f>
        <v/>
      </c>
      <c r="W147" s="4">
        <f>IF($O$147="","",$O$147)</f>
        <v/>
      </c>
      <c r="X147" s="4">
        <f>J147</f>
        <v/>
      </c>
    </row>
    <row r="148">
      <c r="B148" s="4" t="n">
        <v>233</v>
      </c>
      <c r="C148" s="4" t="inlineStr">
        <is>
          <t>02/09/2026</t>
        </is>
      </c>
      <c r="D148" s="4" t="inlineStr">
        <is>
          <t>miércoles</t>
        </is>
      </c>
      <c r="E148" s="4" t="n">
        <v>2265</v>
      </c>
      <c r="F148" s="4" t="inlineStr">
        <is>
          <t>PEM</t>
        </is>
      </c>
      <c r="G148" s="4" t="inlineStr">
        <is>
          <t>LIM</t>
        </is>
      </c>
      <c r="H148" s="4" t="inlineStr">
        <is>
          <t>17:20:00</t>
        </is>
      </c>
      <c r="I148" s="4" t="inlineStr">
        <is>
          <t>18:55:00</t>
        </is>
      </c>
      <c r="J148" s="4" t="n">
        <v>319</v>
      </c>
      <c r="K148">
        <f>TEXT(TIMEVALUE(H148)-TIMEVALUE(I147)+(TIMEVALUE(H148)&lt;TIMEVALUE(I147)),"[h]:mm")</f>
        <v/>
      </c>
      <c r="L148" s="4" t="inlineStr">
        <is>
          <t>01:35:00</t>
        </is>
      </c>
      <c r="O148">
        <f>"LIM-"&amp;G147&amp;"-LIM   LA "&amp;E147&amp;" ("&amp;LEFT(H147,5)&amp;"-"&amp;LEFT(I147,5)&amp;" hrs)  /  LA "&amp;E148&amp;" ("&amp;LEFT(H148,5)&amp;"-"&amp;LEFT(I148,5)&amp;" hrs)"</f>
        <v/>
      </c>
    </row>
    <row r="149">
      <c r="B149" s="4" t="n">
        <v>252</v>
      </c>
      <c r="C149" s="4" t="inlineStr">
        <is>
          <t>02/09/2026</t>
        </is>
      </c>
      <c r="D149" s="4" t="inlineStr">
        <is>
          <t>miércoles</t>
        </is>
      </c>
      <c r="E149" s="4" t="n">
        <v>2048</v>
      </c>
      <c r="F149" s="4" t="inlineStr">
        <is>
          <t>LIM</t>
        </is>
      </c>
      <c r="G149" s="4" t="inlineStr">
        <is>
          <t>CUZ</t>
        </is>
      </c>
      <c r="H149" s="4" t="inlineStr">
        <is>
          <t>19:55:00</t>
        </is>
      </c>
      <c r="I149" s="4" t="inlineStr">
        <is>
          <t>21:20:00</t>
        </is>
      </c>
      <c r="J149" s="4" t="n">
        <v>320</v>
      </c>
      <c r="K149" s="7">
        <f>TEXT(TIMEVALUE(H149)-TIMEVALUE(I148)+(TIMEVALUE(H149)&lt;TIMEVALUE(I148)),"[h]:mm")</f>
        <v/>
      </c>
      <c r="L149" s="4" t="inlineStr">
        <is>
          <t>01:25:00</t>
        </is>
      </c>
      <c r="M149">
        <f>IF($M$147="","",$M$147)</f>
        <v/>
      </c>
      <c r="O149">
        <f>IF($O$147="","",$O$147)</f>
        <v/>
      </c>
      <c r="Q149" s="4">
        <f>B149</f>
        <v/>
      </c>
      <c r="R149" s="4">
        <f>C149</f>
        <v/>
      </c>
      <c r="S149" s="4">
        <f>D149</f>
        <v/>
      </c>
      <c r="T149" s="4">
        <f>E149&amp;"/"&amp;E150</f>
        <v/>
      </c>
      <c r="U149" s="4">
        <f>F149&amp;"-"&amp;G149&amp;"-"&amp;F149</f>
        <v/>
      </c>
      <c r="V149" s="4">
        <f>IF($M$147="","",$M$147)</f>
        <v/>
      </c>
      <c r="W149" s="4">
        <f>IF($O$147="","",$O$147)</f>
        <v/>
      </c>
      <c r="X149" s="4">
        <f>J149</f>
        <v/>
      </c>
    </row>
    <row r="150">
      <c r="B150" s="4" t="n">
        <v>252</v>
      </c>
      <c r="C150" s="4" t="inlineStr">
        <is>
          <t>02/09/2026</t>
        </is>
      </c>
      <c r="D150" s="4" t="inlineStr">
        <is>
          <t>miércoles</t>
        </is>
      </c>
      <c r="E150" s="4" t="n">
        <v>2070</v>
      </c>
      <c r="F150" s="4" t="inlineStr">
        <is>
          <t>CUZ</t>
        </is>
      </c>
      <c r="G150" s="4" t="inlineStr">
        <is>
          <t>LIM</t>
        </is>
      </c>
      <c r="H150" s="4" t="inlineStr">
        <is>
          <t>22:15:00</t>
        </is>
      </c>
      <c r="I150" s="4" t="inlineStr">
        <is>
          <t>23:50:00</t>
        </is>
      </c>
      <c r="J150" s="4" t="n">
        <v>320</v>
      </c>
      <c r="K150">
        <f>TEXT(TIMEVALUE(H150)-TIMEVALUE(I149)+(TIMEVALUE(H150)&lt;TIMEVALUE(I149)),"[h]:mm")</f>
        <v/>
      </c>
      <c r="L150" s="4" t="inlineStr">
        <is>
          <t>01:35:00</t>
        </is>
      </c>
      <c r="O150">
        <f>"LIM-"&amp;G149&amp;"-LIM   LA "&amp;E149&amp;" ("&amp;LEFT(H149,5)&amp;"-"&amp;LEFT(I149,5)&amp;" hrs)  /  LA "&amp;E150&amp;" ("&amp;LEFT(H150,5)&amp;"-"&amp;LEFT(I150,5)&amp;" hrs)"</f>
        <v/>
      </c>
    </row>
    <row r="151">
      <c r="J151" s="8" t="inlineStr">
        <is>
          <t>PSV total:</t>
        </is>
      </c>
      <c r="K151" s="9">
        <f>TEXT(TIMEVALUE(I150)-TIMEVALUE(H147)+(I150&lt;H147),"[h]:mm")</f>
        <v/>
      </c>
    </row>
    <row r="153">
      <c r="B153" s="3" t="inlineStr">
        <is>
          <t>Pairing ID</t>
        </is>
      </c>
      <c r="C153" s="3" t="inlineStr">
        <is>
          <t>FECHA REAL</t>
        </is>
      </c>
      <c r="D153" s="3" t="inlineStr">
        <is>
          <t>Day of Week</t>
        </is>
      </c>
      <c r="E153" s="3" t="inlineStr">
        <is>
          <t>Flight No</t>
        </is>
      </c>
      <c r="F153" s="3" t="inlineStr">
        <is>
          <t>Dep Stn</t>
        </is>
      </c>
      <c r="G153" s="3" t="inlineStr">
        <is>
          <t>Arr Stn</t>
        </is>
      </c>
      <c r="H153" s="3" t="inlineStr">
        <is>
          <t>STD</t>
        </is>
      </c>
      <c r="I153" s="3" t="inlineStr">
        <is>
          <t>STA</t>
        </is>
      </c>
      <c r="J153" s="3" t="inlineStr">
        <is>
          <t>subflota</t>
        </is>
      </c>
      <c r="K153" s="3" t="inlineStr">
        <is>
          <t>Conexion</t>
        </is>
      </c>
      <c r="L153" s="3" t="inlineStr">
        <is>
          <t>HBT</t>
        </is>
      </c>
    </row>
    <row r="154">
      <c r="B154" s="4" t="n">
        <v>234</v>
      </c>
      <c r="C154" s="4" t="inlineStr">
        <is>
          <t>02/09/2026</t>
        </is>
      </c>
      <c r="D154" s="4" t="inlineStr">
        <is>
          <t>miércoles</t>
        </is>
      </c>
      <c r="E154" s="4" t="n">
        <v>2338</v>
      </c>
      <c r="F154" s="4" t="inlineStr">
        <is>
          <t>LIM</t>
        </is>
      </c>
      <c r="G154" s="4" t="inlineStr">
        <is>
          <t>PIU</t>
        </is>
      </c>
      <c r="H154" s="4" t="inlineStr">
        <is>
          <t>15:00:00</t>
        </is>
      </c>
      <c r="I154" s="4" t="inlineStr">
        <is>
          <t>16:45:00</t>
        </is>
      </c>
      <c r="J154" s="4" t="n">
        <v>320</v>
      </c>
      <c r="L154" s="4" t="inlineStr">
        <is>
          <t>01:45:00</t>
        </is>
      </c>
      <c r="M154" s="5" t="n"/>
      <c r="N154" s="6" t="n"/>
      <c r="O154" s="5" t="n"/>
      <c r="Q154" s="4">
        <f>B154</f>
        <v/>
      </c>
      <c r="R154" s="4">
        <f>C154</f>
        <v/>
      </c>
      <c r="S154" s="4">
        <f>D154</f>
        <v/>
      </c>
      <c r="T154" s="4">
        <f>E154&amp;"/"&amp;E155</f>
        <v/>
      </c>
      <c r="U154" s="4">
        <f>F154&amp;"-"&amp;G154&amp;"-"&amp;F154</f>
        <v/>
      </c>
      <c r="V154" s="4">
        <f>IF($M$154="","",$M$154)</f>
        <v/>
      </c>
      <c r="W154" s="4">
        <f>IF($O$154="","",$O$154)</f>
        <v/>
      </c>
      <c r="X154" s="4">
        <f>J154</f>
        <v/>
      </c>
    </row>
    <row r="155">
      <c r="B155" s="4" t="n">
        <v>234</v>
      </c>
      <c r="C155" s="4" t="inlineStr">
        <is>
          <t>02/09/2026</t>
        </is>
      </c>
      <c r="D155" s="4" t="inlineStr">
        <is>
          <t>miércoles</t>
        </is>
      </c>
      <c r="E155" s="4" t="n">
        <v>2339</v>
      </c>
      <c r="F155" s="4" t="inlineStr">
        <is>
          <t>PIU</t>
        </is>
      </c>
      <c r="G155" s="4" t="inlineStr">
        <is>
          <t>LIM</t>
        </is>
      </c>
      <c r="H155" s="4" t="inlineStr">
        <is>
          <t>17:20:00</t>
        </is>
      </c>
      <c r="I155" s="4" t="inlineStr">
        <is>
          <t>18:50:00</t>
        </is>
      </c>
      <c r="J155" s="4" t="n">
        <v>320</v>
      </c>
      <c r="K155">
        <f>TEXT(TIMEVALUE(H155)-TIMEVALUE(I154)+(TIMEVALUE(H155)&lt;TIMEVALUE(I154)),"[h]:mm")</f>
        <v/>
      </c>
      <c r="L155" s="4" t="inlineStr">
        <is>
          <t>01:30:00</t>
        </is>
      </c>
      <c r="O155">
        <f>"LIM-"&amp;G154&amp;"-LIM   LA "&amp;E154&amp;" ("&amp;LEFT(H154,5)&amp;"-"&amp;LEFT(I154,5)&amp;" hrs)  /  LA "&amp;E155&amp;" ("&amp;LEFT(H155,5)&amp;"-"&amp;LEFT(I155,5)&amp;" hrs)"</f>
        <v/>
      </c>
    </row>
    <row r="156">
      <c r="J156" s="8" t="inlineStr">
        <is>
          <t>PSV total:</t>
        </is>
      </c>
      <c r="K156" s="9">
        <f>TEXT(TIMEVALUE(I155)-TIMEVALUE(H154)+(I155&lt;H154),"[h]:mm")</f>
        <v/>
      </c>
    </row>
    <row r="158">
      <c r="B158" s="3" t="inlineStr">
        <is>
          <t>Pairing ID</t>
        </is>
      </c>
      <c r="C158" s="3" t="inlineStr">
        <is>
          <t>FECHA REAL</t>
        </is>
      </c>
      <c r="D158" s="3" t="inlineStr">
        <is>
          <t>Day of Week</t>
        </is>
      </c>
      <c r="E158" s="3" t="inlineStr">
        <is>
          <t>Flight No</t>
        </is>
      </c>
      <c r="F158" s="3" t="inlineStr">
        <is>
          <t>Dep Stn</t>
        </is>
      </c>
      <c r="G158" s="3" t="inlineStr">
        <is>
          <t>Arr Stn</t>
        </is>
      </c>
      <c r="H158" s="3" t="inlineStr">
        <is>
          <t>STD</t>
        </is>
      </c>
      <c r="I158" s="3" t="inlineStr">
        <is>
          <t>STA</t>
        </is>
      </c>
      <c r="J158" s="3" t="inlineStr">
        <is>
          <t>subflota</t>
        </is>
      </c>
      <c r="K158" s="3" t="inlineStr">
        <is>
          <t>Conexion</t>
        </is>
      </c>
      <c r="L158" s="3" t="inlineStr">
        <is>
          <t>HBT</t>
        </is>
      </c>
    </row>
    <row r="159">
      <c r="B159" s="4" t="n">
        <v>235</v>
      </c>
      <c r="C159" s="4" t="inlineStr">
        <is>
          <t>02/09/2026</t>
        </is>
      </c>
      <c r="D159" s="4" t="inlineStr">
        <is>
          <t>miércoles</t>
        </is>
      </c>
      <c r="E159" s="4" t="n">
        <v>2338</v>
      </c>
      <c r="F159" s="4" t="inlineStr">
        <is>
          <t>LIM</t>
        </is>
      </c>
      <c r="G159" s="4" t="inlineStr">
        <is>
          <t>PIU</t>
        </is>
      </c>
      <c r="H159" s="4" t="inlineStr">
        <is>
          <t>15:00:00</t>
        </is>
      </c>
      <c r="I159" s="4" t="inlineStr">
        <is>
          <t>16:45:00</t>
        </is>
      </c>
      <c r="J159" s="4" t="n">
        <v>320</v>
      </c>
      <c r="L159" s="4" t="inlineStr">
        <is>
          <t>01:45:00</t>
        </is>
      </c>
      <c r="M159" s="5" t="n"/>
      <c r="N159" s="6" t="n"/>
      <c r="O159" s="5" t="n"/>
      <c r="Q159" s="4">
        <f>B159</f>
        <v/>
      </c>
      <c r="R159" s="4">
        <f>C159</f>
        <v/>
      </c>
      <c r="S159" s="4">
        <f>D159</f>
        <v/>
      </c>
      <c r="T159" s="4">
        <f>E159&amp;"/"&amp;E160</f>
        <v/>
      </c>
      <c r="U159" s="4">
        <f>F159&amp;"-"&amp;G159&amp;"-"&amp;F159</f>
        <v/>
      </c>
      <c r="V159" s="4">
        <f>IF($M$159="","",$M$159)</f>
        <v/>
      </c>
      <c r="W159" s="4">
        <f>IF($O$159="","",$O$159)</f>
        <v/>
      </c>
      <c r="X159" s="4">
        <f>J159</f>
        <v/>
      </c>
    </row>
    <row r="160">
      <c r="B160" s="4" t="n">
        <v>235</v>
      </c>
      <c r="C160" s="4" t="inlineStr">
        <is>
          <t>02/09/2026</t>
        </is>
      </c>
      <c r="D160" s="4" t="inlineStr">
        <is>
          <t>miércoles</t>
        </is>
      </c>
      <c r="E160" s="4" t="n">
        <v>2339</v>
      </c>
      <c r="F160" s="4" t="inlineStr">
        <is>
          <t>PIU</t>
        </is>
      </c>
      <c r="G160" s="4" t="inlineStr">
        <is>
          <t>LIM</t>
        </is>
      </c>
      <c r="H160" s="4" t="inlineStr">
        <is>
          <t>17:20:00</t>
        </is>
      </c>
      <c r="I160" s="4" t="inlineStr">
        <is>
          <t>18:50:00</t>
        </is>
      </c>
      <c r="J160" s="4" t="n">
        <v>320</v>
      </c>
      <c r="K160">
        <f>TEXT(TIMEVALUE(H160)-TIMEVALUE(I159)+(TIMEVALUE(H160)&lt;TIMEVALUE(I159)),"[h]:mm")</f>
        <v/>
      </c>
      <c r="L160" s="4" t="inlineStr">
        <is>
          <t>01:30:00</t>
        </is>
      </c>
      <c r="O160">
        <f>"LIM-"&amp;G159&amp;"-LIM   LA "&amp;E159&amp;" ("&amp;LEFT(H159,5)&amp;"-"&amp;LEFT(I159,5)&amp;" hrs)  /  LA "&amp;E160&amp;" ("&amp;LEFT(H160,5)&amp;"-"&amp;LEFT(I160,5)&amp;" hrs)"</f>
        <v/>
      </c>
    </row>
    <row r="161">
      <c r="J161" s="8" t="inlineStr">
        <is>
          <t>PSV total:</t>
        </is>
      </c>
      <c r="K161" s="9">
        <f>TEXT(TIMEVALUE(I160)-TIMEVALUE(H159)+(I160&lt;H159),"[h]:mm")</f>
        <v/>
      </c>
    </row>
    <row r="163">
      <c r="B163" s="3" t="inlineStr">
        <is>
          <t>Pairing ID</t>
        </is>
      </c>
      <c r="C163" s="3" t="inlineStr">
        <is>
          <t>FECHA REAL</t>
        </is>
      </c>
      <c r="D163" s="3" t="inlineStr">
        <is>
          <t>Day of Week</t>
        </is>
      </c>
      <c r="E163" s="3" t="inlineStr">
        <is>
          <t>Flight No</t>
        </is>
      </c>
      <c r="F163" s="3" t="inlineStr">
        <is>
          <t>Dep Stn</t>
        </is>
      </c>
      <c r="G163" s="3" t="inlineStr">
        <is>
          <t>Arr Stn</t>
        </is>
      </c>
      <c r="H163" s="3" t="inlineStr">
        <is>
          <t>STD</t>
        </is>
      </c>
      <c r="I163" s="3" t="inlineStr">
        <is>
          <t>STA</t>
        </is>
      </c>
      <c r="J163" s="3" t="inlineStr">
        <is>
          <t>subflota</t>
        </is>
      </c>
      <c r="K163" s="3" t="inlineStr">
        <is>
          <t>Conexion</t>
        </is>
      </c>
      <c r="L163" s="3" t="inlineStr">
        <is>
          <t>HBT</t>
        </is>
      </c>
    </row>
    <row r="164">
      <c r="B164" s="4" t="n">
        <v>236</v>
      </c>
      <c r="C164" s="4" t="inlineStr">
        <is>
          <t>02/09/2026</t>
        </is>
      </c>
      <c r="D164" s="4" t="inlineStr">
        <is>
          <t>miércoles</t>
        </is>
      </c>
      <c r="E164" s="4" t="n">
        <v>2113</v>
      </c>
      <c r="F164" s="4" t="inlineStr">
        <is>
          <t>LIM</t>
        </is>
      </c>
      <c r="G164" s="4" t="inlineStr">
        <is>
          <t>AQP</t>
        </is>
      </c>
      <c r="H164" s="4" t="inlineStr">
        <is>
          <t>15:05:00</t>
        </is>
      </c>
      <c r="I164" s="4" t="inlineStr">
        <is>
          <t>16:35:00</t>
        </is>
      </c>
      <c r="J164" s="4" t="n">
        <v>319</v>
      </c>
      <c r="L164" s="4" t="inlineStr">
        <is>
          <t>01:30:00</t>
        </is>
      </c>
      <c r="M164" s="5" t="n"/>
      <c r="N164" s="6" t="n"/>
      <c r="O164" s="5" t="n"/>
      <c r="Q164" s="4">
        <f>B164</f>
        <v/>
      </c>
      <c r="R164" s="4">
        <f>C164</f>
        <v/>
      </c>
      <c r="S164" s="4">
        <f>D164</f>
        <v/>
      </c>
      <c r="T164" s="4">
        <f>E164&amp;"/"&amp;E165</f>
        <v/>
      </c>
      <c r="U164" s="4">
        <f>F164&amp;"-"&amp;G164&amp;"-"&amp;F164</f>
        <v/>
      </c>
      <c r="V164" s="4">
        <f>IF($M$164="","",$M$164)</f>
        <v/>
      </c>
      <c r="W164" s="4">
        <f>IF($O$164="","",$O$164)</f>
        <v/>
      </c>
      <c r="X164" s="4">
        <f>J164</f>
        <v/>
      </c>
    </row>
    <row r="165">
      <c r="B165" s="4" t="n">
        <v>236</v>
      </c>
      <c r="C165" s="4" t="inlineStr">
        <is>
          <t>02/09/2026</t>
        </is>
      </c>
      <c r="D165" s="4" t="inlineStr">
        <is>
          <t>miércoles</t>
        </is>
      </c>
      <c r="E165" s="4" t="n">
        <v>2112</v>
      </c>
      <c r="F165" s="4" t="inlineStr">
        <is>
          <t>AQP</t>
        </is>
      </c>
      <c r="G165" s="4" t="inlineStr">
        <is>
          <t>LIM</t>
        </is>
      </c>
      <c r="H165" s="4" t="inlineStr">
        <is>
          <t>17:15:00</t>
        </is>
      </c>
      <c r="I165" s="4" t="inlineStr">
        <is>
          <t>18:55:00</t>
        </is>
      </c>
      <c r="J165" s="4" t="n">
        <v>319</v>
      </c>
      <c r="K165">
        <f>TEXT(TIMEVALUE(H165)-TIMEVALUE(I164)+(TIMEVALUE(H165)&lt;TIMEVALUE(I164)),"[h]:mm")</f>
        <v/>
      </c>
      <c r="L165" s="4" t="inlineStr">
        <is>
          <t>01:40:00</t>
        </is>
      </c>
      <c r="O165">
        <f>"LIM-"&amp;G164&amp;"-LIM   LA "&amp;E164&amp;" ("&amp;LEFT(H164,5)&amp;"-"&amp;LEFT(I164,5)&amp;" hrs)  /  LA "&amp;E165&amp;" ("&amp;LEFT(H165,5)&amp;"-"&amp;LEFT(I165,5)&amp;" hrs)"</f>
        <v/>
      </c>
    </row>
    <row r="166">
      <c r="J166" s="8" t="inlineStr">
        <is>
          <t>PSV total:</t>
        </is>
      </c>
      <c r="K166" s="9">
        <f>TEXT(TIMEVALUE(I165)-TIMEVALUE(H164)+(I165&lt;H164),"[h]:mm")</f>
        <v/>
      </c>
    </row>
    <row r="168">
      <c r="B168" s="3" t="inlineStr">
        <is>
          <t>Pairing ID</t>
        </is>
      </c>
      <c r="C168" s="3" t="inlineStr">
        <is>
          <t>FECHA REAL</t>
        </is>
      </c>
      <c r="D168" s="3" t="inlineStr">
        <is>
          <t>Day of Week</t>
        </is>
      </c>
      <c r="E168" s="3" t="inlineStr">
        <is>
          <t>Flight No</t>
        </is>
      </c>
      <c r="F168" s="3" t="inlineStr">
        <is>
          <t>Dep Stn</t>
        </is>
      </c>
      <c r="G168" s="3" t="inlineStr">
        <is>
          <t>Arr Stn</t>
        </is>
      </c>
      <c r="H168" s="3" t="inlineStr">
        <is>
          <t>STD</t>
        </is>
      </c>
      <c r="I168" s="3" t="inlineStr">
        <is>
          <t>STA</t>
        </is>
      </c>
      <c r="J168" s="3" t="inlineStr">
        <is>
          <t>subflota</t>
        </is>
      </c>
      <c r="K168" s="3" t="inlineStr">
        <is>
          <t>Conexion</t>
        </is>
      </c>
      <c r="L168" s="3" t="inlineStr">
        <is>
          <t>HBT</t>
        </is>
      </c>
    </row>
    <row r="169">
      <c r="B169" s="4" t="n">
        <v>237</v>
      </c>
      <c r="C169" s="4" t="inlineStr">
        <is>
          <t>02/09/2026</t>
        </is>
      </c>
      <c r="D169" s="4" t="inlineStr">
        <is>
          <t>miércoles</t>
        </is>
      </c>
      <c r="E169" s="4" t="n">
        <v>2297</v>
      </c>
      <c r="F169" s="4" t="inlineStr">
        <is>
          <t>LIM</t>
        </is>
      </c>
      <c r="G169" s="4" t="inlineStr">
        <is>
          <t>CJA</t>
        </is>
      </c>
      <c r="H169" s="4" t="inlineStr">
        <is>
          <t>15:15:00</t>
        </is>
      </c>
      <c r="I169" s="4" t="inlineStr">
        <is>
          <t>16:35:00</t>
        </is>
      </c>
      <c r="J169" s="4" t="n">
        <v>320</v>
      </c>
      <c r="L169" s="4" t="inlineStr">
        <is>
          <t>01:20:00</t>
        </is>
      </c>
      <c r="M169" s="5" t="n"/>
      <c r="N169" s="6" t="n"/>
      <c r="O169" s="5" t="n"/>
      <c r="Q169" s="4">
        <f>B169</f>
        <v/>
      </c>
      <c r="R169" s="4">
        <f>C169</f>
        <v/>
      </c>
      <c r="S169" s="4">
        <f>D169</f>
        <v/>
      </c>
      <c r="T169" s="4">
        <f>E169&amp;"/"&amp;E170</f>
        <v/>
      </c>
      <c r="U169" s="4">
        <f>F169&amp;"-"&amp;G169&amp;"-"&amp;F169</f>
        <v/>
      </c>
      <c r="V169" s="4">
        <f>IF($M$169="","",$M$169)</f>
        <v/>
      </c>
      <c r="W169" s="4">
        <f>IF($O$169="","",$O$169)</f>
        <v/>
      </c>
      <c r="X169" s="4">
        <f>J169</f>
        <v/>
      </c>
    </row>
    <row r="170">
      <c r="B170" s="4" t="n">
        <v>237</v>
      </c>
      <c r="C170" s="4" t="inlineStr">
        <is>
          <t>02/09/2026</t>
        </is>
      </c>
      <c r="D170" s="4" t="inlineStr">
        <is>
          <t>miércoles</t>
        </is>
      </c>
      <c r="E170" s="4" t="n">
        <v>2296</v>
      </c>
      <c r="F170" s="4" t="inlineStr">
        <is>
          <t>CJA</t>
        </is>
      </c>
      <c r="G170" s="4" t="inlineStr">
        <is>
          <t>LIM</t>
        </is>
      </c>
      <c r="H170" s="4" t="inlineStr">
        <is>
          <t>17:20:00</t>
        </is>
      </c>
      <c r="I170" s="4" t="inlineStr">
        <is>
          <t>18:25:00</t>
        </is>
      </c>
      <c r="J170" s="4" t="n">
        <v>320</v>
      </c>
      <c r="K170">
        <f>TEXT(TIMEVALUE(H170)-TIMEVALUE(I169)+(TIMEVALUE(H170)&lt;TIMEVALUE(I169)),"[h]:mm")</f>
        <v/>
      </c>
      <c r="L170" s="4" t="inlineStr">
        <is>
          <t>01:05:00</t>
        </is>
      </c>
      <c r="O170">
        <f>"LIM-"&amp;G169&amp;"-LIM   LA "&amp;E169&amp;" ("&amp;LEFT(H169,5)&amp;"-"&amp;LEFT(I169,5)&amp;" hrs)  /  LA "&amp;E170&amp;" ("&amp;LEFT(H170,5)&amp;"-"&amp;LEFT(I170,5)&amp;" hrs)"</f>
        <v/>
      </c>
    </row>
    <row r="171">
      <c r="J171" s="8" t="inlineStr">
        <is>
          <t>PSV total:</t>
        </is>
      </c>
      <c r="K171" s="9">
        <f>TEXT(TIMEVALUE(I170)-TIMEVALUE(H169)+(I170&lt;H169),"[h]:mm")</f>
        <v/>
      </c>
    </row>
    <row r="173">
      <c r="B173" s="3" t="inlineStr">
        <is>
          <t>Pairing ID</t>
        </is>
      </c>
      <c r="C173" s="3" t="inlineStr">
        <is>
          <t>FECHA REAL</t>
        </is>
      </c>
      <c r="D173" s="3" t="inlineStr">
        <is>
          <t>Day of Week</t>
        </is>
      </c>
      <c r="E173" s="3" t="inlineStr">
        <is>
          <t>Flight No</t>
        </is>
      </c>
      <c r="F173" s="3" t="inlineStr">
        <is>
          <t>Dep Stn</t>
        </is>
      </c>
      <c r="G173" s="3" t="inlineStr">
        <is>
          <t>Arr Stn</t>
        </is>
      </c>
      <c r="H173" s="3" t="inlineStr">
        <is>
          <t>STD</t>
        </is>
      </c>
      <c r="I173" s="3" t="inlineStr">
        <is>
          <t>STA</t>
        </is>
      </c>
      <c r="J173" s="3" t="inlineStr">
        <is>
          <t>subflota</t>
        </is>
      </c>
      <c r="K173" s="3" t="inlineStr">
        <is>
          <t>Conexion</t>
        </is>
      </c>
      <c r="L173" s="3" t="inlineStr">
        <is>
          <t>HBT</t>
        </is>
      </c>
    </row>
    <row r="174">
      <c r="B174" s="4" t="n">
        <v>238</v>
      </c>
      <c r="C174" s="4" t="inlineStr">
        <is>
          <t>02/09/2026</t>
        </is>
      </c>
      <c r="D174" s="4" t="inlineStr">
        <is>
          <t>miércoles</t>
        </is>
      </c>
      <c r="E174" s="4" t="n">
        <v>2360</v>
      </c>
      <c r="F174" s="4" t="inlineStr">
        <is>
          <t>LIM</t>
        </is>
      </c>
      <c r="G174" s="4" t="inlineStr">
        <is>
          <t>PCL</t>
        </is>
      </c>
      <c r="H174" s="4" t="inlineStr">
        <is>
          <t>15:25:00</t>
        </is>
      </c>
      <c r="I174" s="4" t="inlineStr">
        <is>
          <t>16:40:00</t>
        </is>
      </c>
      <c r="J174" s="4" t="n">
        <v>320</v>
      </c>
      <c r="L174" s="4" t="inlineStr">
        <is>
          <t>01:15:00</t>
        </is>
      </c>
      <c r="M174" s="5" t="n"/>
      <c r="N174" s="6" t="n"/>
      <c r="O174" s="5" t="n"/>
      <c r="Q174" s="4">
        <f>B174</f>
        <v/>
      </c>
      <c r="R174" s="4">
        <f>C174</f>
        <v/>
      </c>
      <c r="S174" s="4">
        <f>D174</f>
        <v/>
      </c>
      <c r="T174" s="4">
        <f>E174&amp;"/"&amp;E175</f>
        <v/>
      </c>
      <c r="U174" s="4">
        <f>F174&amp;"-"&amp;G174&amp;"-"&amp;F174</f>
        <v/>
      </c>
      <c r="V174" s="4">
        <f>IF($M$174="","",$M$174)</f>
        <v/>
      </c>
      <c r="W174" s="4">
        <f>IF($O$174="","",$O$174)</f>
        <v/>
      </c>
      <c r="X174" s="4">
        <f>J174</f>
        <v/>
      </c>
    </row>
    <row r="175">
      <c r="B175" s="4" t="n">
        <v>238</v>
      </c>
      <c r="C175" s="4" t="inlineStr">
        <is>
          <t>02/09/2026</t>
        </is>
      </c>
      <c r="D175" s="4" t="inlineStr">
        <is>
          <t>miércoles</t>
        </is>
      </c>
      <c r="E175" s="4" t="n">
        <v>2361</v>
      </c>
      <c r="F175" s="4" t="inlineStr">
        <is>
          <t>PCL</t>
        </is>
      </c>
      <c r="G175" s="4" t="inlineStr">
        <is>
          <t>LIM</t>
        </is>
      </c>
      <c r="H175" s="4" t="inlineStr">
        <is>
          <t>17:20:00</t>
        </is>
      </c>
      <c r="I175" s="4" t="inlineStr">
        <is>
          <t>18:35:00</t>
        </is>
      </c>
      <c r="J175" s="4" t="n">
        <v>320</v>
      </c>
      <c r="K175">
        <f>TEXT(TIMEVALUE(H175)-TIMEVALUE(I174)+(TIMEVALUE(H175)&lt;TIMEVALUE(I174)),"[h]:mm")</f>
        <v/>
      </c>
      <c r="L175" s="4" t="inlineStr">
        <is>
          <t>01:15:00</t>
        </is>
      </c>
      <c r="O175">
        <f>"LIM-"&amp;G174&amp;"-LIM   LA "&amp;E174&amp;" ("&amp;LEFT(H174,5)&amp;"-"&amp;LEFT(I174,5)&amp;" hrs)  /  LA "&amp;E175&amp;" ("&amp;LEFT(H175,5)&amp;"-"&amp;LEFT(I175,5)&amp;" hrs)"</f>
        <v/>
      </c>
    </row>
    <row r="176">
      <c r="J176" s="8" t="inlineStr">
        <is>
          <t>PSV total:</t>
        </is>
      </c>
      <c r="K176" s="9">
        <f>TEXT(TIMEVALUE(I175)-TIMEVALUE(H174)+(I175&lt;H174),"[h]:mm")</f>
        <v/>
      </c>
    </row>
    <row r="178">
      <c r="B178" s="3" t="inlineStr">
        <is>
          <t>Pairing ID</t>
        </is>
      </c>
      <c r="C178" s="3" t="inlineStr">
        <is>
          <t>FECHA REAL</t>
        </is>
      </c>
      <c r="D178" s="3" t="inlineStr">
        <is>
          <t>Day of Week</t>
        </is>
      </c>
      <c r="E178" s="3" t="inlineStr">
        <is>
          <t>Flight No</t>
        </is>
      </c>
      <c r="F178" s="3" t="inlineStr">
        <is>
          <t>Dep Stn</t>
        </is>
      </c>
      <c r="G178" s="3" t="inlineStr">
        <is>
          <t>Arr Stn</t>
        </is>
      </c>
      <c r="H178" s="3" t="inlineStr">
        <is>
          <t>STD</t>
        </is>
      </c>
      <c r="I178" s="3" t="inlineStr">
        <is>
          <t>STA</t>
        </is>
      </c>
      <c r="J178" s="3" t="inlineStr">
        <is>
          <t>subflota</t>
        </is>
      </c>
      <c r="K178" s="3" t="inlineStr">
        <is>
          <t>Conexion</t>
        </is>
      </c>
      <c r="L178" s="3" t="inlineStr">
        <is>
          <t>HBT</t>
        </is>
      </c>
    </row>
    <row r="179">
      <c r="B179" s="4" t="n">
        <v>239</v>
      </c>
      <c r="C179" s="4" t="inlineStr">
        <is>
          <t>02/09/2026</t>
        </is>
      </c>
      <c r="D179" s="4" t="inlineStr">
        <is>
          <t>miércoles</t>
        </is>
      </c>
      <c r="E179" s="4" t="n">
        <v>2360</v>
      </c>
      <c r="F179" s="4" t="inlineStr">
        <is>
          <t>LIM</t>
        </is>
      </c>
      <c r="G179" s="4" t="inlineStr">
        <is>
          <t>PCL</t>
        </is>
      </c>
      <c r="H179" s="4" t="inlineStr">
        <is>
          <t>15:25:00</t>
        </is>
      </c>
      <c r="I179" s="4" t="inlineStr">
        <is>
          <t>16:40:00</t>
        </is>
      </c>
      <c r="J179" s="4" t="n">
        <v>320</v>
      </c>
      <c r="L179" s="4" t="inlineStr">
        <is>
          <t>01:15:00</t>
        </is>
      </c>
      <c r="M179" s="5" t="n"/>
      <c r="N179" s="6" t="n"/>
      <c r="O179" s="5" t="n"/>
      <c r="Q179" s="4">
        <f>B179</f>
        <v/>
      </c>
      <c r="R179" s="4">
        <f>C179</f>
        <v/>
      </c>
      <c r="S179" s="4">
        <f>D179</f>
        <v/>
      </c>
      <c r="T179" s="4">
        <f>E179&amp;"/"&amp;E180</f>
        <v/>
      </c>
      <c r="U179" s="4">
        <f>F179&amp;"-"&amp;G179&amp;"-"&amp;F179</f>
        <v/>
      </c>
      <c r="V179" s="4">
        <f>IF($M$179="","",$M$179)</f>
        <v/>
      </c>
      <c r="W179" s="4">
        <f>IF($O$179="","",$O$179)</f>
        <v/>
      </c>
      <c r="X179" s="4">
        <f>J179</f>
        <v/>
      </c>
    </row>
    <row r="180">
      <c r="B180" s="4" t="n">
        <v>239</v>
      </c>
      <c r="C180" s="4" t="inlineStr">
        <is>
          <t>02/09/2026</t>
        </is>
      </c>
      <c r="D180" s="4" t="inlineStr">
        <is>
          <t>miércoles</t>
        </is>
      </c>
      <c r="E180" s="4" t="n">
        <v>2361</v>
      </c>
      <c r="F180" s="4" t="inlineStr">
        <is>
          <t>PCL</t>
        </is>
      </c>
      <c r="G180" s="4" t="inlineStr">
        <is>
          <t>LIM</t>
        </is>
      </c>
      <c r="H180" s="4" t="inlineStr">
        <is>
          <t>17:20:00</t>
        </is>
      </c>
      <c r="I180" s="4" t="inlineStr">
        <is>
          <t>18:35:00</t>
        </is>
      </c>
      <c r="J180" s="4" t="n">
        <v>320</v>
      </c>
      <c r="K180">
        <f>TEXT(TIMEVALUE(H180)-TIMEVALUE(I179)+(TIMEVALUE(H180)&lt;TIMEVALUE(I179)),"[h]:mm")</f>
        <v/>
      </c>
      <c r="L180" s="4" t="inlineStr">
        <is>
          <t>01:15:00</t>
        </is>
      </c>
      <c r="O180">
        <f>"LIM-"&amp;G179&amp;"-LIM   LA "&amp;E179&amp;" ("&amp;LEFT(H179,5)&amp;"-"&amp;LEFT(I179,5)&amp;" hrs)  /  LA "&amp;E180&amp;" ("&amp;LEFT(H180,5)&amp;"-"&amp;LEFT(I180,5)&amp;" hrs)"</f>
        <v/>
      </c>
    </row>
    <row r="181">
      <c r="J181" s="8" t="inlineStr">
        <is>
          <t>PSV total:</t>
        </is>
      </c>
      <c r="K181" s="9">
        <f>TEXT(TIMEVALUE(I180)-TIMEVALUE(H179)+(I180&lt;H179),"[h]:mm")</f>
        <v/>
      </c>
    </row>
    <row r="183">
      <c r="B183" s="3" t="inlineStr">
        <is>
          <t>Pairing ID</t>
        </is>
      </c>
      <c r="C183" s="3" t="inlineStr">
        <is>
          <t>FECHA REAL</t>
        </is>
      </c>
      <c r="D183" s="3" t="inlineStr">
        <is>
          <t>Day of Week</t>
        </is>
      </c>
      <c r="E183" s="3" t="inlineStr">
        <is>
          <t>Flight No</t>
        </is>
      </c>
      <c r="F183" s="3" t="inlineStr">
        <is>
          <t>Dep Stn</t>
        </is>
      </c>
      <c r="G183" s="3" t="inlineStr">
        <is>
          <t>Arr Stn</t>
        </is>
      </c>
      <c r="H183" s="3" t="inlineStr">
        <is>
          <t>STD</t>
        </is>
      </c>
      <c r="I183" s="3" t="inlineStr">
        <is>
          <t>STA</t>
        </is>
      </c>
      <c r="J183" s="3" t="inlineStr">
        <is>
          <t>subflota</t>
        </is>
      </c>
      <c r="K183" s="3" t="inlineStr">
        <is>
          <t>Conexion</t>
        </is>
      </c>
      <c r="L183" s="3" t="inlineStr">
        <is>
          <t>HBT</t>
        </is>
      </c>
    </row>
    <row r="184">
      <c r="B184" s="4" t="n">
        <v>240</v>
      </c>
      <c r="C184" s="4" t="inlineStr">
        <is>
          <t>02/09/2026</t>
        </is>
      </c>
      <c r="D184" s="4" t="inlineStr">
        <is>
          <t>miércoles</t>
        </is>
      </c>
      <c r="E184" s="4" t="n">
        <v>2312</v>
      </c>
      <c r="F184" s="4" t="inlineStr">
        <is>
          <t>LIM</t>
        </is>
      </c>
      <c r="G184" s="4" t="inlineStr">
        <is>
          <t>CIX</t>
        </is>
      </c>
      <c r="H184" s="4" t="inlineStr">
        <is>
          <t>15:35:00</t>
        </is>
      </c>
      <c r="I184" s="4" t="inlineStr">
        <is>
          <t>17:05:00</t>
        </is>
      </c>
      <c r="J184" s="4" t="n">
        <v>320</v>
      </c>
      <c r="L184" s="4" t="inlineStr">
        <is>
          <t>01:30:00</t>
        </is>
      </c>
      <c r="M184" s="5" t="n"/>
      <c r="N184" s="6" t="n"/>
      <c r="O184" s="5" t="n"/>
      <c r="Q184" s="4">
        <f>B184</f>
        <v/>
      </c>
      <c r="R184" s="4">
        <f>C184</f>
        <v/>
      </c>
      <c r="S184" s="4">
        <f>D184</f>
        <v/>
      </c>
      <c r="T184" s="4">
        <f>E184&amp;"/"&amp;E185</f>
        <v/>
      </c>
      <c r="U184" s="4">
        <f>F184&amp;"-"&amp;G184&amp;"-"&amp;F184</f>
        <v/>
      </c>
      <c r="V184" s="4">
        <f>IF($M$184="","",$M$184)</f>
        <v/>
      </c>
      <c r="W184" s="4">
        <f>IF($O$184="","",$O$184)</f>
        <v/>
      </c>
      <c r="X184" s="4">
        <f>J184</f>
        <v/>
      </c>
    </row>
    <row r="185">
      <c r="B185" s="4" t="n">
        <v>240</v>
      </c>
      <c r="C185" s="4" t="inlineStr">
        <is>
          <t>02/09/2026</t>
        </is>
      </c>
      <c r="D185" s="4" t="inlineStr">
        <is>
          <t>miércoles</t>
        </is>
      </c>
      <c r="E185" s="4" t="n">
        <v>2313</v>
      </c>
      <c r="F185" s="4" t="inlineStr">
        <is>
          <t>CIX</t>
        </is>
      </c>
      <c r="G185" s="4" t="inlineStr">
        <is>
          <t>LIM</t>
        </is>
      </c>
      <c r="H185" s="4" t="inlineStr">
        <is>
          <t>17:50:00</t>
        </is>
      </c>
      <c r="I185" s="4" t="inlineStr">
        <is>
          <t>19:10:00</t>
        </is>
      </c>
      <c r="J185" s="4" t="n">
        <v>320</v>
      </c>
      <c r="K185">
        <f>TEXT(TIMEVALUE(H185)-TIMEVALUE(I184)+(TIMEVALUE(H185)&lt;TIMEVALUE(I184)),"[h]:mm")</f>
        <v/>
      </c>
      <c r="L185" s="4" t="inlineStr">
        <is>
          <t>01:20:00</t>
        </is>
      </c>
      <c r="O185">
        <f>"LIM-"&amp;G184&amp;"-LIM   LA "&amp;E184&amp;" ("&amp;LEFT(H184,5)&amp;"-"&amp;LEFT(I184,5)&amp;" hrs)  /  LA "&amp;E185&amp;" ("&amp;LEFT(H185,5)&amp;"-"&amp;LEFT(I185,5)&amp;" hrs)"</f>
        <v/>
      </c>
    </row>
    <row r="186">
      <c r="J186" s="8" t="inlineStr">
        <is>
          <t>PSV total:</t>
        </is>
      </c>
      <c r="K186" s="9">
        <f>TEXT(TIMEVALUE(I185)-TIMEVALUE(H184)+(I185&lt;H184),"[h]:mm")</f>
        <v/>
      </c>
    </row>
    <row r="188">
      <c r="B188" s="3" t="inlineStr">
        <is>
          <t>Pairing ID</t>
        </is>
      </c>
      <c r="C188" s="3" t="inlineStr">
        <is>
          <t>FECHA REAL</t>
        </is>
      </c>
      <c r="D188" s="3" t="inlineStr">
        <is>
          <t>Day of Week</t>
        </is>
      </c>
      <c r="E188" s="3" t="inlineStr">
        <is>
          <t>Flight No</t>
        </is>
      </c>
      <c r="F188" s="3" t="inlineStr">
        <is>
          <t>Dep Stn</t>
        </is>
      </c>
      <c r="G188" s="3" t="inlineStr">
        <is>
          <t>Arr Stn</t>
        </is>
      </c>
      <c r="H188" s="3" t="inlineStr">
        <is>
          <t>STD</t>
        </is>
      </c>
      <c r="I188" s="3" t="inlineStr">
        <is>
          <t>STA</t>
        </is>
      </c>
      <c r="J188" s="3" t="inlineStr">
        <is>
          <t>subflota</t>
        </is>
      </c>
      <c r="K188" s="3" t="inlineStr">
        <is>
          <t>Conexion</t>
        </is>
      </c>
      <c r="L188" s="3" t="inlineStr">
        <is>
          <t>HBT</t>
        </is>
      </c>
    </row>
    <row r="189">
      <c r="B189" s="4" t="n">
        <v>241</v>
      </c>
      <c r="C189" s="4" t="inlineStr">
        <is>
          <t>02/09/2026</t>
        </is>
      </c>
      <c r="D189" s="4" t="inlineStr">
        <is>
          <t>miércoles</t>
        </is>
      </c>
      <c r="E189" s="4" t="n">
        <v>2301</v>
      </c>
      <c r="F189" s="4" t="inlineStr">
        <is>
          <t>LIM</t>
        </is>
      </c>
      <c r="G189" s="4" t="inlineStr">
        <is>
          <t>TPP</t>
        </is>
      </c>
      <c r="H189" s="4" t="inlineStr">
        <is>
          <t>15:40:00</t>
        </is>
      </c>
      <c r="I189" s="4" t="inlineStr">
        <is>
          <t>17:05:00</t>
        </is>
      </c>
      <c r="J189" s="4" t="n">
        <v>320</v>
      </c>
      <c r="L189" s="4" t="inlineStr">
        <is>
          <t>01:25:00</t>
        </is>
      </c>
      <c r="M189" s="5" t="n"/>
      <c r="N189" s="6" t="n"/>
      <c r="O189" s="5" t="n"/>
      <c r="Q189" s="4">
        <f>B189</f>
        <v/>
      </c>
      <c r="R189" s="4">
        <f>C189</f>
        <v/>
      </c>
      <c r="S189" s="4">
        <f>D189</f>
        <v/>
      </c>
      <c r="T189" s="4">
        <f>E189&amp;"/"&amp;E190</f>
        <v/>
      </c>
      <c r="U189" s="4">
        <f>F189&amp;"-"&amp;G189&amp;"-"&amp;F189</f>
        <v/>
      </c>
      <c r="V189" s="4">
        <f>IF($M$189="","",$M$189)</f>
        <v/>
      </c>
      <c r="W189" s="4">
        <f>IF($O$189="","",$O$189)</f>
        <v/>
      </c>
      <c r="X189" s="4">
        <f>J189</f>
        <v/>
      </c>
    </row>
    <row r="190">
      <c r="B190" s="4" t="n">
        <v>241</v>
      </c>
      <c r="C190" s="4" t="inlineStr">
        <is>
          <t>02/09/2026</t>
        </is>
      </c>
      <c r="D190" s="4" t="inlineStr">
        <is>
          <t>miércoles</t>
        </is>
      </c>
      <c r="E190" s="4" t="n">
        <v>2300</v>
      </c>
      <c r="F190" s="4" t="inlineStr">
        <is>
          <t>TPP</t>
        </is>
      </c>
      <c r="G190" s="4" t="inlineStr">
        <is>
          <t>LIM</t>
        </is>
      </c>
      <c r="H190" s="4" t="inlineStr">
        <is>
          <t>17:50:00</t>
        </is>
      </c>
      <c r="I190" s="4" t="inlineStr">
        <is>
          <t>19:20:00</t>
        </is>
      </c>
      <c r="J190" s="4" t="n">
        <v>320</v>
      </c>
      <c r="K190">
        <f>TEXT(TIMEVALUE(H190)-TIMEVALUE(I189)+(TIMEVALUE(H190)&lt;TIMEVALUE(I189)),"[h]:mm")</f>
        <v/>
      </c>
      <c r="L190" s="4" t="inlineStr">
        <is>
          <t>01:30:00</t>
        </is>
      </c>
      <c r="O190">
        <f>"LIM-"&amp;G189&amp;"-LIM   LA "&amp;E189&amp;" ("&amp;LEFT(H189,5)&amp;"-"&amp;LEFT(I189,5)&amp;" hrs)  /  LA "&amp;E190&amp;" ("&amp;LEFT(H190,5)&amp;"-"&amp;LEFT(I190,5)&amp;" hrs)"</f>
        <v/>
      </c>
    </row>
    <row r="191">
      <c r="J191" s="8" t="inlineStr">
        <is>
          <t>PSV total:</t>
        </is>
      </c>
      <c r="K191" s="9">
        <f>TEXT(TIMEVALUE(I190)-TIMEVALUE(H189)+(I190&lt;H189),"[h]:mm")</f>
        <v/>
      </c>
    </row>
    <row r="193">
      <c r="B193" s="3" t="inlineStr">
        <is>
          <t>Pairing ID</t>
        </is>
      </c>
      <c r="C193" s="3" t="inlineStr">
        <is>
          <t>FECHA REAL</t>
        </is>
      </c>
      <c r="D193" s="3" t="inlineStr">
        <is>
          <t>Day of Week</t>
        </is>
      </c>
      <c r="E193" s="3" t="inlineStr">
        <is>
          <t>Flight No</t>
        </is>
      </c>
      <c r="F193" s="3" t="inlineStr">
        <is>
          <t>Dep Stn</t>
        </is>
      </c>
      <c r="G193" s="3" t="inlineStr">
        <is>
          <t>Arr Stn</t>
        </is>
      </c>
      <c r="H193" s="3" t="inlineStr">
        <is>
          <t>STD</t>
        </is>
      </c>
      <c r="I193" s="3" t="inlineStr">
        <is>
          <t>STA</t>
        </is>
      </c>
      <c r="J193" s="3" t="inlineStr">
        <is>
          <t>subflota</t>
        </is>
      </c>
      <c r="K193" s="3" t="inlineStr">
        <is>
          <t>Conexion</t>
        </is>
      </c>
      <c r="L193" s="3" t="inlineStr">
        <is>
          <t>HBT</t>
        </is>
      </c>
    </row>
    <row r="194">
      <c r="B194" s="4" t="n">
        <v>242</v>
      </c>
      <c r="C194" s="4" t="inlineStr">
        <is>
          <t>02/09/2026</t>
        </is>
      </c>
      <c r="D194" s="4" t="inlineStr">
        <is>
          <t>miércoles</t>
        </is>
      </c>
      <c r="E194" s="4" t="n">
        <v>2301</v>
      </c>
      <c r="F194" s="4" t="inlineStr">
        <is>
          <t>LIM</t>
        </is>
      </c>
      <c r="G194" s="4" t="inlineStr">
        <is>
          <t>TPP</t>
        </is>
      </c>
      <c r="H194" s="4" t="inlineStr">
        <is>
          <t>15:40:00</t>
        </is>
      </c>
      <c r="I194" s="4" t="inlineStr">
        <is>
          <t>17:05:00</t>
        </is>
      </c>
      <c r="J194" s="4" t="n">
        <v>320</v>
      </c>
      <c r="L194" s="4" t="inlineStr">
        <is>
          <t>01:25:00</t>
        </is>
      </c>
      <c r="M194" s="5" t="n"/>
      <c r="N194" s="6" t="n"/>
      <c r="O194" s="5" t="n"/>
      <c r="Q194" s="4">
        <f>B194</f>
        <v/>
      </c>
      <c r="R194" s="4">
        <f>C194</f>
        <v/>
      </c>
      <c r="S194" s="4">
        <f>D194</f>
        <v/>
      </c>
      <c r="T194" s="4">
        <f>E194&amp;"/"&amp;E195</f>
        <v/>
      </c>
      <c r="U194" s="4">
        <f>F194&amp;"-"&amp;G194&amp;"-"&amp;F194</f>
        <v/>
      </c>
      <c r="V194" s="4">
        <f>IF($M$194="","",$M$194)</f>
        <v/>
      </c>
      <c r="W194" s="4">
        <f>IF($O$194="","",$O$194)</f>
        <v/>
      </c>
      <c r="X194" s="4">
        <f>J194</f>
        <v/>
      </c>
    </row>
    <row r="195">
      <c r="B195" s="4" t="n">
        <v>242</v>
      </c>
      <c r="C195" s="4" t="inlineStr">
        <is>
          <t>02/09/2026</t>
        </is>
      </c>
      <c r="D195" s="4" t="inlineStr">
        <is>
          <t>miércoles</t>
        </is>
      </c>
      <c r="E195" s="4" t="n">
        <v>2300</v>
      </c>
      <c r="F195" s="4" t="inlineStr">
        <is>
          <t>TPP</t>
        </is>
      </c>
      <c r="G195" s="4" t="inlineStr">
        <is>
          <t>LIM</t>
        </is>
      </c>
      <c r="H195" s="4" t="inlineStr">
        <is>
          <t>17:50:00</t>
        </is>
      </c>
      <c r="I195" s="4" t="inlineStr">
        <is>
          <t>19:20:00</t>
        </is>
      </c>
      <c r="J195" s="4" t="n">
        <v>320</v>
      </c>
      <c r="K195">
        <f>TEXT(TIMEVALUE(H195)-TIMEVALUE(I194)+(TIMEVALUE(H195)&lt;TIMEVALUE(I194)),"[h]:mm")</f>
        <v/>
      </c>
      <c r="L195" s="4" t="inlineStr">
        <is>
          <t>01:30:00</t>
        </is>
      </c>
      <c r="O195">
        <f>"LIM-"&amp;G194&amp;"-LIM   LA "&amp;E194&amp;" ("&amp;LEFT(H194,5)&amp;"-"&amp;LEFT(I194,5)&amp;" hrs)  /  LA "&amp;E195&amp;" ("&amp;LEFT(H195,5)&amp;"-"&amp;LEFT(I195,5)&amp;" hrs)"</f>
        <v/>
      </c>
    </row>
    <row r="196">
      <c r="J196" s="8" t="inlineStr">
        <is>
          <t>PSV total:</t>
        </is>
      </c>
      <c r="K196" s="9">
        <f>TEXT(TIMEVALUE(I195)-TIMEVALUE(H194)+(I195&lt;H194),"[h]:mm")</f>
        <v/>
      </c>
    </row>
    <row r="198">
      <c r="B198" s="3" t="inlineStr">
        <is>
          <t>Pairing ID</t>
        </is>
      </c>
      <c r="C198" s="3" t="inlineStr">
        <is>
          <t>FECHA REAL</t>
        </is>
      </c>
      <c r="D198" s="3" t="inlineStr">
        <is>
          <t>Day of Week</t>
        </is>
      </c>
      <c r="E198" s="3" t="inlineStr">
        <is>
          <t>Flight No</t>
        </is>
      </c>
      <c r="F198" s="3" t="inlineStr">
        <is>
          <t>Dep Stn</t>
        </is>
      </c>
      <c r="G198" s="3" t="inlineStr">
        <is>
          <t>Arr Stn</t>
        </is>
      </c>
      <c r="H198" s="3" t="inlineStr">
        <is>
          <t>STD</t>
        </is>
      </c>
      <c r="I198" s="3" t="inlineStr">
        <is>
          <t>STA</t>
        </is>
      </c>
      <c r="J198" s="3" t="inlineStr">
        <is>
          <t>subflota</t>
        </is>
      </c>
      <c r="K198" s="3" t="inlineStr">
        <is>
          <t>Conexion</t>
        </is>
      </c>
      <c r="L198" s="3" t="inlineStr">
        <is>
          <t>HBT</t>
        </is>
      </c>
    </row>
    <row r="199">
      <c r="B199" s="4" t="n">
        <v>246</v>
      </c>
      <c r="C199" s="4" t="inlineStr">
        <is>
          <t>02/09/2026</t>
        </is>
      </c>
      <c r="D199" s="4" t="inlineStr">
        <is>
          <t>miércoles</t>
        </is>
      </c>
      <c r="E199" s="4" t="n">
        <v>2127</v>
      </c>
      <c r="F199" s="4" t="inlineStr">
        <is>
          <t>LIM</t>
        </is>
      </c>
      <c r="G199" s="4" t="inlineStr">
        <is>
          <t>CUZ</t>
        </is>
      </c>
      <c r="H199" s="4" t="inlineStr">
        <is>
          <t>16:10:00</t>
        </is>
      </c>
      <c r="I199" s="4" t="inlineStr">
        <is>
          <t>17:30:00</t>
        </is>
      </c>
      <c r="J199" s="4" t="n">
        <v>320</v>
      </c>
      <c r="L199" s="4" t="inlineStr">
        <is>
          <t>01:20:00</t>
        </is>
      </c>
      <c r="M199" s="5" t="n"/>
      <c r="N199" s="6" t="n"/>
      <c r="O199" s="5" t="n"/>
      <c r="Q199" s="4">
        <f>B199</f>
        <v/>
      </c>
      <c r="R199" s="4">
        <f>C199</f>
        <v/>
      </c>
      <c r="S199" s="4">
        <f>D199</f>
        <v/>
      </c>
      <c r="T199" s="4">
        <f>E199&amp;"/"&amp;E200</f>
        <v/>
      </c>
      <c r="U199" s="4">
        <f>F199&amp;"-"&amp;G199&amp;"-"&amp;F199</f>
        <v/>
      </c>
      <c r="V199" s="4">
        <f>IF($M$199="","",$M$199)</f>
        <v/>
      </c>
      <c r="W199" s="4">
        <f>IF($O$199="","",$O$199)</f>
        <v/>
      </c>
      <c r="X199" s="4">
        <f>J199</f>
        <v/>
      </c>
    </row>
    <row r="200">
      <c r="B200" s="4" t="n">
        <v>246</v>
      </c>
      <c r="C200" s="4" t="inlineStr">
        <is>
          <t>02/09/2026</t>
        </is>
      </c>
      <c r="D200" s="4" t="inlineStr">
        <is>
          <t>miércoles</t>
        </is>
      </c>
      <c r="E200" s="4" t="n">
        <v>2026</v>
      </c>
      <c r="F200" s="4" t="inlineStr">
        <is>
          <t>CUZ</t>
        </is>
      </c>
      <c r="G200" s="4" t="inlineStr">
        <is>
          <t>LIM</t>
        </is>
      </c>
      <c r="H200" s="4" t="inlineStr">
        <is>
          <t>18:10:00</t>
        </is>
      </c>
      <c r="I200" s="4" t="inlineStr">
        <is>
          <t>19:50:00</t>
        </is>
      </c>
      <c r="J200" s="4" t="n">
        <v>320</v>
      </c>
      <c r="K200">
        <f>TEXT(TIMEVALUE(H200)-TIMEVALUE(I199)+(TIMEVALUE(H200)&lt;TIMEVALUE(I199)),"[h]:mm")</f>
        <v/>
      </c>
      <c r="L200" s="4" t="inlineStr">
        <is>
          <t>01:40:00</t>
        </is>
      </c>
      <c r="O200">
        <f>"LIM-"&amp;G199&amp;"-LIM   LA "&amp;E199&amp;" ("&amp;LEFT(H199,5)&amp;"-"&amp;LEFT(I199,5)&amp;" hrs)  /  LA "&amp;E200&amp;" ("&amp;LEFT(H200,5)&amp;"-"&amp;LEFT(I200,5)&amp;" hrs)"</f>
        <v/>
      </c>
    </row>
    <row r="201">
      <c r="J201" s="8" t="inlineStr">
        <is>
          <t>PSV total:</t>
        </is>
      </c>
      <c r="K201" s="9">
        <f>TEXT(TIMEVALUE(I200)-TIMEVALUE(H199)+(I200&lt;H199),"[h]:mm")</f>
        <v/>
      </c>
    </row>
    <row r="203">
      <c r="B203" s="3" t="inlineStr">
        <is>
          <t>Pairing ID</t>
        </is>
      </c>
      <c r="C203" s="3" t="inlineStr">
        <is>
          <t>FECHA REAL</t>
        </is>
      </c>
      <c r="D203" s="3" t="inlineStr">
        <is>
          <t>Day of Week</t>
        </is>
      </c>
      <c r="E203" s="3" t="inlineStr">
        <is>
          <t>Flight No</t>
        </is>
      </c>
      <c r="F203" s="3" t="inlineStr">
        <is>
          <t>Dep Stn</t>
        </is>
      </c>
      <c r="G203" s="3" t="inlineStr">
        <is>
          <t>Arr Stn</t>
        </is>
      </c>
      <c r="H203" s="3" t="inlineStr">
        <is>
          <t>STD</t>
        </is>
      </c>
      <c r="I203" s="3" t="inlineStr">
        <is>
          <t>STA</t>
        </is>
      </c>
      <c r="J203" s="3" t="inlineStr">
        <is>
          <t>subflota</t>
        </is>
      </c>
      <c r="K203" s="3" t="inlineStr">
        <is>
          <t>Conexion</t>
        </is>
      </c>
      <c r="L203" s="3" t="inlineStr">
        <is>
          <t>HBT</t>
        </is>
      </c>
    </row>
    <row r="204">
      <c r="B204" s="4" t="n">
        <v>250</v>
      </c>
      <c r="C204" s="4" t="inlineStr">
        <is>
          <t>02/09/2026</t>
        </is>
      </c>
      <c r="D204" s="4" t="inlineStr">
        <is>
          <t>miércoles</t>
        </is>
      </c>
      <c r="E204" s="4" t="n">
        <v>2039</v>
      </c>
      <c r="F204" s="4" t="inlineStr">
        <is>
          <t>LIM</t>
        </is>
      </c>
      <c r="G204" s="4" t="inlineStr">
        <is>
          <t>PCL</t>
        </is>
      </c>
      <c r="H204" s="4" t="inlineStr">
        <is>
          <t>18:15:00</t>
        </is>
      </c>
      <c r="I204" s="4" t="inlineStr">
        <is>
          <t>19:30:00</t>
        </is>
      </c>
      <c r="J204" s="4" t="n">
        <v>319</v>
      </c>
      <c r="L204" s="4" t="inlineStr">
        <is>
          <t>01:15:00</t>
        </is>
      </c>
      <c r="M204" s="5" t="n"/>
      <c r="N204" s="6" t="n"/>
      <c r="O204" s="5" t="n"/>
      <c r="Q204" s="4">
        <f>B204</f>
        <v/>
      </c>
      <c r="R204" s="4">
        <f>C204</f>
        <v/>
      </c>
      <c r="S204" s="4">
        <f>D204</f>
        <v/>
      </c>
      <c r="T204" s="4">
        <f>E204&amp;"/"&amp;E205</f>
        <v/>
      </c>
      <c r="U204" s="4">
        <f>F204&amp;"-"&amp;G204&amp;"-"&amp;F204</f>
        <v/>
      </c>
      <c r="V204" s="4">
        <f>IF($M$204="","",$M$204)</f>
        <v/>
      </c>
      <c r="W204" s="4">
        <f>IF($O$204="","",$O$204)</f>
        <v/>
      </c>
      <c r="X204" s="4">
        <f>J204</f>
        <v/>
      </c>
    </row>
    <row r="205">
      <c r="B205" s="4" t="n">
        <v>250</v>
      </c>
      <c r="C205" s="4" t="inlineStr">
        <is>
          <t>02/09/2026</t>
        </is>
      </c>
      <c r="D205" s="4" t="inlineStr">
        <is>
          <t>miércoles</t>
        </is>
      </c>
      <c r="E205" s="4" t="n">
        <v>2040</v>
      </c>
      <c r="F205" s="4" t="inlineStr">
        <is>
          <t>PCL</t>
        </is>
      </c>
      <c r="G205" s="4" t="inlineStr">
        <is>
          <t>LIM</t>
        </is>
      </c>
      <c r="H205" s="4" t="inlineStr">
        <is>
          <t>20:15:00</t>
        </is>
      </c>
      <c r="I205" s="4" t="inlineStr">
        <is>
          <t>21:30:00</t>
        </is>
      </c>
      <c r="J205" s="4" t="n">
        <v>319</v>
      </c>
      <c r="K205">
        <f>TEXT(TIMEVALUE(H205)-TIMEVALUE(I204)+(TIMEVALUE(H205)&lt;TIMEVALUE(I204)),"[h]:mm")</f>
        <v/>
      </c>
      <c r="L205" s="4" t="inlineStr">
        <is>
          <t>01:15:00</t>
        </is>
      </c>
      <c r="O205">
        <f>"LIM-"&amp;G204&amp;"-LIM   LA "&amp;E204&amp;" ("&amp;LEFT(H204,5)&amp;"-"&amp;LEFT(I204,5)&amp;" hrs)  /  LA "&amp;E205&amp;" ("&amp;LEFT(H205,5)&amp;"-"&amp;LEFT(I205,5)&amp;" hrs)"</f>
        <v/>
      </c>
    </row>
    <row r="206">
      <c r="J206" s="8" t="inlineStr">
        <is>
          <t>PSV total:</t>
        </is>
      </c>
      <c r="K206" s="9">
        <f>TEXT(TIMEVALUE(I205)-TIMEVALUE(H204)+(I205&lt;H204),"[h]:mm")</f>
        <v/>
      </c>
    </row>
    <row r="208">
      <c r="B208" s="3" t="inlineStr">
        <is>
          <t>Pairing ID</t>
        </is>
      </c>
      <c r="C208" s="3" t="inlineStr">
        <is>
          <t>FECHA REAL</t>
        </is>
      </c>
      <c r="D208" s="3" t="inlineStr">
        <is>
          <t>Day of Week</t>
        </is>
      </c>
      <c r="E208" s="3" t="inlineStr">
        <is>
          <t>Flight No</t>
        </is>
      </c>
      <c r="F208" s="3" t="inlineStr">
        <is>
          <t>Dep Stn</t>
        </is>
      </c>
      <c r="G208" s="3" t="inlineStr">
        <is>
          <t>Arr Stn</t>
        </is>
      </c>
      <c r="H208" s="3" t="inlineStr">
        <is>
          <t>STD</t>
        </is>
      </c>
      <c r="I208" s="3" t="inlineStr">
        <is>
          <t>STA</t>
        </is>
      </c>
      <c r="J208" s="3" t="inlineStr">
        <is>
          <t>subflota</t>
        </is>
      </c>
      <c r="K208" s="3" t="inlineStr">
        <is>
          <t>Conexion</t>
        </is>
      </c>
      <c r="L208" s="3" t="inlineStr">
        <is>
          <t>HBT</t>
        </is>
      </c>
    </row>
    <row r="209">
      <c r="B209" s="4" t="n">
        <v>297</v>
      </c>
      <c r="C209" s="4" t="inlineStr">
        <is>
          <t>03/09/2026</t>
        </is>
      </c>
      <c r="D209" s="4" t="inlineStr">
        <is>
          <t>jueves</t>
        </is>
      </c>
      <c r="E209" s="4" t="n">
        <v>2013</v>
      </c>
      <c r="F209" s="4" t="inlineStr">
        <is>
          <t>LIM</t>
        </is>
      </c>
      <c r="G209" s="4" t="inlineStr">
        <is>
          <t>CUZ</t>
        </is>
      </c>
      <c r="H209" s="4" t="inlineStr">
        <is>
          <t>08:35:00</t>
        </is>
      </c>
      <c r="I209" s="4" t="inlineStr">
        <is>
          <t>09:55:00</t>
        </is>
      </c>
      <c r="J209" s="4" t="n">
        <v>320</v>
      </c>
      <c r="L209" s="4" t="inlineStr">
        <is>
          <t>01:20:00</t>
        </is>
      </c>
      <c r="M209" s="5" t="n"/>
      <c r="N209" s="6" t="n"/>
      <c r="O209" s="5" t="n"/>
      <c r="Q209" s="4">
        <f>B209</f>
        <v/>
      </c>
      <c r="R209" s="4">
        <f>C209</f>
        <v/>
      </c>
      <c r="S209" s="4">
        <f>D209</f>
        <v/>
      </c>
      <c r="T209" s="4">
        <f>E209&amp;"/"&amp;E210</f>
        <v/>
      </c>
      <c r="U209" s="4">
        <f>F209&amp;"-"&amp;G209&amp;"-"&amp;F209</f>
        <v/>
      </c>
      <c r="V209" s="4">
        <f>IF($M$209="","",$M$209)</f>
        <v/>
      </c>
      <c r="W209" s="4">
        <f>IF($O$209="","",$O$209)</f>
        <v/>
      </c>
      <c r="X209" s="4">
        <f>J209</f>
        <v/>
      </c>
    </row>
    <row r="210">
      <c r="B210" s="4" t="n">
        <v>297</v>
      </c>
      <c r="C210" s="4" t="inlineStr">
        <is>
          <t>03/09/2026</t>
        </is>
      </c>
      <c r="D210" s="4" t="inlineStr">
        <is>
          <t>jueves</t>
        </is>
      </c>
      <c r="E210" s="4" t="n">
        <v>2014</v>
      </c>
      <c r="F210" s="4" t="inlineStr">
        <is>
          <t>CUZ</t>
        </is>
      </c>
      <c r="G210" s="4" t="inlineStr">
        <is>
          <t>LIM</t>
        </is>
      </c>
      <c r="H210" s="4" t="inlineStr">
        <is>
          <t>10:40:00</t>
        </is>
      </c>
      <c r="I210" s="4" t="inlineStr">
        <is>
          <t>12:15:00</t>
        </is>
      </c>
      <c r="J210" s="4" t="n">
        <v>320</v>
      </c>
      <c r="K210">
        <f>TEXT(TIMEVALUE(H210)-TIMEVALUE(I209)+(TIMEVALUE(H210)&lt;TIMEVALUE(I209)),"[h]:mm")</f>
        <v/>
      </c>
      <c r="L210" s="4" t="inlineStr">
        <is>
          <t>01:35:00</t>
        </is>
      </c>
      <c r="O210">
        <f>"LIM-"&amp;G209&amp;"-LIM   LA "&amp;E209&amp;" ("&amp;LEFT(H209,5)&amp;"-"&amp;LEFT(I209,5)&amp;" hrs)  /  LA "&amp;E210&amp;" ("&amp;LEFT(H210,5)&amp;"-"&amp;LEFT(I210,5)&amp;" hrs)"</f>
        <v/>
      </c>
    </row>
    <row r="211">
      <c r="B211" s="4" t="n">
        <v>315</v>
      </c>
      <c r="C211" s="4" t="inlineStr">
        <is>
          <t>03/09/2026</t>
        </is>
      </c>
      <c r="D211" s="4" t="inlineStr">
        <is>
          <t>jueves</t>
        </is>
      </c>
      <c r="E211" s="4" t="n">
        <v>2028</v>
      </c>
      <c r="F211" s="4" t="inlineStr">
        <is>
          <t>LIM</t>
        </is>
      </c>
      <c r="G211" s="4" t="inlineStr">
        <is>
          <t>CUZ</t>
        </is>
      </c>
      <c r="H211" s="4" t="inlineStr">
        <is>
          <t>13:25:00</t>
        </is>
      </c>
      <c r="I211" s="4" t="inlineStr">
        <is>
          <t>14:45:00</t>
        </is>
      </c>
      <c r="J211" s="4" t="n">
        <v>320</v>
      </c>
      <c r="K211" s="7">
        <f>TEXT(TIMEVALUE(H211)-TIMEVALUE(I210)+(TIMEVALUE(H211)&lt;TIMEVALUE(I210)),"[h]:mm")</f>
        <v/>
      </c>
      <c r="L211" s="4" t="inlineStr">
        <is>
          <t>01:20:00</t>
        </is>
      </c>
      <c r="M211">
        <f>IF($M$209="","",$M$209)</f>
        <v/>
      </c>
      <c r="O211">
        <f>IF($O$209="","",$O$209)</f>
        <v/>
      </c>
      <c r="Q211" s="4">
        <f>B211</f>
        <v/>
      </c>
      <c r="R211" s="4">
        <f>C211</f>
        <v/>
      </c>
      <c r="S211" s="4">
        <f>D211</f>
        <v/>
      </c>
      <c r="T211" s="4">
        <f>E211&amp;"/"&amp;E212</f>
        <v/>
      </c>
      <c r="U211" s="4">
        <f>F211&amp;"-"&amp;G211&amp;"-"&amp;F211</f>
        <v/>
      </c>
      <c r="V211" s="4">
        <f>IF($M$209="","",$M$209)</f>
        <v/>
      </c>
      <c r="W211" s="4">
        <f>IF($O$209="","",$O$209)</f>
        <v/>
      </c>
      <c r="X211" s="4">
        <f>J211</f>
        <v/>
      </c>
    </row>
    <row r="212">
      <c r="B212" s="4" t="n">
        <v>315</v>
      </c>
      <c r="C212" s="4" t="inlineStr">
        <is>
          <t>03/09/2026</t>
        </is>
      </c>
      <c r="D212" s="4" t="inlineStr">
        <is>
          <t>jueves</t>
        </is>
      </c>
      <c r="E212" s="4" t="n">
        <v>2029</v>
      </c>
      <c r="F212" s="4" t="inlineStr">
        <is>
          <t>CUZ</t>
        </is>
      </c>
      <c r="G212" s="4" t="inlineStr">
        <is>
          <t>LIM</t>
        </is>
      </c>
      <c r="H212" s="4" t="inlineStr">
        <is>
          <t>15:30:00</t>
        </is>
      </c>
      <c r="I212" s="4" t="inlineStr">
        <is>
          <t>17:05:00</t>
        </is>
      </c>
      <c r="J212" s="4" t="n">
        <v>320</v>
      </c>
      <c r="K212">
        <f>TEXT(TIMEVALUE(H212)-TIMEVALUE(I211)+(TIMEVALUE(H212)&lt;TIMEVALUE(I211)),"[h]:mm")</f>
        <v/>
      </c>
      <c r="L212" s="4" t="inlineStr">
        <is>
          <t>01:35:00</t>
        </is>
      </c>
      <c r="O212">
        <f>"LIM-"&amp;G211&amp;"-LIM   LA "&amp;E211&amp;" ("&amp;LEFT(H211,5)&amp;"-"&amp;LEFT(I211,5)&amp;" hrs)  /  LA "&amp;E212&amp;" ("&amp;LEFT(H212,5)&amp;"-"&amp;LEFT(I212,5)&amp;" hrs)"</f>
        <v/>
      </c>
    </row>
    <row r="213">
      <c r="J213" s="8" t="inlineStr">
        <is>
          <t>PSV total:</t>
        </is>
      </c>
      <c r="K213" s="9">
        <f>TEXT(TIMEVALUE(I212)-TIMEVALUE(H209)+(I212&lt;H209),"[h]:mm")</f>
        <v/>
      </c>
    </row>
    <row r="215">
      <c r="B215" s="3" t="inlineStr">
        <is>
          <t>Pairing ID</t>
        </is>
      </c>
      <c r="C215" s="3" t="inlineStr">
        <is>
          <t>FECHA REAL</t>
        </is>
      </c>
      <c r="D215" s="3" t="inlineStr">
        <is>
          <t>Day of Week</t>
        </is>
      </c>
      <c r="E215" s="3" t="inlineStr">
        <is>
          <t>Flight No</t>
        </is>
      </c>
      <c r="F215" s="3" t="inlineStr">
        <is>
          <t>Dep Stn</t>
        </is>
      </c>
      <c r="G215" s="3" t="inlineStr">
        <is>
          <t>Arr Stn</t>
        </is>
      </c>
      <c r="H215" s="3" t="inlineStr">
        <is>
          <t>STD</t>
        </is>
      </c>
      <c r="I215" s="3" t="inlineStr">
        <is>
          <t>STA</t>
        </is>
      </c>
      <c r="J215" s="3" t="inlineStr">
        <is>
          <t>subflota</t>
        </is>
      </c>
      <c r="K215" s="3" t="inlineStr">
        <is>
          <t>Conexion</t>
        </is>
      </c>
      <c r="L215" s="3" t="inlineStr">
        <is>
          <t>HBT</t>
        </is>
      </c>
    </row>
    <row r="216">
      <c r="B216" s="4" t="n">
        <v>303</v>
      </c>
      <c r="C216" s="4" t="inlineStr">
        <is>
          <t>03/09/2026</t>
        </is>
      </c>
      <c r="D216" s="4" t="inlineStr">
        <is>
          <t>jueves</t>
        </is>
      </c>
      <c r="E216" s="4" t="n">
        <v>2109</v>
      </c>
      <c r="F216" s="4" t="inlineStr">
        <is>
          <t>LIM</t>
        </is>
      </c>
      <c r="G216" s="4" t="inlineStr">
        <is>
          <t>AQP</t>
        </is>
      </c>
      <c r="H216" s="4" t="inlineStr">
        <is>
          <t>10:35:00</t>
        </is>
      </c>
      <c r="I216" s="4" t="inlineStr">
        <is>
          <t>12:05:00</t>
        </is>
      </c>
      <c r="J216" s="4" t="n">
        <v>320</v>
      </c>
      <c r="L216" s="4" t="inlineStr">
        <is>
          <t>01:30:00</t>
        </is>
      </c>
      <c r="M216" s="5" t="n"/>
      <c r="N216" s="6" t="n"/>
      <c r="O216" s="5" t="n"/>
      <c r="Q216" s="4">
        <f>B216</f>
        <v/>
      </c>
      <c r="R216" s="4">
        <f>C216</f>
        <v/>
      </c>
      <c r="S216" s="4">
        <f>D216</f>
        <v/>
      </c>
      <c r="T216" s="4">
        <f>E216&amp;"/"&amp;E217</f>
        <v/>
      </c>
      <c r="U216" s="4">
        <f>F216&amp;"-"&amp;G216&amp;"-"&amp;F216</f>
        <v/>
      </c>
      <c r="V216" s="4">
        <f>IF($M$216="","",$M$216)</f>
        <v/>
      </c>
      <c r="W216" s="4">
        <f>IF($O$216="","",$O$216)</f>
        <v/>
      </c>
      <c r="X216" s="4">
        <f>J216</f>
        <v/>
      </c>
    </row>
    <row r="217">
      <c r="B217" s="4" t="n">
        <v>303</v>
      </c>
      <c r="C217" s="4" t="inlineStr">
        <is>
          <t>03/09/2026</t>
        </is>
      </c>
      <c r="D217" s="4" t="inlineStr">
        <is>
          <t>jueves</t>
        </is>
      </c>
      <c r="E217" s="4" t="n">
        <v>2108</v>
      </c>
      <c r="F217" s="4" t="inlineStr">
        <is>
          <t>AQP</t>
        </is>
      </c>
      <c r="G217" s="4" t="inlineStr">
        <is>
          <t>LIM</t>
        </is>
      </c>
      <c r="H217" s="4" t="inlineStr">
        <is>
          <t>12:45:00</t>
        </is>
      </c>
      <c r="I217" s="4" t="inlineStr">
        <is>
          <t>14:20:00</t>
        </is>
      </c>
      <c r="J217" s="4" t="n">
        <v>320</v>
      </c>
      <c r="K217">
        <f>TEXT(TIMEVALUE(H217)-TIMEVALUE(I216)+(TIMEVALUE(H217)&lt;TIMEVALUE(I216)),"[h]:mm")</f>
        <v/>
      </c>
      <c r="L217" s="4" t="inlineStr">
        <is>
          <t>01:35:00</t>
        </is>
      </c>
      <c r="O217">
        <f>"LIM-"&amp;G216&amp;"-LIM   LA "&amp;E216&amp;" ("&amp;LEFT(H216,5)&amp;"-"&amp;LEFT(I216,5)&amp;" hrs)  /  LA "&amp;E217&amp;" ("&amp;LEFT(H217,5)&amp;"-"&amp;LEFT(I217,5)&amp;" hrs)"</f>
        <v/>
      </c>
    </row>
    <row r="218">
      <c r="B218" s="4" t="n">
        <v>326</v>
      </c>
      <c r="C218" s="4" t="inlineStr">
        <is>
          <t>03/09/2026</t>
        </is>
      </c>
      <c r="D218" s="4" t="inlineStr">
        <is>
          <t>jueves</t>
        </is>
      </c>
      <c r="E218" s="4" t="n">
        <v>2297</v>
      </c>
      <c r="F218" s="4" t="inlineStr">
        <is>
          <t>LIM</t>
        </is>
      </c>
      <c r="G218" s="4" t="inlineStr">
        <is>
          <t>CJA</t>
        </is>
      </c>
      <c r="H218" s="4" t="inlineStr">
        <is>
          <t>15:15:00</t>
        </is>
      </c>
      <c r="I218" s="4" t="inlineStr">
        <is>
          <t>16:35:00</t>
        </is>
      </c>
      <c r="J218" s="4" t="n">
        <v>320</v>
      </c>
      <c r="K218" s="7">
        <f>TEXT(TIMEVALUE(H218)-TIMEVALUE(I217)+(TIMEVALUE(H218)&lt;TIMEVALUE(I217)),"[h]:mm")</f>
        <v/>
      </c>
      <c r="L218" s="4" t="inlineStr">
        <is>
          <t>01:20:00</t>
        </is>
      </c>
      <c r="M218">
        <f>IF($M$216="","",$M$216)</f>
        <v/>
      </c>
      <c r="O218">
        <f>IF($O$216="","",$O$216)</f>
        <v/>
      </c>
      <c r="Q218" s="4">
        <f>B218</f>
        <v/>
      </c>
      <c r="R218" s="4">
        <f>C218</f>
        <v/>
      </c>
      <c r="S218" s="4">
        <f>D218</f>
        <v/>
      </c>
      <c r="T218" s="4">
        <f>E218&amp;"/"&amp;E219</f>
        <v/>
      </c>
      <c r="U218" s="4">
        <f>F218&amp;"-"&amp;G218&amp;"-"&amp;F218</f>
        <v/>
      </c>
      <c r="V218" s="4">
        <f>IF($M$216="","",$M$216)</f>
        <v/>
      </c>
      <c r="W218" s="4">
        <f>IF($O$216="","",$O$216)</f>
        <v/>
      </c>
      <c r="X218" s="4">
        <f>J218</f>
        <v/>
      </c>
    </row>
    <row r="219">
      <c r="B219" s="4" t="n">
        <v>326</v>
      </c>
      <c r="C219" s="4" t="inlineStr">
        <is>
          <t>03/09/2026</t>
        </is>
      </c>
      <c r="D219" s="4" t="inlineStr">
        <is>
          <t>jueves</t>
        </is>
      </c>
      <c r="E219" s="4" t="n">
        <v>2296</v>
      </c>
      <c r="F219" s="4" t="inlineStr">
        <is>
          <t>CJA</t>
        </is>
      </c>
      <c r="G219" s="4" t="inlineStr">
        <is>
          <t>LIM</t>
        </is>
      </c>
      <c r="H219" s="4" t="inlineStr">
        <is>
          <t>17:20:00</t>
        </is>
      </c>
      <c r="I219" s="4" t="inlineStr">
        <is>
          <t>18:25:00</t>
        </is>
      </c>
      <c r="J219" s="4" t="n">
        <v>320</v>
      </c>
      <c r="K219">
        <f>TEXT(TIMEVALUE(H219)-TIMEVALUE(I218)+(TIMEVALUE(H219)&lt;TIMEVALUE(I218)),"[h]:mm")</f>
        <v/>
      </c>
      <c r="L219" s="4" t="inlineStr">
        <is>
          <t>01:05:00</t>
        </is>
      </c>
      <c r="O219">
        <f>"LIM-"&amp;G218&amp;"-LIM   LA "&amp;E218&amp;" ("&amp;LEFT(H218,5)&amp;"-"&amp;LEFT(I218,5)&amp;" hrs)  /  LA "&amp;E219&amp;" ("&amp;LEFT(H219,5)&amp;"-"&amp;LEFT(I219,5)&amp;" hrs)"</f>
        <v/>
      </c>
    </row>
    <row r="220">
      <c r="J220" s="8" t="inlineStr">
        <is>
          <t>PSV total:</t>
        </is>
      </c>
      <c r="K220" s="9">
        <f>TEXT(TIMEVALUE(I219)-TIMEVALUE(H216)+(I219&lt;H216),"[h]:mm")</f>
        <v/>
      </c>
    </row>
    <row r="222">
      <c r="B222" s="3" t="inlineStr">
        <is>
          <t>Pairing ID</t>
        </is>
      </c>
      <c r="C222" s="3" t="inlineStr">
        <is>
          <t>FECHA REAL</t>
        </is>
      </c>
      <c r="D222" s="3" t="inlineStr">
        <is>
          <t>Day of Week</t>
        </is>
      </c>
      <c r="E222" s="3" t="inlineStr">
        <is>
          <t>Flight No</t>
        </is>
      </c>
      <c r="F222" s="3" t="inlineStr">
        <is>
          <t>Dep Stn</t>
        </is>
      </c>
      <c r="G222" s="3" t="inlineStr">
        <is>
          <t>Arr Stn</t>
        </is>
      </c>
      <c r="H222" s="3" t="inlineStr">
        <is>
          <t>STD</t>
        </is>
      </c>
      <c r="I222" s="3" t="inlineStr">
        <is>
          <t>STA</t>
        </is>
      </c>
      <c r="J222" s="3" t="inlineStr">
        <is>
          <t>subflota</t>
        </is>
      </c>
      <c r="K222" s="3" t="inlineStr">
        <is>
          <t>Conexion</t>
        </is>
      </c>
      <c r="L222" s="3" t="inlineStr">
        <is>
          <t>HBT</t>
        </is>
      </c>
    </row>
    <row r="223">
      <c r="B223" s="4" t="n">
        <v>304</v>
      </c>
      <c r="C223" s="4" t="inlineStr">
        <is>
          <t>03/09/2026</t>
        </is>
      </c>
      <c r="D223" s="4" t="inlineStr">
        <is>
          <t>jueves</t>
        </is>
      </c>
      <c r="E223" s="4" t="n">
        <v>2299</v>
      </c>
      <c r="F223" s="4" t="inlineStr">
        <is>
          <t>LIM</t>
        </is>
      </c>
      <c r="G223" s="4" t="inlineStr">
        <is>
          <t>CJA</t>
        </is>
      </c>
      <c r="H223" s="4" t="inlineStr">
        <is>
          <t>11:35:00</t>
        </is>
      </c>
      <c r="I223" s="4" t="inlineStr">
        <is>
          <t>12:55:00</t>
        </is>
      </c>
      <c r="J223" s="4" t="n">
        <v>320</v>
      </c>
      <c r="L223" s="4" t="inlineStr">
        <is>
          <t>01:20:00</t>
        </is>
      </c>
      <c r="M223" s="5" t="n"/>
      <c r="N223" s="6" t="n"/>
      <c r="O223" s="5" t="n"/>
      <c r="Q223" s="4">
        <f>B223</f>
        <v/>
      </c>
      <c r="R223" s="4">
        <f>C223</f>
        <v/>
      </c>
      <c r="S223" s="4">
        <f>D223</f>
        <v/>
      </c>
      <c r="T223" s="4">
        <f>E223&amp;"/"&amp;E224</f>
        <v/>
      </c>
      <c r="U223" s="4">
        <f>F223&amp;"-"&amp;G223&amp;"-"&amp;F223</f>
        <v/>
      </c>
      <c r="V223" s="4">
        <f>IF($M$223="","",$M$223)</f>
        <v/>
      </c>
      <c r="W223" s="4">
        <f>IF($O$223="","",$O$223)</f>
        <v/>
      </c>
      <c r="X223" s="4">
        <f>J223</f>
        <v/>
      </c>
    </row>
    <row r="224">
      <c r="B224" s="4" t="n">
        <v>304</v>
      </c>
      <c r="C224" s="4" t="inlineStr">
        <is>
          <t>03/09/2026</t>
        </is>
      </c>
      <c r="D224" s="4" t="inlineStr">
        <is>
          <t>jueves</t>
        </is>
      </c>
      <c r="E224" s="4" t="n">
        <v>2298</v>
      </c>
      <c r="F224" s="4" t="inlineStr">
        <is>
          <t>CJA</t>
        </is>
      </c>
      <c r="G224" s="4" t="inlineStr">
        <is>
          <t>LIM</t>
        </is>
      </c>
      <c r="H224" s="4" t="inlineStr">
        <is>
          <t>13:40:00</t>
        </is>
      </c>
      <c r="I224" s="4" t="inlineStr">
        <is>
          <t>14:50:00</t>
        </is>
      </c>
      <c r="J224" s="4" t="n">
        <v>320</v>
      </c>
      <c r="K224">
        <f>TEXT(TIMEVALUE(H224)-TIMEVALUE(I223)+(TIMEVALUE(H224)&lt;TIMEVALUE(I223)),"[h]:mm")</f>
        <v/>
      </c>
      <c r="L224" s="4" t="inlineStr">
        <is>
          <t>01:10:00</t>
        </is>
      </c>
      <c r="O224">
        <f>"LIM-"&amp;G223&amp;"-LIM   LA "&amp;E223&amp;" ("&amp;LEFT(H223,5)&amp;"-"&amp;LEFT(I223,5)&amp;" hrs)  /  LA "&amp;E224&amp;" ("&amp;LEFT(H224,5)&amp;"-"&amp;LEFT(I224,5)&amp;" hrs)"</f>
        <v/>
      </c>
    </row>
    <row r="225">
      <c r="J225" s="8" t="inlineStr">
        <is>
          <t>PSV total:</t>
        </is>
      </c>
      <c r="K225" s="9">
        <f>TEXT(TIMEVALUE(I224)-TIMEVALUE(H223)+(I224&lt;H223),"[h]:mm")</f>
        <v/>
      </c>
    </row>
    <row r="227">
      <c r="B227" s="3" t="inlineStr">
        <is>
          <t>Pairing ID</t>
        </is>
      </c>
      <c r="C227" s="3" t="inlineStr">
        <is>
          <t>FECHA REAL</t>
        </is>
      </c>
      <c r="D227" s="3" t="inlineStr">
        <is>
          <t>Day of Week</t>
        </is>
      </c>
      <c r="E227" s="3" t="inlineStr">
        <is>
          <t>Flight No</t>
        </is>
      </c>
      <c r="F227" s="3" t="inlineStr">
        <is>
          <t>Dep Stn</t>
        </is>
      </c>
      <c r="G227" s="3" t="inlineStr">
        <is>
          <t>Arr Stn</t>
        </is>
      </c>
      <c r="H227" s="3" t="inlineStr">
        <is>
          <t>STD</t>
        </is>
      </c>
      <c r="I227" s="3" t="inlineStr">
        <is>
          <t>STA</t>
        </is>
      </c>
      <c r="J227" s="3" t="inlineStr">
        <is>
          <t>subflota</t>
        </is>
      </c>
      <c r="K227" s="3" t="inlineStr">
        <is>
          <t>Conexion</t>
        </is>
      </c>
      <c r="L227" s="3" t="inlineStr">
        <is>
          <t>HBT</t>
        </is>
      </c>
    </row>
    <row r="228">
      <c r="B228" s="4" t="n">
        <v>305</v>
      </c>
      <c r="C228" s="4" t="inlineStr">
        <is>
          <t>03/09/2026</t>
        </is>
      </c>
      <c r="D228" s="4" t="inlineStr">
        <is>
          <t>jueves</t>
        </is>
      </c>
      <c r="E228" s="4" t="n">
        <v>2061</v>
      </c>
      <c r="F228" s="4" t="inlineStr">
        <is>
          <t>LIM</t>
        </is>
      </c>
      <c r="G228" s="4" t="inlineStr">
        <is>
          <t>CUZ</t>
        </is>
      </c>
      <c r="H228" s="4" t="inlineStr">
        <is>
          <t>11:40:00</t>
        </is>
      </c>
      <c r="I228" s="4" t="inlineStr">
        <is>
          <t>13:00:00</t>
        </is>
      </c>
      <c r="J228" s="4" t="n">
        <v>320</v>
      </c>
      <c r="L228" s="4" t="inlineStr">
        <is>
          <t>01:20:00</t>
        </is>
      </c>
      <c r="M228" s="5" t="n"/>
      <c r="N228" s="6" t="n"/>
      <c r="O228" s="5" t="n"/>
      <c r="Q228" s="4">
        <f>B228</f>
        <v/>
      </c>
      <c r="R228" s="4">
        <f>C228</f>
        <v/>
      </c>
      <c r="S228" s="4">
        <f>D228</f>
        <v/>
      </c>
      <c r="T228" s="4">
        <f>E228&amp;"/"&amp;E229</f>
        <v/>
      </c>
      <c r="U228" s="4">
        <f>F228&amp;"-"&amp;G228&amp;"-"&amp;F228</f>
        <v/>
      </c>
      <c r="V228" s="4">
        <f>IF($M$228="","",$M$228)</f>
        <v/>
      </c>
      <c r="W228" s="4">
        <f>IF($O$228="","",$O$228)</f>
        <v/>
      </c>
      <c r="X228" s="4">
        <f>J228</f>
        <v/>
      </c>
    </row>
    <row r="229">
      <c r="B229" s="4" t="n">
        <v>305</v>
      </c>
      <c r="C229" s="4" t="inlineStr">
        <is>
          <t>03/09/2026</t>
        </is>
      </c>
      <c r="D229" s="4" t="inlineStr">
        <is>
          <t>jueves</t>
        </is>
      </c>
      <c r="E229" s="4" t="n">
        <v>2062</v>
      </c>
      <c r="F229" s="4" t="inlineStr">
        <is>
          <t>CUZ</t>
        </is>
      </c>
      <c r="G229" s="4" t="inlineStr">
        <is>
          <t>LIM</t>
        </is>
      </c>
      <c r="H229" s="4" t="inlineStr">
        <is>
          <t>13:40:00</t>
        </is>
      </c>
      <c r="I229" s="4" t="inlineStr">
        <is>
          <t>15:15:00</t>
        </is>
      </c>
      <c r="J229" s="4" t="n">
        <v>320</v>
      </c>
      <c r="K229">
        <f>TEXT(TIMEVALUE(H229)-TIMEVALUE(I228)+(TIMEVALUE(H229)&lt;TIMEVALUE(I228)),"[h]:mm")</f>
        <v/>
      </c>
      <c r="L229" s="4" t="inlineStr">
        <is>
          <t>01:35:00</t>
        </is>
      </c>
      <c r="O229">
        <f>"LIM-"&amp;G228&amp;"-LIM   LA "&amp;E228&amp;" ("&amp;LEFT(H228,5)&amp;"-"&amp;LEFT(I228,5)&amp;" hrs)  /  LA "&amp;E229&amp;" ("&amp;LEFT(H229,5)&amp;"-"&amp;LEFT(I229,5)&amp;" hrs)"</f>
        <v/>
      </c>
    </row>
    <row r="230">
      <c r="B230" s="4" t="n">
        <v>333</v>
      </c>
      <c r="C230" s="4" t="inlineStr">
        <is>
          <t>03/09/2026</t>
        </is>
      </c>
      <c r="D230" s="4" t="inlineStr">
        <is>
          <t>jueves</t>
        </is>
      </c>
      <c r="E230" s="4" t="n">
        <v>2276</v>
      </c>
      <c r="F230" s="4" t="inlineStr">
        <is>
          <t>LIM</t>
        </is>
      </c>
      <c r="G230" s="4" t="inlineStr">
        <is>
          <t>CUZ</t>
        </is>
      </c>
      <c r="H230" s="4" t="inlineStr">
        <is>
          <t>16:35:00</t>
        </is>
      </c>
      <c r="I230" s="4" t="inlineStr">
        <is>
          <t>17:55:00</t>
        </is>
      </c>
      <c r="J230" s="4" t="n">
        <v>320</v>
      </c>
      <c r="K230" s="7">
        <f>TEXT(TIMEVALUE(H230)-TIMEVALUE(I229)+(TIMEVALUE(H230)&lt;TIMEVALUE(I229)),"[h]:mm")</f>
        <v/>
      </c>
      <c r="L230" s="4" t="inlineStr">
        <is>
          <t>01:20:00</t>
        </is>
      </c>
      <c r="M230">
        <f>IF($M$228="","",$M$228)</f>
        <v/>
      </c>
      <c r="O230">
        <f>IF($O$228="","",$O$228)</f>
        <v/>
      </c>
      <c r="Q230" s="4">
        <f>B230</f>
        <v/>
      </c>
      <c r="R230" s="4">
        <f>C230</f>
        <v/>
      </c>
      <c r="S230" s="4">
        <f>D230</f>
        <v/>
      </c>
      <c r="T230" s="4">
        <f>E230&amp;"/"&amp;E231</f>
        <v/>
      </c>
      <c r="U230" s="4">
        <f>F230&amp;"-"&amp;G230&amp;"-"&amp;F230</f>
        <v/>
      </c>
      <c r="V230" s="4">
        <f>IF($M$228="","",$M$228)</f>
        <v/>
      </c>
      <c r="W230" s="4">
        <f>IF($O$228="","",$O$228)</f>
        <v/>
      </c>
      <c r="X230" s="4">
        <f>J230</f>
        <v/>
      </c>
    </row>
    <row r="231">
      <c r="B231" s="4" t="n">
        <v>333</v>
      </c>
      <c r="C231" s="4" t="inlineStr">
        <is>
          <t>03/09/2026</t>
        </is>
      </c>
      <c r="D231" s="4" t="inlineStr">
        <is>
          <t>jueves</t>
        </is>
      </c>
      <c r="E231" s="4" t="n">
        <v>2277</v>
      </c>
      <c r="F231" s="4" t="inlineStr">
        <is>
          <t>CUZ</t>
        </is>
      </c>
      <c r="G231" s="4" t="inlineStr">
        <is>
          <t>LIM</t>
        </is>
      </c>
      <c r="H231" s="4" t="inlineStr">
        <is>
          <t>18:50:00</t>
        </is>
      </c>
      <c r="I231" s="4" t="inlineStr">
        <is>
          <t>20:25:00</t>
        </is>
      </c>
      <c r="J231" s="4" t="n">
        <v>320</v>
      </c>
      <c r="K231">
        <f>TEXT(TIMEVALUE(H231)-TIMEVALUE(I230)+(TIMEVALUE(H231)&lt;TIMEVALUE(I230)),"[h]:mm")</f>
        <v/>
      </c>
      <c r="L231" s="4" t="inlineStr">
        <is>
          <t>01:35:00</t>
        </is>
      </c>
      <c r="O231">
        <f>"LIM-"&amp;G230&amp;"-LIM   LA "&amp;E230&amp;" ("&amp;LEFT(H230,5)&amp;"-"&amp;LEFT(I230,5)&amp;" hrs)  /  LA "&amp;E231&amp;" ("&amp;LEFT(H231,5)&amp;"-"&amp;LEFT(I231,5)&amp;" hrs)"</f>
        <v/>
      </c>
    </row>
    <row r="232">
      <c r="J232" s="8" t="inlineStr">
        <is>
          <t>PSV total:</t>
        </is>
      </c>
      <c r="K232" s="9">
        <f>TEXT(TIMEVALUE(I231)-TIMEVALUE(H228)+(I231&lt;H228),"[h]:mm")</f>
        <v/>
      </c>
    </row>
    <row r="234">
      <c r="B234" s="3" t="inlineStr">
        <is>
          <t>Pairing ID</t>
        </is>
      </c>
      <c r="C234" s="3" t="inlineStr">
        <is>
          <t>FECHA REAL</t>
        </is>
      </c>
      <c r="D234" s="3" t="inlineStr">
        <is>
          <t>Day of Week</t>
        </is>
      </c>
      <c r="E234" s="3" t="inlineStr">
        <is>
          <t>Flight No</t>
        </is>
      </c>
      <c r="F234" s="3" t="inlineStr">
        <is>
          <t>Dep Stn</t>
        </is>
      </c>
      <c r="G234" s="3" t="inlineStr">
        <is>
          <t>Arr Stn</t>
        </is>
      </c>
      <c r="H234" s="3" t="inlineStr">
        <is>
          <t>STD</t>
        </is>
      </c>
      <c r="I234" s="3" t="inlineStr">
        <is>
          <t>STA</t>
        </is>
      </c>
      <c r="J234" s="3" t="inlineStr">
        <is>
          <t>subflota</t>
        </is>
      </c>
      <c r="K234" s="3" t="inlineStr">
        <is>
          <t>Conexion</t>
        </is>
      </c>
      <c r="L234" s="3" t="inlineStr">
        <is>
          <t>HBT</t>
        </is>
      </c>
    </row>
    <row r="235">
      <c r="B235" s="4" t="n">
        <v>310</v>
      </c>
      <c r="C235" s="4" t="inlineStr">
        <is>
          <t>03/09/2026</t>
        </is>
      </c>
      <c r="D235" s="4" t="inlineStr">
        <is>
          <t>jueves</t>
        </is>
      </c>
      <c r="E235" s="4" t="n">
        <v>2120</v>
      </c>
      <c r="F235" s="4" t="inlineStr">
        <is>
          <t>LIM</t>
        </is>
      </c>
      <c r="G235" s="4" t="inlineStr">
        <is>
          <t>CUZ</t>
        </is>
      </c>
      <c r="H235" s="4" t="inlineStr">
        <is>
          <t>12:35:00</t>
        </is>
      </c>
      <c r="I235" s="4" t="inlineStr">
        <is>
          <t>13:55:00</t>
        </is>
      </c>
      <c r="J235" s="4" t="n">
        <v>320</v>
      </c>
      <c r="L235" s="4" t="inlineStr">
        <is>
          <t>01:20:00</t>
        </is>
      </c>
      <c r="M235" s="5" t="n"/>
      <c r="N235" s="6" t="n"/>
      <c r="O235" s="5" t="n"/>
      <c r="Q235" s="4">
        <f>B235</f>
        <v/>
      </c>
      <c r="R235" s="4">
        <f>C235</f>
        <v/>
      </c>
      <c r="S235" s="4">
        <f>D235</f>
        <v/>
      </c>
      <c r="T235" s="4">
        <f>E235&amp;"/"&amp;E236</f>
        <v/>
      </c>
      <c r="U235" s="4">
        <f>F235&amp;"-"&amp;G235&amp;"-"&amp;F235</f>
        <v/>
      </c>
      <c r="V235" s="4">
        <f>IF($M$235="","",$M$235)</f>
        <v/>
      </c>
      <c r="W235" s="4">
        <f>IF($O$235="","",$O$235)</f>
        <v/>
      </c>
      <c r="X235" s="4">
        <f>J235</f>
        <v/>
      </c>
    </row>
    <row r="236">
      <c r="B236" s="4" t="n">
        <v>310</v>
      </c>
      <c r="C236" s="4" t="inlineStr">
        <is>
          <t>03/09/2026</t>
        </is>
      </c>
      <c r="D236" s="4" t="inlineStr">
        <is>
          <t>jueves</t>
        </is>
      </c>
      <c r="E236" s="4" t="n">
        <v>2121</v>
      </c>
      <c r="F236" s="4" t="inlineStr">
        <is>
          <t>CUZ</t>
        </is>
      </c>
      <c r="G236" s="4" t="inlineStr">
        <is>
          <t>LIM</t>
        </is>
      </c>
      <c r="H236" s="4" t="inlineStr">
        <is>
          <t>17:35:00</t>
        </is>
      </c>
      <c r="I236" s="4" t="inlineStr">
        <is>
          <t>19:10:00</t>
        </is>
      </c>
      <c r="J236" s="4" t="n">
        <v>320</v>
      </c>
      <c r="K236">
        <f>TEXT(TIMEVALUE(H236)-TIMEVALUE(I235)+(TIMEVALUE(H236)&lt;TIMEVALUE(I235)),"[h]:mm")</f>
        <v/>
      </c>
      <c r="L236" s="4" t="inlineStr">
        <is>
          <t>01:35:00</t>
        </is>
      </c>
      <c r="O236">
        <f>"LIM-"&amp;G235&amp;"-LIM   LA "&amp;E235&amp;" ("&amp;LEFT(H235,5)&amp;"-"&amp;LEFT(I235,5)&amp;" hrs)  /  LA "&amp;E236&amp;" ("&amp;LEFT(H236,5)&amp;"-"&amp;LEFT(I236,5)&amp;" hrs)"</f>
        <v/>
      </c>
    </row>
    <row r="237">
      <c r="J237" s="8" t="inlineStr">
        <is>
          <t>PSV total:</t>
        </is>
      </c>
      <c r="K237" s="9">
        <f>TEXT(TIMEVALUE(I236)-TIMEVALUE(H235)+(I236&lt;H235),"[h]:mm")</f>
        <v/>
      </c>
    </row>
    <row r="239">
      <c r="B239" s="3" t="inlineStr">
        <is>
          <t>Pairing ID</t>
        </is>
      </c>
      <c r="C239" s="3" t="inlineStr">
        <is>
          <t>FECHA REAL</t>
        </is>
      </c>
      <c r="D239" s="3" t="inlineStr">
        <is>
          <t>Day of Week</t>
        </is>
      </c>
      <c r="E239" s="3" t="inlineStr">
        <is>
          <t>Flight No</t>
        </is>
      </c>
      <c r="F239" s="3" t="inlineStr">
        <is>
          <t>Dep Stn</t>
        </is>
      </c>
      <c r="G239" s="3" t="inlineStr">
        <is>
          <t>Arr Stn</t>
        </is>
      </c>
      <c r="H239" s="3" t="inlineStr">
        <is>
          <t>STD</t>
        </is>
      </c>
      <c r="I239" s="3" t="inlineStr">
        <is>
          <t>STA</t>
        </is>
      </c>
      <c r="J239" s="3" t="inlineStr">
        <is>
          <t>subflota</t>
        </is>
      </c>
      <c r="K239" s="3" t="inlineStr">
        <is>
          <t>Conexion</t>
        </is>
      </c>
      <c r="L239" s="3" t="inlineStr">
        <is>
          <t>HBT</t>
        </is>
      </c>
    </row>
    <row r="240">
      <c r="B240" s="4" t="n">
        <v>316</v>
      </c>
      <c r="C240" s="4" t="inlineStr">
        <is>
          <t>03/09/2026</t>
        </is>
      </c>
      <c r="D240" s="4" t="inlineStr">
        <is>
          <t>jueves</t>
        </is>
      </c>
      <c r="E240" s="4" t="n">
        <v>2234</v>
      </c>
      <c r="F240" s="4" t="inlineStr">
        <is>
          <t>LIM</t>
        </is>
      </c>
      <c r="G240" s="4" t="inlineStr">
        <is>
          <t>IQT</t>
        </is>
      </c>
      <c r="H240" s="4" t="inlineStr">
        <is>
          <t>13:35:00</t>
        </is>
      </c>
      <c r="I240" s="4" t="inlineStr">
        <is>
          <t>15:25:00</t>
        </is>
      </c>
      <c r="J240" s="4" t="n">
        <v>320</v>
      </c>
      <c r="L240" s="4" t="inlineStr">
        <is>
          <t>01:50:00</t>
        </is>
      </c>
      <c r="M240" s="5" t="n"/>
      <c r="N240" s="6" t="n"/>
      <c r="O240" s="5" t="n"/>
      <c r="Q240" s="4">
        <f>B240</f>
        <v/>
      </c>
      <c r="R240" s="4">
        <f>C240</f>
        <v/>
      </c>
      <c r="S240" s="4">
        <f>D240</f>
        <v/>
      </c>
      <c r="T240" s="4">
        <f>E240&amp;"/"&amp;E241</f>
        <v/>
      </c>
      <c r="U240" s="4">
        <f>F240&amp;"-"&amp;G240&amp;"-"&amp;F240</f>
        <v/>
      </c>
      <c r="V240" s="4">
        <f>IF($M$240="","",$M$240)</f>
        <v/>
      </c>
      <c r="W240" s="4">
        <f>IF($O$240="","",$O$240)</f>
        <v/>
      </c>
      <c r="X240" s="4">
        <f>J240</f>
        <v/>
      </c>
    </row>
    <row r="241">
      <c r="B241" s="4" t="n">
        <v>316</v>
      </c>
      <c r="C241" s="4" t="inlineStr">
        <is>
          <t>03/09/2026</t>
        </is>
      </c>
      <c r="D241" s="4" t="inlineStr">
        <is>
          <t>jueves</t>
        </is>
      </c>
      <c r="E241" s="4" t="n">
        <v>2235</v>
      </c>
      <c r="F241" s="4" t="inlineStr">
        <is>
          <t>IQT</t>
        </is>
      </c>
      <c r="G241" s="4" t="inlineStr">
        <is>
          <t>LIM</t>
        </is>
      </c>
      <c r="H241" s="4" t="inlineStr">
        <is>
          <t>16:05:00</t>
        </is>
      </c>
      <c r="I241" s="4" t="inlineStr">
        <is>
          <t>17:55:00</t>
        </is>
      </c>
      <c r="J241" s="4" t="n">
        <v>320</v>
      </c>
      <c r="K241">
        <f>TEXT(TIMEVALUE(H241)-TIMEVALUE(I240)+(TIMEVALUE(H241)&lt;TIMEVALUE(I240)),"[h]:mm")</f>
        <v/>
      </c>
      <c r="L241" s="4" t="inlineStr">
        <is>
          <t>01:50:00</t>
        </is>
      </c>
      <c r="O241">
        <f>"LIM-"&amp;G240&amp;"-LIM   LA "&amp;E240&amp;" ("&amp;LEFT(H240,5)&amp;"-"&amp;LEFT(I240,5)&amp;" hrs)  /  LA "&amp;E241&amp;" ("&amp;LEFT(H241,5)&amp;"-"&amp;LEFT(I241,5)&amp;" hrs)"</f>
        <v/>
      </c>
    </row>
    <row r="242">
      <c r="J242" s="8" t="inlineStr">
        <is>
          <t>PSV total:</t>
        </is>
      </c>
      <c r="K242" s="9">
        <f>TEXT(TIMEVALUE(I241)-TIMEVALUE(H240)+(I241&lt;H240),"[h]:mm")</f>
        <v/>
      </c>
    </row>
    <row r="244">
      <c r="B244" s="3" t="inlineStr">
        <is>
          <t>Pairing ID</t>
        </is>
      </c>
      <c r="C244" s="3" t="inlineStr">
        <is>
          <t>FECHA REAL</t>
        </is>
      </c>
      <c r="D244" s="3" t="inlineStr">
        <is>
          <t>Day of Week</t>
        </is>
      </c>
      <c r="E244" s="3" t="inlineStr">
        <is>
          <t>Flight No</t>
        </is>
      </c>
      <c r="F244" s="3" t="inlineStr">
        <is>
          <t>Dep Stn</t>
        </is>
      </c>
      <c r="G244" s="3" t="inlineStr">
        <is>
          <t>Arr Stn</t>
        </is>
      </c>
      <c r="H244" s="3" t="inlineStr">
        <is>
          <t>STD</t>
        </is>
      </c>
      <c r="I244" s="3" t="inlineStr">
        <is>
          <t>STA</t>
        </is>
      </c>
      <c r="J244" s="3" t="inlineStr">
        <is>
          <t>subflota</t>
        </is>
      </c>
      <c r="K244" s="3" t="inlineStr">
        <is>
          <t>Conexion</t>
        </is>
      </c>
      <c r="L244" s="3" t="inlineStr">
        <is>
          <t>HBT</t>
        </is>
      </c>
    </row>
    <row r="245">
      <c r="B245" s="4" t="n">
        <v>319</v>
      </c>
      <c r="C245" s="4" t="inlineStr">
        <is>
          <t>03/09/2026</t>
        </is>
      </c>
      <c r="D245" s="4" t="inlineStr">
        <is>
          <t>jueves</t>
        </is>
      </c>
      <c r="E245" s="4" t="n">
        <v>2087</v>
      </c>
      <c r="F245" s="4" t="inlineStr">
        <is>
          <t>LIM</t>
        </is>
      </c>
      <c r="G245" s="4" t="inlineStr">
        <is>
          <t>TPP</t>
        </is>
      </c>
      <c r="H245" s="4" t="inlineStr">
        <is>
          <t>14:05:00</t>
        </is>
      </c>
      <c r="I245" s="4" t="inlineStr">
        <is>
          <t>15:30:00</t>
        </is>
      </c>
      <c r="J245" s="4" t="n">
        <v>320</v>
      </c>
      <c r="L245" s="4" t="inlineStr">
        <is>
          <t>01:25:00</t>
        </is>
      </c>
      <c r="M245" s="5" t="n"/>
      <c r="N245" s="6" t="n"/>
      <c r="O245" s="5" t="n"/>
      <c r="Q245" s="4">
        <f>B245</f>
        <v/>
      </c>
      <c r="R245" s="4">
        <f>C245</f>
        <v/>
      </c>
      <c r="S245" s="4">
        <f>D245</f>
        <v/>
      </c>
      <c r="T245" s="4">
        <f>E245&amp;"/"&amp;E246</f>
        <v/>
      </c>
      <c r="U245" s="4">
        <f>F245&amp;"-"&amp;G245&amp;"-"&amp;F245</f>
        <v/>
      </c>
      <c r="V245" s="4">
        <f>IF($M$245="","",$M$245)</f>
        <v/>
      </c>
      <c r="W245" s="4">
        <f>IF($O$245="","",$O$245)</f>
        <v/>
      </c>
      <c r="X245" s="4">
        <f>J245</f>
        <v/>
      </c>
    </row>
    <row r="246">
      <c r="B246" s="4" t="n">
        <v>319</v>
      </c>
      <c r="C246" s="4" t="inlineStr">
        <is>
          <t>03/09/2026</t>
        </is>
      </c>
      <c r="D246" s="4" t="inlineStr">
        <is>
          <t>jueves</t>
        </is>
      </c>
      <c r="E246" s="4" t="n">
        <v>2088</v>
      </c>
      <c r="F246" s="4" t="inlineStr">
        <is>
          <t>TPP</t>
        </is>
      </c>
      <c r="G246" s="4" t="inlineStr">
        <is>
          <t>LIM</t>
        </is>
      </c>
      <c r="H246" s="4" t="inlineStr">
        <is>
          <t>16:05:00</t>
        </is>
      </c>
      <c r="I246" s="4" t="inlineStr">
        <is>
          <t>17:30:00</t>
        </is>
      </c>
      <c r="J246" s="4" t="n">
        <v>320</v>
      </c>
      <c r="K246">
        <f>TEXT(TIMEVALUE(H246)-TIMEVALUE(I245)+(TIMEVALUE(H246)&lt;TIMEVALUE(I245)),"[h]:mm")</f>
        <v/>
      </c>
      <c r="L246" s="4" t="inlineStr">
        <is>
          <t>01:25:00</t>
        </is>
      </c>
      <c r="O246">
        <f>"LIM-"&amp;G245&amp;"-LIM   LA "&amp;E245&amp;" ("&amp;LEFT(H245,5)&amp;"-"&amp;LEFT(I245,5)&amp;" hrs)  /  LA "&amp;E246&amp;" ("&amp;LEFT(H246,5)&amp;"-"&amp;LEFT(I246,5)&amp;" hrs)"</f>
        <v/>
      </c>
    </row>
    <row r="247">
      <c r="J247" s="8" t="inlineStr">
        <is>
          <t>PSV total:</t>
        </is>
      </c>
      <c r="K247" s="9">
        <f>TEXT(TIMEVALUE(I246)-TIMEVALUE(H245)+(I246&lt;H245),"[h]:mm")</f>
        <v/>
      </c>
    </row>
    <row r="249">
      <c r="B249" s="3" t="inlineStr">
        <is>
          <t>Pairing ID</t>
        </is>
      </c>
      <c r="C249" s="3" t="inlineStr">
        <is>
          <t>FECHA REAL</t>
        </is>
      </c>
      <c r="D249" s="3" t="inlineStr">
        <is>
          <t>Day of Week</t>
        </is>
      </c>
      <c r="E249" s="3" t="inlineStr">
        <is>
          <t>Flight No</t>
        </is>
      </c>
      <c r="F249" s="3" t="inlineStr">
        <is>
          <t>Dep Stn</t>
        </is>
      </c>
      <c r="G249" s="3" t="inlineStr">
        <is>
          <t>Arr Stn</t>
        </is>
      </c>
      <c r="H249" s="3" t="inlineStr">
        <is>
          <t>STD</t>
        </is>
      </c>
      <c r="I249" s="3" t="inlineStr">
        <is>
          <t>STA</t>
        </is>
      </c>
      <c r="J249" s="3" t="inlineStr">
        <is>
          <t>subflota</t>
        </is>
      </c>
      <c r="K249" s="3" t="inlineStr">
        <is>
          <t>Conexion</t>
        </is>
      </c>
      <c r="L249" s="3" t="inlineStr">
        <is>
          <t>HBT</t>
        </is>
      </c>
    </row>
    <row r="250">
      <c r="B250" s="4" t="n">
        <v>322</v>
      </c>
      <c r="C250" s="4" t="inlineStr">
        <is>
          <t>03/09/2026</t>
        </is>
      </c>
      <c r="D250" s="4" t="inlineStr">
        <is>
          <t>jueves</t>
        </is>
      </c>
      <c r="E250" s="4" t="n">
        <v>2282</v>
      </c>
      <c r="F250" s="4" t="inlineStr">
        <is>
          <t>LIM</t>
        </is>
      </c>
      <c r="G250" s="4" t="inlineStr">
        <is>
          <t>CIX</t>
        </is>
      </c>
      <c r="H250" s="4" t="inlineStr">
        <is>
          <t>14:35:00</t>
        </is>
      </c>
      <c r="I250" s="4" t="inlineStr">
        <is>
          <t>16:05:00</t>
        </is>
      </c>
      <c r="J250" s="4" t="n">
        <v>319</v>
      </c>
      <c r="L250" s="4" t="inlineStr">
        <is>
          <t>01:30:00</t>
        </is>
      </c>
      <c r="M250" s="5" t="n"/>
      <c r="N250" s="6" t="n"/>
      <c r="O250" s="5" t="n"/>
      <c r="Q250" s="4">
        <f>B250</f>
        <v/>
      </c>
      <c r="R250" s="4">
        <f>C250</f>
        <v/>
      </c>
      <c r="S250" s="4">
        <f>D250</f>
        <v/>
      </c>
      <c r="T250" s="4">
        <f>E250&amp;"/"&amp;E251</f>
        <v/>
      </c>
      <c r="U250" s="4">
        <f>F250&amp;"-"&amp;G250&amp;"-"&amp;F250</f>
        <v/>
      </c>
      <c r="V250" s="4">
        <f>IF($M$250="","",$M$250)</f>
        <v/>
      </c>
      <c r="W250" s="4">
        <f>IF($O$250="","",$O$250)</f>
        <v/>
      </c>
      <c r="X250" s="4">
        <f>J250</f>
        <v/>
      </c>
    </row>
    <row r="251">
      <c r="B251" s="4" t="n">
        <v>322</v>
      </c>
      <c r="C251" s="4" t="inlineStr">
        <is>
          <t>03/09/2026</t>
        </is>
      </c>
      <c r="D251" s="4" t="inlineStr">
        <is>
          <t>jueves</t>
        </is>
      </c>
      <c r="E251" s="4" t="n">
        <v>2283</v>
      </c>
      <c r="F251" s="4" t="inlineStr">
        <is>
          <t>CIX</t>
        </is>
      </c>
      <c r="G251" s="4" t="inlineStr">
        <is>
          <t>LIM</t>
        </is>
      </c>
      <c r="H251" s="4" t="inlineStr">
        <is>
          <t>16:50:00</t>
        </is>
      </c>
      <c r="I251" s="4" t="inlineStr">
        <is>
          <t>18:10:00</t>
        </is>
      </c>
      <c r="J251" s="4" t="n">
        <v>319</v>
      </c>
      <c r="K251">
        <f>TEXT(TIMEVALUE(H251)-TIMEVALUE(I250)+(TIMEVALUE(H251)&lt;TIMEVALUE(I250)),"[h]:mm")</f>
        <v/>
      </c>
      <c r="L251" s="4" t="inlineStr">
        <is>
          <t>01:20:00</t>
        </is>
      </c>
      <c r="O251">
        <f>"LIM-"&amp;G250&amp;"-LIM   LA "&amp;E250&amp;" ("&amp;LEFT(H250,5)&amp;"-"&amp;LEFT(I250,5)&amp;" hrs)  /  LA "&amp;E251&amp;" ("&amp;LEFT(H251,5)&amp;"-"&amp;LEFT(I251,5)&amp;" hrs)"</f>
        <v/>
      </c>
    </row>
    <row r="252">
      <c r="J252" s="8" t="inlineStr">
        <is>
          <t>PSV total:</t>
        </is>
      </c>
      <c r="K252" s="9">
        <f>TEXT(TIMEVALUE(I251)-TIMEVALUE(H250)+(I251&lt;H250),"[h]:mm")</f>
        <v/>
      </c>
    </row>
    <row r="254">
      <c r="B254" s="3" t="inlineStr">
        <is>
          <t>Pairing ID</t>
        </is>
      </c>
      <c r="C254" s="3" t="inlineStr">
        <is>
          <t>FECHA REAL</t>
        </is>
      </c>
      <c r="D254" s="3" t="inlineStr">
        <is>
          <t>Day of Week</t>
        </is>
      </c>
      <c r="E254" s="3" t="inlineStr">
        <is>
          <t>Flight No</t>
        </is>
      </c>
      <c r="F254" s="3" t="inlineStr">
        <is>
          <t>Dep Stn</t>
        </is>
      </c>
      <c r="G254" s="3" t="inlineStr">
        <is>
          <t>Arr Stn</t>
        </is>
      </c>
      <c r="H254" s="3" t="inlineStr">
        <is>
          <t>STD</t>
        </is>
      </c>
      <c r="I254" s="3" t="inlineStr">
        <is>
          <t>STA</t>
        </is>
      </c>
      <c r="J254" s="3" t="inlineStr">
        <is>
          <t>subflota</t>
        </is>
      </c>
      <c r="K254" s="3" t="inlineStr">
        <is>
          <t>Conexion</t>
        </is>
      </c>
      <c r="L254" s="3" t="inlineStr">
        <is>
          <t>HBT</t>
        </is>
      </c>
    </row>
    <row r="255">
      <c r="B255" s="4" t="n">
        <v>323</v>
      </c>
      <c r="C255" s="4" t="inlineStr">
        <is>
          <t>03/09/2026</t>
        </is>
      </c>
      <c r="D255" s="4" t="inlineStr">
        <is>
          <t>jueves</t>
        </is>
      </c>
      <c r="E255" s="4" t="n">
        <v>2264</v>
      </c>
      <c r="F255" s="4" t="inlineStr">
        <is>
          <t>LIM</t>
        </is>
      </c>
      <c r="G255" s="4" t="inlineStr">
        <is>
          <t>PEM</t>
        </is>
      </c>
      <c r="H255" s="4" t="inlineStr">
        <is>
          <t>14:55:00</t>
        </is>
      </c>
      <c r="I255" s="4" t="inlineStr">
        <is>
          <t>16:40:00</t>
        </is>
      </c>
      <c r="J255" s="4" t="n">
        <v>319</v>
      </c>
      <c r="L255" s="4" t="inlineStr">
        <is>
          <t>01:45:00</t>
        </is>
      </c>
      <c r="M255" s="5" t="n"/>
      <c r="N255" s="6" t="n"/>
      <c r="O255" s="5" t="n"/>
      <c r="Q255" s="4">
        <f>B255</f>
        <v/>
      </c>
      <c r="R255" s="4">
        <f>C255</f>
        <v/>
      </c>
      <c r="S255" s="4">
        <f>D255</f>
        <v/>
      </c>
      <c r="T255" s="4">
        <f>E255&amp;"/"&amp;E256</f>
        <v/>
      </c>
      <c r="U255" s="4">
        <f>F255&amp;"-"&amp;G255&amp;"-"&amp;F255</f>
        <v/>
      </c>
      <c r="V255" s="4">
        <f>IF($M$255="","",$M$255)</f>
        <v/>
      </c>
      <c r="W255" s="4">
        <f>IF($O$255="","",$O$255)</f>
        <v/>
      </c>
      <c r="X255" s="4">
        <f>J255</f>
        <v/>
      </c>
    </row>
    <row r="256">
      <c r="B256" s="4" t="n">
        <v>323</v>
      </c>
      <c r="C256" s="4" t="inlineStr">
        <is>
          <t>03/09/2026</t>
        </is>
      </c>
      <c r="D256" s="4" t="inlineStr">
        <is>
          <t>jueves</t>
        </is>
      </c>
      <c r="E256" s="4" t="n">
        <v>2265</v>
      </c>
      <c r="F256" s="4" t="inlineStr">
        <is>
          <t>PEM</t>
        </is>
      </c>
      <c r="G256" s="4" t="inlineStr">
        <is>
          <t>LIM</t>
        </is>
      </c>
      <c r="H256" s="4" t="inlineStr">
        <is>
          <t>17:20:00</t>
        </is>
      </c>
      <c r="I256" s="4" t="inlineStr">
        <is>
          <t>18:55:00</t>
        </is>
      </c>
      <c r="J256" s="4" t="n">
        <v>319</v>
      </c>
      <c r="K256">
        <f>TEXT(TIMEVALUE(H256)-TIMEVALUE(I255)+(TIMEVALUE(H256)&lt;TIMEVALUE(I255)),"[h]:mm")</f>
        <v/>
      </c>
      <c r="L256" s="4" t="inlineStr">
        <is>
          <t>01:35:00</t>
        </is>
      </c>
      <c r="O256">
        <f>"LIM-"&amp;G255&amp;"-LIM   LA "&amp;E255&amp;" ("&amp;LEFT(H255,5)&amp;"-"&amp;LEFT(I255,5)&amp;" hrs)  /  LA "&amp;E256&amp;" ("&amp;LEFT(H256,5)&amp;"-"&amp;LEFT(I256,5)&amp;" hrs)"</f>
        <v/>
      </c>
    </row>
    <row r="257">
      <c r="J257" s="8" t="inlineStr">
        <is>
          <t>PSV total:</t>
        </is>
      </c>
      <c r="K257" s="9">
        <f>TEXT(TIMEVALUE(I256)-TIMEVALUE(H255)+(I256&lt;H255),"[h]:mm")</f>
        <v/>
      </c>
    </row>
    <row r="259">
      <c r="B259" s="3" t="inlineStr">
        <is>
          <t>Pairing ID</t>
        </is>
      </c>
      <c r="C259" s="3" t="inlineStr">
        <is>
          <t>FECHA REAL</t>
        </is>
      </c>
      <c r="D259" s="3" t="inlineStr">
        <is>
          <t>Day of Week</t>
        </is>
      </c>
      <c r="E259" s="3" t="inlineStr">
        <is>
          <t>Flight No</t>
        </is>
      </c>
      <c r="F259" s="3" t="inlineStr">
        <is>
          <t>Dep Stn</t>
        </is>
      </c>
      <c r="G259" s="3" t="inlineStr">
        <is>
          <t>Arr Stn</t>
        </is>
      </c>
      <c r="H259" s="3" t="inlineStr">
        <is>
          <t>STD</t>
        </is>
      </c>
      <c r="I259" s="3" t="inlineStr">
        <is>
          <t>STA</t>
        </is>
      </c>
      <c r="J259" s="3" t="inlineStr">
        <is>
          <t>subflota</t>
        </is>
      </c>
      <c r="K259" s="3" t="inlineStr">
        <is>
          <t>Conexion</t>
        </is>
      </c>
      <c r="L259" s="3" t="inlineStr">
        <is>
          <t>HBT</t>
        </is>
      </c>
    </row>
    <row r="260">
      <c r="B260" s="4" t="n">
        <v>324</v>
      </c>
      <c r="C260" s="4" t="inlineStr">
        <is>
          <t>03/09/2026</t>
        </is>
      </c>
      <c r="D260" s="4" t="inlineStr">
        <is>
          <t>jueves</t>
        </is>
      </c>
      <c r="E260" s="4" t="n">
        <v>2113</v>
      </c>
      <c r="F260" s="4" t="inlineStr">
        <is>
          <t>LIM</t>
        </is>
      </c>
      <c r="G260" s="4" t="inlineStr">
        <is>
          <t>AQP</t>
        </is>
      </c>
      <c r="H260" s="4" t="inlineStr">
        <is>
          <t>15:05:00</t>
        </is>
      </c>
      <c r="I260" s="4" t="inlineStr">
        <is>
          <t>16:35:00</t>
        </is>
      </c>
      <c r="J260" s="4" t="n">
        <v>320</v>
      </c>
      <c r="L260" s="4" t="inlineStr">
        <is>
          <t>01:30:00</t>
        </is>
      </c>
      <c r="M260" s="5" t="n"/>
      <c r="N260" s="6" t="n"/>
      <c r="O260" s="5" t="n"/>
      <c r="Q260" s="4">
        <f>B260</f>
        <v/>
      </c>
      <c r="R260" s="4">
        <f>C260</f>
        <v/>
      </c>
      <c r="S260" s="4">
        <f>D260</f>
        <v/>
      </c>
      <c r="T260" s="4">
        <f>E260&amp;"/"&amp;E261</f>
        <v/>
      </c>
      <c r="U260" s="4">
        <f>F260&amp;"-"&amp;G260&amp;"-"&amp;F260</f>
        <v/>
      </c>
      <c r="V260" s="4">
        <f>IF($M$260="","",$M$260)</f>
        <v/>
      </c>
      <c r="W260" s="4">
        <f>IF($O$260="","",$O$260)</f>
        <v/>
      </c>
      <c r="X260" s="4">
        <f>J260</f>
        <v/>
      </c>
    </row>
    <row r="261">
      <c r="B261" s="4" t="n">
        <v>324</v>
      </c>
      <c r="C261" s="4" t="inlineStr">
        <is>
          <t>03/09/2026</t>
        </is>
      </c>
      <c r="D261" s="4" t="inlineStr">
        <is>
          <t>jueves</t>
        </is>
      </c>
      <c r="E261" s="4" t="n">
        <v>2112</v>
      </c>
      <c r="F261" s="4" t="inlineStr">
        <is>
          <t>AQP</t>
        </is>
      </c>
      <c r="G261" s="4" t="inlineStr">
        <is>
          <t>LIM</t>
        </is>
      </c>
      <c r="H261" s="4" t="inlineStr">
        <is>
          <t>17:15:00</t>
        </is>
      </c>
      <c r="I261" s="4" t="inlineStr">
        <is>
          <t>18:55:00</t>
        </is>
      </c>
      <c r="J261" s="4" t="n">
        <v>320</v>
      </c>
      <c r="K261">
        <f>TEXT(TIMEVALUE(H261)-TIMEVALUE(I260)+(TIMEVALUE(H261)&lt;TIMEVALUE(I260)),"[h]:mm")</f>
        <v/>
      </c>
      <c r="L261" s="4" t="inlineStr">
        <is>
          <t>01:40:00</t>
        </is>
      </c>
      <c r="O261">
        <f>"LIM-"&amp;G260&amp;"-LIM   LA "&amp;E260&amp;" ("&amp;LEFT(H260,5)&amp;"-"&amp;LEFT(I260,5)&amp;" hrs)  /  LA "&amp;E261&amp;" ("&amp;LEFT(H261,5)&amp;"-"&amp;LEFT(I261,5)&amp;" hrs)"</f>
        <v/>
      </c>
    </row>
    <row r="262">
      <c r="J262" s="8" t="inlineStr">
        <is>
          <t>PSV total:</t>
        </is>
      </c>
      <c r="K262" s="9">
        <f>TEXT(TIMEVALUE(I261)-TIMEVALUE(H260)+(I261&lt;H260),"[h]:mm")</f>
        <v/>
      </c>
    </row>
    <row r="264">
      <c r="B264" s="3" t="inlineStr">
        <is>
          <t>Pairing ID</t>
        </is>
      </c>
      <c r="C264" s="3" t="inlineStr">
        <is>
          <t>FECHA REAL</t>
        </is>
      </c>
      <c r="D264" s="3" t="inlineStr">
        <is>
          <t>Day of Week</t>
        </is>
      </c>
      <c r="E264" s="3" t="inlineStr">
        <is>
          <t>Flight No</t>
        </is>
      </c>
      <c r="F264" s="3" t="inlineStr">
        <is>
          <t>Dep Stn</t>
        </is>
      </c>
      <c r="G264" s="3" t="inlineStr">
        <is>
          <t>Arr Stn</t>
        </is>
      </c>
      <c r="H264" s="3" t="inlineStr">
        <is>
          <t>STD</t>
        </is>
      </c>
      <c r="I264" s="3" t="inlineStr">
        <is>
          <t>STA</t>
        </is>
      </c>
      <c r="J264" s="3" t="inlineStr">
        <is>
          <t>subflota</t>
        </is>
      </c>
      <c r="K264" s="3" t="inlineStr">
        <is>
          <t>Conexion</t>
        </is>
      </c>
      <c r="L264" s="3" t="inlineStr">
        <is>
          <t>HBT</t>
        </is>
      </c>
    </row>
    <row r="265">
      <c r="B265" s="4" t="n">
        <v>327</v>
      </c>
      <c r="C265" s="4" t="inlineStr">
        <is>
          <t>03/09/2026</t>
        </is>
      </c>
      <c r="D265" s="4" t="inlineStr">
        <is>
          <t>jueves</t>
        </is>
      </c>
      <c r="E265" s="4" t="n">
        <v>2360</v>
      </c>
      <c r="F265" s="4" t="inlineStr">
        <is>
          <t>LIM</t>
        </is>
      </c>
      <c r="G265" s="4" t="inlineStr">
        <is>
          <t>PCL</t>
        </is>
      </c>
      <c r="H265" s="4" t="inlineStr">
        <is>
          <t>15:25:00</t>
        </is>
      </c>
      <c r="I265" s="4" t="inlineStr">
        <is>
          <t>16:40:00</t>
        </is>
      </c>
      <c r="J265" s="4" t="n">
        <v>320</v>
      </c>
      <c r="L265" s="4" t="inlineStr">
        <is>
          <t>01:15:00</t>
        </is>
      </c>
      <c r="M265" s="5" t="n"/>
      <c r="N265" s="6" t="n"/>
      <c r="O265" s="5" t="n"/>
      <c r="Q265" s="4">
        <f>B265</f>
        <v/>
      </c>
      <c r="R265" s="4">
        <f>C265</f>
        <v/>
      </c>
      <c r="S265" s="4">
        <f>D265</f>
        <v/>
      </c>
      <c r="T265" s="4">
        <f>E265&amp;"/"&amp;E266</f>
        <v/>
      </c>
      <c r="U265" s="4">
        <f>F265&amp;"-"&amp;G265&amp;"-"&amp;F265</f>
        <v/>
      </c>
      <c r="V265" s="4">
        <f>IF($M$265="","",$M$265)</f>
        <v/>
      </c>
      <c r="W265" s="4">
        <f>IF($O$265="","",$O$265)</f>
        <v/>
      </c>
      <c r="X265" s="4">
        <f>J265</f>
        <v/>
      </c>
    </row>
    <row r="266">
      <c r="B266" s="4" t="n">
        <v>327</v>
      </c>
      <c r="C266" s="4" t="inlineStr">
        <is>
          <t>03/09/2026</t>
        </is>
      </c>
      <c r="D266" s="4" t="inlineStr">
        <is>
          <t>jueves</t>
        </is>
      </c>
      <c r="E266" s="4" t="n">
        <v>2361</v>
      </c>
      <c r="F266" s="4" t="inlineStr">
        <is>
          <t>PCL</t>
        </is>
      </c>
      <c r="G266" s="4" t="inlineStr">
        <is>
          <t>LIM</t>
        </is>
      </c>
      <c r="H266" s="4" t="inlineStr">
        <is>
          <t>17:20:00</t>
        </is>
      </c>
      <c r="I266" s="4" t="inlineStr">
        <is>
          <t>18:35:00</t>
        </is>
      </c>
      <c r="J266" s="4" t="n">
        <v>320</v>
      </c>
      <c r="K266">
        <f>TEXT(TIMEVALUE(H266)-TIMEVALUE(I265)+(TIMEVALUE(H266)&lt;TIMEVALUE(I265)),"[h]:mm")</f>
        <v/>
      </c>
      <c r="L266" s="4" t="inlineStr">
        <is>
          <t>01:15:00</t>
        </is>
      </c>
      <c r="O266">
        <f>"LIM-"&amp;G265&amp;"-LIM   LA "&amp;E265&amp;" ("&amp;LEFT(H265,5)&amp;"-"&amp;LEFT(I265,5)&amp;" hrs)  /  LA "&amp;E266&amp;" ("&amp;LEFT(H266,5)&amp;"-"&amp;LEFT(I266,5)&amp;" hrs)"</f>
        <v/>
      </c>
    </row>
    <row r="267">
      <c r="J267" s="8" t="inlineStr">
        <is>
          <t>PSV total:</t>
        </is>
      </c>
      <c r="K267" s="9">
        <f>TEXT(TIMEVALUE(I266)-TIMEVALUE(H265)+(I266&lt;H265),"[h]:mm")</f>
        <v/>
      </c>
    </row>
    <row r="269">
      <c r="B269" s="3" t="inlineStr">
        <is>
          <t>Pairing ID</t>
        </is>
      </c>
      <c r="C269" s="3" t="inlineStr">
        <is>
          <t>FECHA REAL</t>
        </is>
      </c>
      <c r="D269" s="3" t="inlineStr">
        <is>
          <t>Day of Week</t>
        </is>
      </c>
      <c r="E269" s="3" t="inlineStr">
        <is>
          <t>Flight No</t>
        </is>
      </c>
      <c r="F269" s="3" t="inlineStr">
        <is>
          <t>Dep Stn</t>
        </is>
      </c>
      <c r="G269" s="3" t="inlineStr">
        <is>
          <t>Arr Stn</t>
        </is>
      </c>
      <c r="H269" s="3" t="inlineStr">
        <is>
          <t>STD</t>
        </is>
      </c>
      <c r="I269" s="3" t="inlineStr">
        <is>
          <t>STA</t>
        </is>
      </c>
      <c r="J269" s="3" t="inlineStr">
        <is>
          <t>subflota</t>
        </is>
      </c>
      <c r="K269" s="3" t="inlineStr">
        <is>
          <t>Conexion</t>
        </is>
      </c>
      <c r="L269" s="3" t="inlineStr">
        <is>
          <t>HBT</t>
        </is>
      </c>
    </row>
    <row r="270">
      <c r="B270" s="4" t="n">
        <v>328</v>
      </c>
      <c r="C270" s="4" t="inlineStr">
        <is>
          <t>03/09/2026</t>
        </is>
      </c>
      <c r="D270" s="4" t="inlineStr">
        <is>
          <t>jueves</t>
        </is>
      </c>
      <c r="E270" s="4" t="n">
        <v>2312</v>
      </c>
      <c r="F270" s="4" t="inlineStr">
        <is>
          <t>LIM</t>
        </is>
      </c>
      <c r="G270" s="4" t="inlineStr">
        <is>
          <t>CIX</t>
        </is>
      </c>
      <c r="H270" s="4" t="inlineStr">
        <is>
          <t>15:35:00</t>
        </is>
      </c>
      <c r="I270" s="4" t="inlineStr">
        <is>
          <t>17:05:00</t>
        </is>
      </c>
      <c r="J270" s="4" t="n">
        <v>320</v>
      </c>
      <c r="L270" s="4" t="inlineStr">
        <is>
          <t>01:30:00</t>
        </is>
      </c>
      <c r="M270" s="5" t="n"/>
      <c r="N270" s="6" t="n"/>
      <c r="O270" s="5" t="n"/>
      <c r="Q270" s="4">
        <f>B270</f>
        <v/>
      </c>
      <c r="R270" s="4">
        <f>C270</f>
        <v/>
      </c>
      <c r="S270" s="4">
        <f>D270</f>
        <v/>
      </c>
      <c r="T270" s="4">
        <f>E270&amp;"/"&amp;E271</f>
        <v/>
      </c>
      <c r="U270" s="4">
        <f>F270&amp;"-"&amp;G270&amp;"-"&amp;F270</f>
        <v/>
      </c>
      <c r="V270" s="4">
        <f>IF($M$270="","",$M$270)</f>
        <v/>
      </c>
      <c r="W270" s="4">
        <f>IF($O$270="","",$O$270)</f>
        <v/>
      </c>
      <c r="X270" s="4">
        <f>J270</f>
        <v/>
      </c>
    </row>
    <row r="271">
      <c r="B271" s="4" t="n">
        <v>328</v>
      </c>
      <c r="C271" s="4" t="inlineStr">
        <is>
          <t>03/09/2026</t>
        </is>
      </c>
      <c r="D271" s="4" t="inlineStr">
        <is>
          <t>jueves</t>
        </is>
      </c>
      <c r="E271" s="4" t="n">
        <v>2313</v>
      </c>
      <c r="F271" s="4" t="inlineStr">
        <is>
          <t>CIX</t>
        </is>
      </c>
      <c r="G271" s="4" t="inlineStr">
        <is>
          <t>LIM</t>
        </is>
      </c>
      <c r="H271" s="4" t="inlineStr">
        <is>
          <t>17:50:00</t>
        </is>
      </c>
      <c r="I271" s="4" t="inlineStr">
        <is>
          <t>19:10:00</t>
        </is>
      </c>
      <c r="J271" s="4" t="n">
        <v>320</v>
      </c>
      <c r="K271">
        <f>TEXT(TIMEVALUE(H271)-TIMEVALUE(I270)+(TIMEVALUE(H271)&lt;TIMEVALUE(I270)),"[h]:mm")</f>
        <v/>
      </c>
      <c r="L271" s="4" t="inlineStr">
        <is>
          <t>01:20:00</t>
        </is>
      </c>
      <c r="O271">
        <f>"LIM-"&amp;G270&amp;"-LIM   LA "&amp;E270&amp;" ("&amp;LEFT(H270,5)&amp;"-"&amp;LEFT(I270,5)&amp;" hrs)  /  LA "&amp;E271&amp;" ("&amp;LEFT(H271,5)&amp;"-"&amp;LEFT(I271,5)&amp;" hrs)"</f>
        <v/>
      </c>
    </row>
    <row r="272">
      <c r="J272" s="8" t="inlineStr">
        <is>
          <t>PSV total:</t>
        </is>
      </c>
      <c r="K272" s="9">
        <f>TEXT(TIMEVALUE(I271)-TIMEVALUE(H270)+(I271&lt;H270),"[h]:mm")</f>
        <v/>
      </c>
    </row>
    <row r="274">
      <c r="B274" s="3" t="inlineStr">
        <is>
          <t>Pairing ID</t>
        </is>
      </c>
      <c r="C274" s="3" t="inlineStr">
        <is>
          <t>FECHA REAL</t>
        </is>
      </c>
      <c r="D274" s="3" t="inlineStr">
        <is>
          <t>Day of Week</t>
        </is>
      </c>
      <c r="E274" s="3" t="inlineStr">
        <is>
          <t>Flight No</t>
        </is>
      </c>
      <c r="F274" s="3" t="inlineStr">
        <is>
          <t>Dep Stn</t>
        </is>
      </c>
      <c r="G274" s="3" t="inlineStr">
        <is>
          <t>Arr Stn</t>
        </is>
      </c>
      <c r="H274" s="3" t="inlineStr">
        <is>
          <t>STD</t>
        </is>
      </c>
      <c r="I274" s="3" t="inlineStr">
        <is>
          <t>STA</t>
        </is>
      </c>
      <c r="J274" s="3" t="inlineStr">
        <is>
          <t>subflota</t>
        </is>
      </c>
      <c r="K274" s="3" t="inlineStr">
        <is>
          <t>Conexion</t>
        </is>
      </c>
      <c r="L274" s="3" t="inlineStr">
        <is>
          <t>HBT</t>
        </is>
      </c>
    </row>
    <row r="275">
      <c r="B275" s="4" t="n">
        <v>329</v>
      </c>
      <c r="C275" s="4" t="inlineStr">
        <is>
          <t>03/09/2026</t>
        </is>
      </c>
      <c r="D275" s="4" t="inlineStr">
        <is>
          <t>jueves</t>
        </is>
      </c>
      <c r="E275" s="4" t="n">
        <v>2312</v>
      </c>
      <c r="F275" s="4" t="inlineStr">
        <is>
          <t>LIM</t>
        </is>
      </c>
      <c r="G275" s="4" t="inlineStr">
        <is>
          <t>CIX</t>
        </is>
      </c>
      <c r="H275" s="4" t="inlineStr">
        <is>
          <t>15:35:00</t>
        </is>
      </c>
      <c r="I275" s="4" t="inlineStr">
        <is>
          <t>17:05:00</t>
        </is>
      </c>
      <c r="J275" s="4" t="n">
        <v>320</v>
      </c>
      <c r="L275" s="4" t="inlineStr">
        <is>
          <t>01:30:00</t>
        </is>
      </c>
      <c r="M275" s="5" t="n"/>
      <c r="N275" s="6" t="n"/>
      <c r="O275" s="5" t="n"/>
      <c r="Q275" s="4">
        <f>B275</f>
        <v/>
      </c>
      <c r="R275" s="4">
        <f>C275</f>
        <v/>
      </c>
      <c r="S275" s="4">
        <f>D275</f>
        <v/>
      </c>
      <c r="T275" s="4">
        <f>E275&amp;"/"&amp;E276</f>
        <v/>
      </c>
      <c r="U275" s="4">
        <f>F275&amp;"-"&amp;G275&amp;"-"&amp;F275</f>
        <v/>
      </c>
      <c r="V275" s="4">
        <f>IF($M$275="","",$M$275)</f>
        <v/>
      </c>
      <c r="W275" s="4">
        <f>IF($O$275="","",$O$275)</f>
        <v/>
      </c>
      <c r="X275" s="4">
        <f>J275</f>
        <v/>
      </c>
    </row>
    <row r="276">
      <c r="B276" s="4" t="n">
        <v>329</v>
      </c>
      <c r="C276" s="4" t="inlineStr">
        <is>
          <t>03/09/2026</t>
        </is>
      </c>
      <c r="D276" s="4" t="inlineStr">
        <is>
          <t>jueves</t>
        </is>
      </c>
      <c r="E276" s="4" t="n">
        <v>2313</v>
      </c>
      <c r="F276" s="4" t="inlineStr">
        <is>
          <t>CIX</t>
        </is>
      </c>
      <c r="G276" s="4" t="inlineStr">
        <is>
          <t>LIM</t>
        </is>
      </c>
      <c r="H276" s="4" t="inlineStr">
        <is>
          <t>17:50:00</t>
        </is>
      </c>
      <c r="I276" s="4" t="inlineStr">
        <is>
          <t>19:10:00</t>
        </is>
      </c>
      <c r="J276" s="4" t="n">
        <v>320</v>
      </c>
      <c r="K276">
        <f>TEXT(TIMEVALUE(H276)-TIMEVALUE(I275)+(TIMEVALUE(H276)&lt;TIMEVALUE(I275)),"[h]:mm")</f>
        <v/>
      </c>
      <c r="L276" s="4" t="inlineStr">
        <is>
          <t>01:20:00</t>
        </is>
      </c>
      <c r="O276">
        <f>"LIM-"&amp;G275&amp;"-LIM   LA "&amp;E275&amp;" ("&amp;LEFT(H275,5)&amp;"-"&amp;LEFT(I275,5)&amp;" hrs)  /  LA "&amp;E276&amp;" ("&amp;LEFT(H276,5)&amp;"-"&amp;LEFT(I276,5)&amp;" hrs)"</f>
        <v/>
      </c>
    </row>
    <row r="277">
      <c r="J277" s="8" t="inlineStr">
        <is>
          <t>PSV total:</t>
        </is>
      </c>
      <c r="K277" s="9">
        <f>TEXT(TIMEVALUE(I276)-TIMEVALUE(H275)+(I276&lt;H275),"[h]:mm")</f>
        <v/>
      </c>
    </row>
    <row r="279">
      <c r="B279" s="3" t="inlineStr">
        <is>
          <t>Pairing ID</t>
        </is>
      </c>
      <c r="C279" s="3" t="inlineStr">
        <is>
          <t>FECHA REAL</t>
        </is>
      </c>
      <c r="D279" s="3" t="inlineStr">
        <is>
          <t>Day of Week</t>
        </is>
      </c>
      <c r="E279" s="3" t="inlineStr">
        <is>
          <t>Flight No</t>
        </is>
      </c>
      <c r="F279" s="3" t="inlineStr">
        <is>
          <t>Dep Stn</t>
        </is>
      </c>
      <c r="G279" s="3" t="inlineStr">
        <is>
          <t>Arr Stn</t>
        </is>
      </c>
      <c r="H279" s="3" t="inlineStr">
        <is>
          <t>STD</t>
        </is>
      </c>
      <c r="I279" s="3" t="inlineStr">
        <is>
          <t>STA</t>
        </is>
      </c>
      <c r="J279" s="3" t="inlineStr">
        <is>
          <t>subflota</t>
        </is>
      </c>
      <c r="K279" s="3" t="inlineStr">
        <is>
          <t>Conexion</t>
        </is>
      </c>
      <c r="L279" s="3" t="inlineStr">
        <is>
          <t>HBT</t>
        </is>
      </c>
    </row>
    <row r="280">
      <c r="B280" s="4" t="n">
        <v>330</v>
      </c>
      <c r="C280" s="4" t="inlineStr">
        <is>
          <t>03/09/2026</t>
        </is>
      </c>
      <c r="D280" s="4" t="inlineStr">
        <is>
          <t>jueves</t>
        </is>
      </c>
      <c r="E280" s="4" t="n">
        <v>2301</v>
      </c>
      <c r="F280" s="4" t="inlineStr">
        <is>
          <t>LIM</t>
        </is>
      </c>
      <c r="G280" s="4" t="inlineStr">
        <is>
          <t>TPP</t>
        </is>
      </c>
      <c r="H280" s="4" t="inlineStr">
        <is>
          <t>15:40:00</t>
        </is>
      </c>
      <c r="I280" s="4" t="inlineStr">
        <is>
          <t>17:05:00</t>
        </is>
      </c>
      <c r="J280" s="4" t="n">
        <v>320</v>
      </c>
      <c r="L280" s="4" t="inlineStr">
        <is>
          <t>01:25:00</t>
        </is>
      </c>
      <c r="M280" s="5" t="n"/>
      <c r="N280" s="6" t="n"/>
      <c r="O280" s="5" t="n"/>
      <c r="Q280" s="4">
        <f>B280</f>
        <v/>
      </c>
      <c r="R280" s="4">
        <f>C280</f>
        <v/>
      </c>
      <c r="S280" s="4">
        <f>D280</f>
        <v/>
      </c>
      <c r="T280" s="4">
        <f>E280&amp;"/"&amp;E281</f>
        <v/>
      </c>
      <c r="U280" s="4">
        <f>F280&amp;"-"&amp;G280&amp;"-"&amp;F280</f>
        <v/>
      </c>
      <c r="V280" s="4">
        <f>IF($M$280="","",$M$280)</f>
        <v/>
      </c>
      <c r="W280" s="4">
        <f>IF($O$280="","",$O$280)</f>
        <v/>
      </c>
      <c r="X280" s="4">
        <f>J280</f>
        <v/>
      </c>
    </row>
    <row r="281">
      <c r="B281" s="4" t="n">
        <v>330</v>
      </c>
      <c r="C281" s="4" t="inlineStr">
        <is>
          <t>03/09/2026</t>
        </is>
      </c>
      <c r="D281" s="4" t="inlineStr">
        <is>
          <t>jueves</t>
        </is>
      </c>
      <c r="E281" s="4" t="n">
        <v>2300</v>
      </c>
      <c r="F281" s="4" t="inlineStr">
        <is>
          <t>TPP</t>
        </is>
      </c>
      <c r="G281" s="4" t="inlineStr">
        <is>
          <t>LIM</t>
        </is>
      </c>
      <c r="H281" s="4" t="inlineStr">
        <is>
          <t>17:50:00</t>
        </is>
      </c>
      <c r="I281" s="4" t="inlineStr">
        <is>
          <t>19:20:00</t>
        </is>
      </c>
      <c r="J281" s="4" t="n">
        <v>320</v>
      </c>
      <c r="K281">
        <f>TEXT(TIMEVALUE(H281)-TIMEVALUE(I280)+(TIMEVALUE(H281)&lt;TIMEVALUE(I280)),"[h]:mm")</f>
        <v/>
      </c>
      <c r="L281" s="4" t="inlineStr">
        <is>
          <t>01:30:00</t>
        </is>
      </c>
      <c r="O281">
        <f>"LIM-"&amp;G280&amp;"-LIM   LA "&amp;E280&amp;" ("&amp;LEFT(H280,5)&amp;"-"&amp;LEFT(I280,5)&amp;" hrs)  /  LA "&amp;E281&amp;" ("&amp;LEFT(H281,5)&amp;"-"&amp;LEFT(I281,5)&amp;" hrs)"</f>
        <v/>
      </c>
    </row>
    <row r="282">
      <c r="J282" s="8" t="inlineStr">
        <is>
          <t>PSV total:</t>
        </is>
      </c>
      <c r="K282" s="9">
        <f>TEXT(TIMEVALUE(I281)-TIMEVALUE(H280)+(I281&lt;H280),"[h]:mm")</f>
        <v/>
      </c>
    </row>
    <row r="284">
      <c r="B284" s="3" t="inlineStr">
        <is>
          <t>Pairing ID</t>
        </is>
      </c>
      <c r="C284" s="3" t="inlineStr">
        <is>
          <t>FECHA REAL</t>
        </is>
      </c>
      <c r="D284" s="3" t="inlineStr">
        <is>
          <t>Day of Week</t>
        </is>
      </c>
      <c r="E284" s="3" t="inlineStr">
        <is>
          <t>Flight No</t>
        </is>
      </c>
      <c r="F284" s="3" t="inlineStr">
        <is>
          <t>Dep Stn</t>
        </is>
      </c>
      <c r="G284" s="3" t="inlineStr">
        <is>
          <t>Arr Stn</t>
        </is>
      </c>
      <c r="H284" s="3" t="inlineStr">
        <is>
          <t>STD</t>
        </is>
      </c>
      <c r="I284" s="3" t="inlineStr">
        <is>
          <t>STA</t>
        </is>
      </c>
      <c r="J284" s="3" t="inlineStr">
        <is>
          <t>subflota</t>
        </is>
      </c>
      <c r="K284" s="3" t="inlineStr">
        <is>
          <t>Conexion</t>
        </is>
      </c>
      <c r="L284" s="3" t="inlineStr">
        <is>
          <t>HBT</t>
        </is>
      </c>
    </row>
    <row r="285">
      <c r="B285" s="4" t="n">
        <v>334</v>
      </c>
      <c r="C285" s="4" t="inlineStr">
        <is>
          <t>03/09/2026</t>
        </is>
      </c>
      <c r="D285" s="4" t="inlineStr">
        <is>
          <t>jueves</t>
        </is>
      </c>
      <c r="E285" s="4" t="n">
        <v>2115</v>
      </c>
      <c r="F285" s="4" t="inlineStr">
        <is>
          <t>LIM</t>
        </is>
      </c>
      <c r="G285" s="4" t="inlineStr">
        <is>
          <t>AQP</t>
        </is>
      </c>
      <c r="H285" s="4" t="inlineStr">
        <is>
          <t>17:15:00</t>
        </is>
      </c>
      <c r="I285" s="4" t="inlineStr">
        <is>
          <t>18:45:00</t>
        </is>
      </c>
      <c r="J285" s="4" t="n">
        <v>320</v>
      </c>
      <c r="L285" s="4" t="inlineStr">
        <is>
          <t>01:30:00</t>
        </is>
      </c>
      <c r="M285" s="5" t="n"/>
      <c r="N285" s="6" t="n"/>
      <c r="O285" s="5" t="n"/>
      <c r="Q285" s="4">
        <f>B285</f>
        <v/>
      </c>
      <c r="R285" s="4">
        <f>C285</f>
        <v/>
      </c>
      <c r="S285" s="4">
        <f>D285</f>
        <v/>
      </c>
      <c r="T285" s="4">
        <f>E285&amp;"/"&amp;E286</f>
        <v/>
      </c>
      <c r="U285" s="4">
        <f>F285&amp;"-"&amp;G285&amp;"-"&amp;F285</f>
        <v/>
      </c>
      <c r="V285" s="4">
        <f>IF($M$285="","",$M$285)</f>
        <v/>
      </c>
      <c r="W285" s="4">
        <f>IF($O$285="","",$O$285)</f>
        <v/>
      </c>
      <c r="X285" s="4">
        <f>J285</f>
        <v/>
      </c>
    </row>
    <row r="286">
      <c r="B286" s="4" t="n">
        <v>334</v>
      </c>
      <c r="C286" s="4" t="inlineStr">
        <is>
          <t>03/09/2026</t>
        </is>
      </c>
      <c r="D286" s="4" t="inlineStr">
        <is>
          <t>jueves</t>
        </is>
      </c>
      <c r="E286" s="4" t="n">
        <v>2114</v>
      </c>
      <c r="F286" s="4" t="inlineStr">
        <is>
          <t>AQP</t>
        </is>
      </c>
      <c r="G286" s="4" t="inlineStr">
        <is>
          <t>LIM</t>
        </is>
      </c>
      <c r="H286" s="4" t="inlineStr">
        <is>
          <t>19:20:00</t>
        </is>
      </c>
      <c r="I286" s="4" t="inlineStr">
        <is>
          <t>20:55:00</t>
        </is>
      </c>
      <c r="J286" s="4" t="n">
        <v>320</v>
      </c>
      <c r="K286">
        <f>TEXT(TIMEVALUE(H286)-TIMEVALUE(I285)+(TIMEVALUE(H286)&lt;TIMEVALUE(I285)),"[h]:mm")</f>
        <v/>
      </c>
      <c r="L286" s="4" t="inlineStr">
        <is>
          <t>01:35:00</t>
        </is>
      </c>
      <c r="O286">
        <f>"LIM-"&amp;G285&amp;"-LIM   LA "&amp;E285&amp;" ("&amp;LEFT(H285,5)&amp;"-"&amp;LEFT(I285,5)&amp;" hrs)  /  LA "&amp;E286&amp;" ("&amp;LEFT(H286,5)&amp;"-"&amp;LEFT(I286,5)&amp;" hrs)"</f>
        <v/>
      </c>
    </row>
    <row r="287">
      <c r="J287" s="8" t="inlineStr">
        <is>
          <t>PSV total:</t>
        </is>
      </c>
      <c r="K287" s="9">
        <f>TEXT(TIMEVALUE(I286)-TIMEVALUE(H285)+(I286&lt;H285),"[h]:mm")</f>
        <v/>
      </c>
    </row>
    <row r="289">
      <c r="B289" s="3" t="inlineStr">
        <is>
          <t>Pairing ID</t>
        </is>
      </c>
      <c r="C289" s="3" t="inlineStr">
        <is>
          <t>FECHA REAL</t>
        </is>
      </c>
      <c r="D289" s="3" t="inlineStr">
        <is>
          <t>Day of Week</t>
        </is>
      </c>
      <c r="E289" s="3" t="inlineStr">
        <is>
          <t>Flight No</t>
        </is>
      </c>
      <c r="F289" s="3" t="inlineStr">
        <is>
          <t>Dep Stn</t>
        </is>
      </c>
      <c r="G289" s="3" t="inlineStr">
        <is>
          <t>Arr Stn</t>
        </is>
      </c>
      <c r="H289" s="3" t="inlineStr">
        <is>
          <t>STD</t>
        </is>
      </c>
      <c r="I289" s="3" t="inlineStr">
        <is>
          <t>STA</t>
        </is>
      </c>
      <c r="J289" s="3" t="inlineStr">
        <is>
          <t>subflota</t>
        </is>
      </c>
      <c r="K289" s="3" t="inlineStr">
        <is>
          <t>Conexion</t>
        </is>
      </c>
      <c r="L289" s="3" t="inlineStr">
        <is>
          <t>HBT</t>
        </is>
      </c>
    </row>
    <row r="290">
      <c r="B290" s="4" t="n">
        <v>335</v>
      </c>
      <c r="C290" s="4" t="inlineStr">
        <is>
          <t>03/09/2026</t>
        </is>
      </c>
      <c r="D290" s="4" t="inlineStr">
        <is>
          <t>jueves</t>
        </is>
      </c>
      <c r="E290" s="4" t="n">
        <v>2310</v>
      </c>
      <c r="F290" s="4" t="inlineStr">
        <is>
          <t>LIM</t>
        </is>
      </c>
      <c r="G290" s="4" t="inlineStr">
        <is>
          <t>CIX</t>
        </is>
      </c>
      <c r="H290" s="4" t="inlineStr">
        <is>
          <t>18:20:00</t>
        </is>
      </c>
      <c r="I290" s="4" t="inlineStr">
        <is>
          <t>19:45:00</t>
        </is>
      </c>
      <c r="J290" s="4" t="n">
        <v>320</v>
      </c>
      <c r="L290" s="4" t="inlineStr">
        <is>
          <t>01:25:00</t>
        </is>
      </c>
      <c r="M290" s="5" t="n"/>
      <c r="N290" s="6" t="n"/>
      <c r="O290" s="5" t="n"/>
      <c r="Q290" s="4">
        <f>B290</f>
        <v/>
      </c>
      <c r="R290" s="4">
        <f>C290</f>
        <v/>
      </c>
      <c r="S290" s="4">
        <f>D290</f>
        <v/>
      </c>
      <c r="T290" s="4">
        <f>E290&amp;"/"&amp;E291</f>
        <v/>
      </c>
      <c r="U290" s="4">
        <f>F290&amp;"-"&amp;G290&amp;"-"&amp;F290</f>
        <v/>
      </c>
      <c r="V290" s="4">
        <f>IF($M$290="","",$M$290)</f>
        <v/>
      </c>
      <c r="W290" s="4">
        <f>IF($O$290="","",$O$290)</f>
        <v/>
      </c>
      <c r="X290" s="4">
        <f>J290</f>
        <v/>
      </c>
    </row>
    <row r="291">
      <c r="B291" s="4" t="n">
        <v>335</v>
      </c>
      <c r="C291" s="4" t="inlineStr">
        <is>
          <t>03/09/2026</t>
        </is>
      </c>
      <c r="D291" s="4" t="inlineStr">
        <is>
          <t>jueves</t>
        </is>
      </c>
      <c r="E291" s="4" t="n">
        <v>2311</v>
      </c>
      <c r="F291" s="4" t="inlineStr">
        <is>
          <t>CIX</t>
        </is>
      </c>
      <c r="G291" s="4" t="inlineStr">
        <is>
          <t>LIM</t>
        </is>
      </c>
      <c r="H291" s="4" t="inlineStr">
        <is>
          <t>20:20:00</t>
        </is>
      </c>
      <c r="I291" s="4" t="inlineStr">
        <is>
          <t>21:35:00</t>
        </is>
      </c>
      <c r="J291" s="4" t="n">
        <v>320</v>
      </c>
      <c r="K291">
        <f>TEXT(TIMEVALUE(H291)-TIMEVALUE(I290)+(TIMEVALUE(H291)&lt;TIMEVALUE(I290)),"[h]:mm")</f>
        <v/>
      </c>
      <c r="L291" s="4" t="inlineStr">
        <is>
          <t>01:15:00</t>
        </is>
      </c>
      <c r="O291">
        <f>"LIM-"&amp;G290&amp;"-LIM   LA "&amp;E290&amp;" ("&amp;LEFT(H290,5)&amp;"-"&amp;LEFT(I290,5)&amp;" hrs)  /  LA "&amp;E291&amp;" ("&amp;LEFT(H291,5)&amp;"-"&amp;LEFT(I291,5)&amp;" hrs)"</f>
        <v/>
      </c>
    </row>
    <row r="292">
      <c r="J292" s="8" t="inlineStr">
        <is>
          <t>PSV total:</t>
        </is>
      </c>
      <c r="K292" s="9">
        <f>TEXT(TIMEVALUE(I291)-TIMEVALUE(H290)+(I291&lt;H290),"[h]:mm")</f>
        <v/>
      </c>
    </row>
    <row r="294">
      <c r="B294" s="3" t="inlineStr">
        <is>
          <t>Pairing ID</t>
        </is>
      </c>
      <c r="C294" s="3" t="inlineStr">
        <is>
          <t>FECHA REAL</t>
        </is>
      </c>
      <c r="D294" s="3" t="inlineStr">
        <is>
          <t>Day of Week</t>
        </is>
      </c>
      <c r="E294" s="3" t="inlineStr">
        <is>
          <t>Flight No</t>
        </is>
      </c>
      <c r="F294" s="3" t="inlineStr">
        <is>
          <t>Dep Stn</t>
        </is>
      </c>
      <c r="G294" s="3" t="inlineStr">
        <is>
          <t>Arr Stn</t>
        </is>
      </c>
      <c r="H294" s="3" t="inlineStr">
        <is>
          <t>STD</t>
        </is>
      </c>
      <c r="I294" s="3" t="inlineStr">
        <is>
          <t>STA</t>
        </is>
      </c>
      <c r="J294" s="3" t="inlineStr">
        <is>
          <t>subflota</t>
        </is>
      </c>
      <c r="K294" s="3" t="inlineStr">
        <is>
          <t>Conexion</t>
        </is>
      </c>
      <c r="L294" s="3" t="inlineStr">
        <is>
          <t>HBT</t>
        </is>
      </c>
    </row>
    <row r="295">
      <c r="B295" s="4" t="n">
        <v>382</v>
      </c>
      <c r="C295" s="4" t="inlineStr">
        <is>
          <t>04/09/2026</t>
        </is>
      </c>
      <c r="D295" s="4" t="inlineStr">
        <is>
          <t>viernes</t>
        </is>
      </c>
      <c r="E295" s="4" t="n">
        <v>2350</v>
      </c>
      <c r="F295" s="4" t="inlineStr">
        <is>
          <t>LIM</t>
        </is>
      </c>
      <c r="G295" s="4" t="inlineStr">
        <is>
          <t>CJA</t>
        </is>
      </c>
      <c r="H295" s="4" t="inlineStr">
        <is>
          <t>10:40:00</t>
        </is>
      </c>
      <c r="I295" s="4" t="inlineStr">
        <is>
          <t>12:00:00</t>
        </is>
      </c>
      <c r="J295" s="4" t="n">
        <v>320</v>
      </c>
      <c r="L295" s="4" t="inlineStr">
        <is>
          <t>01:20:00</t>
        </is>
      </c>
      <c r="M295" s="5" t="n"/>
      <c r="N295" s="6" t="n"/>
      <c r="O295" s="5" t="n"/>
      <c r="Q295" s="4">
        <f>B295</f>
        <v/>
      </c>
      <c r="R295" s="4">
        <f>C295</f>
        <v/>
      </c>
      <c r="S295" s="4">
        <f>D295</f>
        <v/>
      </c>
      <c r="T295" s="4">
        <f>E295&amp;"/"&amp;E296</f>
        <v/>
      </c>
      <c r="U295" s="4">
        <f>F295&amp;"-"&amp;G295&amp;"-"&amp;F295</f>
        <v/>
      </c>
      <c r="V295" s="4">
        <f>IF($M$295="","",$M$295)</f>
        <v/>
      </c>
      <c r="W295" s="4">
        <f>IF($O$295="","",$O$295)</f>
        <v/>
      </c>
      <c r="X295" s="4">
        <f>J295</f>
        <v/>
      </c>
    </row>
    <row r="296">
      <c r="B296" s="4" t="n">
        <v>382</v>
      </c>
      <c r="C296" s="4" t="inlineStr">
        <is>
          <t>04/09/2026</t>
        </is>
      </c>
      <c r="D296" s="4" t="inlineStr">
        <is>
          <t>viernes</t>
        </is>
      </c>
      <c r="E296" s="4" t="n">
        <v>2351</v>
      </c>
      <c r="F296" s="4" t="inlineStr">
        <is>
          <t>CJA</t>
        </is>
      </c>
      <c r="G296" s="4" t="inlineStr">
        <is>
          <t>LIM</t>
        </is>
      </c>
      <c r="H296" s="4" t="inlineStr">
        <is>
          <t>12:50:00</t>
        </is>
      </c>
      <c r="I296" s="4" t="inlineStr">
        <is>
          <t>14:00:00</t>
        </is>
      </c>
      <c r="J296" s="4" t="n">
        <v>320</v>
      </c>
      <c r="K296">
        <f>TEXT(TIMEVALUE(H296)-TIMEVALUE(I295)+(TIMEVALUE(H296)&lt;TIMEVALUE(I295)),"[h]:mm")</f>
        <v/>
      </c>
      <c r="L296" s="4" t="inlineStr">
        <is>
          <t>01:10:00</t>
        </is>
      </c>
      <c r="O296">
        <f>"LIM-"&amp;G295&amp;"-LIM   LA "&amp;E295&amp;" ("&amp;LEFT(H295,5)&amp;"-"&amp;LEFT(I295,5)&amp;" hrs)  /  LA "&amp;E296&amp;" ("&amp;LEFT(H296,5)&amp;"-"&amp;LEFT(I296,5)&amp;" hrs)"</f>
        <v/>
      </c>
    </row>
    <row r="297">
      <c r="B297" s="4" t="n">
        <v>403</v>
      </c>
      <c r="C297" s="4" t="inlineStr">
        <is>
          <t>04/09/2026</t>
        </is>
      </c>
      <c r="D297" s="4" t="inlineStr">
        <is>
          <t>viernes</t>
        </is>
      </c>
      <c r="E297" s="4" t="n">
        <v>2338</v>
      </c>
      <c r="F297" s="4" t="inlineStr">
        <is>
          <t>LIM</t>
        </is>
      </c>
      <c r="G297" s="4" t="inlineStr">
        <is>
          <t>PIU</t>
        </is>
      </c>
      <c r="H297" s="4" t="inlineStr">
        <is>
          <t>14:55:00</t>
        </is>
      </c>
      <c r="I297" s="4" t="inlineStr">
        <is>
          <t>16:45:00</t>
        </is>
      </c>
      <c r="J297" s="4" t="n">
        <v>320</v>
      </c>
      <c r="K297" s="7">
        <f>TEXT(TIMEVALUE(H297)-TIMEVALUE(I296)+(TIMEVALUE(H297)&lt;TIMEVALUE(I296)),"[h]:mm")</f>
        <v/>
      </c>
      <c r="L297" s="4" t="inlineStr">
        <is>
          <t>01:50:00</t>
        </is>
      </c>
      <c r="M297">
        <f>IF($M$295="","",$M$295)</f>
        <v/>
      </c>
      <c r="O297">
        <f>IF($O$295="","",$O$295)</f>
        <v/>
      </c>
      <c r="Q297" s="4">
        <f>B297</f>
        <v/>
      </c>
      <c r="R297" s="4">
        <f>C297</f>
        <v/>
      </c>
      <c r="S297" s="4">
        <f>D297</f>
        <v/>
      </c>
      <c r="T297" s="4">
        <f>E297&amp;"/"&amp;E298</f>
        <v/>
      </c>
      <c r="U297" s="4">
        <f>F297&amp;"-"&amp;G297&amp;"-"&amp;F297</f>
        <v/>
      </c>
      <c r="V297" s="4">
        <f>IF($M$295="","",$M$295)</f>
        <v/>
      </c>
      <c r="W297" s="4">
        <f>IF($O$295="","",$O$295)</f>
        <v/>
      </c>
      <c r="X297" s="4">
        <f>J297</f>
        <v/>
      </c>
    </row>
    <row r="298">
      <c r="B298" s="4" t="n">
        <v>403</v>
      </c>
      <c r="C298" s="4" t="inlineStr">
        <is>
          <t>04/09/2026</t>
        </is>
      </c>
      <c r="D298" s="4" t="inlineStr">
        <is>
          <t>viernes</t>
        </is>
      </c>
      <c r="E298" s="4" t="n">
        <v>2339</v>
      </c>
      <c r="F298" s="4" t="inlineStr">
        <is>
          <t>PIU</t>
        </is>
      </c>
      <c r="G298" s="4" t="inlineStr">
        <is>
          <t>LIM</t>
        </is>
      </c>
      <c r="H298" s="4" t="inlineStr">
        <is>
          <t>17:20:00</t>
        </is>
      </c>
      <c r="I298" s="4" t="inlineStr">
        <is>
          <t>18:50:00</t>
        </is>
      </c>
      <c r="J298" s="4" t="n">
        <v>320</v>
      </c>
      <c r="K298">
        <f>TEXT(TIMEVALUE(H298)-TIMEVALUE(I297)+(TIMEVALUE(H298)&lt;TIMEVALUE(I297)),"[h]:mm")</f>
        <v/>
      </c>
      <c r="L298" s="4" t="inlineStr">
        <is>
          <t>01:30:00</t>
        </is>
      </c>
      <c r="O298">
        <f>"LIM-"&amp;G297&amp;"-LIM   LA "&amp;E297&amp;" ("&amp;LEFT(H297,5)&amp;"-"&amp;LEFT(I297,5)&amp;" hrs)  /  LA "&amp;E298&amp;" ("&amp;LEFT(H298,5)&amp;"-"&amp;LEFT(I298,5)&amp;" hrs)"</f>
        <v/>
      </c>
    </row>
    <row r="299">
      <c r="J299" s="8" t="inlineStr">
        <is>
          <t>PSV total:</t>
        </is>
      </c>
      <c r="K299" s="9">
        <f>TEXT(TIMEVALUE(I298)-TIMEVALUE(H295)+(I298&lt;H295),"[h]:mm")</f>
        <v/>
      </c>
    </row>
    <row r="301">
      <c r="B301" s="3" t="inlineStr">
        <is>
          <t>Pairing ID</t>
        </is>
      </c>
      <c r="C301" s="3" t="inlineStr">
        <is>
          <t>FECHA REAL</t>
        </is>
      </c>
      <c r="D301" s="3" t="inlineStr">
        <is>
          <t>Day of Week</t>
        </is>
      </c>
      <c r="E301" s="3" t="inlineStr">
        <is>
          <t>Flight No</t>
        </is>
      </c>
      <c r="F301" s="3" t="inlineStr">
        <is>
          <t>Dep Stn</t>
        </is>
      </c>
      <c r="G301" s="3" t="inlineStr">
        <is>
          <t>Arr Stn</t>
        </is>
      </c>
      <c r="H301" s="3" t="inlineStr">
        <is>
          <t>STD</t>
        </is>
      </c>
      <c r="I301" s="3" t="inlineStr">
        <is>
          <t>STA</t>
        </is>
      </c>
      <c r="J301" s="3" t="inlineStr">
        <is>
          <t>subflota</t>
        </is>
      </c>
      <c r="K301" s="3" t="inlineStr">
        <is>
          <t>Conexion</t>
        </is>
      </c>
      <c r="L301" s="3" t="inlineStr">
        <is>
          <t>HBT</t>
        </is>
      </c>
    </row>
    <row r="302">
      <c r="B302" s="4" t="n">
        <v>386</v>
      </c>
      <c r="C302" s="4" t="inlineStr">
        <is>
          <t>04/09/2026</t>
        </is>
      </c>
      <c r="D302" s="4" t="inlineStr">
        <is>
          <t>viernes</t>
        </is>
      </c>
      <c r="E302" s="4" t="n">
        <v>2316</v>
      </c>
      <c r="F302" s="4" t="inlineStr">
        <is>
          <t>LIM</t>
        </is>
      </c>
      <c r="G302" s="4" t="inlineStr">
        <is>
          <t>PIU</t>
        </is>
      </c>
      <c r="H302" s="4" t="inlineStr">
        <is>
          <t>11:40:00</t>
        </is>
      </c>
      <c r="I302" s="4" t="inlineStr">
        <is>
          <t>13:25:00</t>
        </is>
      </c>
      <c r="J302" s="4" t="n">
        <v>319</v>
      </c>
      <c r="L302" s="4" t="inlineStr">
        <is>
          <t>01:45:00</t>
        </is>
      </c>
      <c r="M302" s="5" t="n"/>
      <c r="N302" s="6" t="n"/>
      <c r="O302" s="5" t="n"/>
      <c r="Q302" s="4">
        <f>B302</f>
        <v/>
      </c>
      <c r="R302" s="4">
        <f>C302</f>
        <v/>
      </c>
      <c r="S302" s="4">
        <f>D302</f>
        <v/>
      </c>
      <c r="T302" s="4">
        <f>E302&amp;"/"&amp;E303</f>
        <v/>
      </c>
      <c r="U302" s="4">
        <f>F302&amp;"-"&amp;G302&amp;"-"&amp;F302</f>
        <v/>
      </c>
      <c r="V302" s="4">
        <f>IF($M$302="","",$M$302)</f>
        <v/>
      </c>
      <c r="W302" s="4">
        <f>IF($O$302="","",$O$302)</f>
        <v/>
      </c>
      <c r="X302" s="4">
        <f>J302</f>
        <v/>
      </c>
    </row>
    <row r="303">
      <c r="B303" s="4" t="n">
        <v>386</v>
      </c>
      <c r="C303" s="4" t="inlineStr">
        <is>
          <t>04/09/2026</t>
        </is>
      </c>
      <c r="D303" s="4" t="inlineStr">
        <is>
          <t>viernes</t>
        </is>
      </c>
      <c r="E303" s="4" t="n">
        <v>2317</v>
      </c>
      <c r="F303" s="4" t="inlineStr">
        <is>
          <t>PIU</t>
        </is>
      </c>
      <c r="G303" s="4" t="inlineStr">
        <is>
          <t>LIM</t>
        </is>
      </c>
      <c r="H303" s="4" t="inlineStr">
        <is>
          <t>14:05:00</t>
        </is>
      </c>
      <c r="I303" s="4" t="inlineStr">
        <is>
          <t>15:40:00</t>
        </is>
      </c>
      <c r="J303" s="4" t="n">
        <v>319</v>
      </c>
      <c r="K303">
        <f>TEXT(TIMEVALUE(H303)-TIMEVALUE(I302)+(TIMEVALUE(H303)&lt;TIMEVALUE(I302)),"[h]:mm")</f>
        <v/>
      </c>
      <c r="L303" s="4" t="inlineStr">
        <is>
          <t>01:35:00</t>
        </is>
      </c>
      <c r="O303">
        <f>"LIM-"&amp;G302&amp;"-LIM   LA "&amp;E302&amp;" ("&amp;LEFT(H302,5)&amp;"-"&amp;LEFT(I302,5)&amp;" hrs)  /  LA "&amp;E303&amp;" ("&amp;LEFT(H303,5)&amp;"-"&amp;LEFT(I303,5)&amp;" hrs)"</f>
        <v/>
      </c>
    </row>
    <row r="304">
      <c r="J304" s="8" t="inlineStr">
        <is>
          <t>PSV total:</t>
        </is>
      </c>
      <c r="K304" s="9">
        <f>TEXT(TIMEVALUE(I303)-TIMEVALUE(H302)+(I303&lt;H302),"[h]:mm")</f>
        <v/>
      </c>
    </row>
    <row r="306">
      <c r="B306" s="3" t="inlineStr">
        <is>
          <t>Pairing ID</t>
        </is>
      </c>
      <c r="C306" s="3" t="inlineStr">
        <is>
          <t>FECHA REAL</t>
        </is>
      </c>
      <c r="D306" s="3" t="inlineStr">
        <is>
          <t>Day of Week</t>
        </is>
      </c>
      <c r="E306" s="3" t="inlineStr">
        <is>
          <t>Flight No</t>
        </is>
      </c>
      <c r="F306" s="3" t="inlineStr">
        <is>
          <t>Dep Stn</t>
        </is>
      </c>
      <c r="G306" s="3" t="inlineStr">
        <is>
          <t>Arr Stn</t>
        </is>
      </c>
      <c r="H306" s="3" t="inlineStr">
        <is>
          <t>STD</t>
        </is>
      </c>
      <c r="I306" s="3" t="inlineStr">
        <is>
          <t>STA</t>
        </is>
      </c>
      <c r="J306" s="3" t="inlineStr">
        <is>
          <t>subflota</t>
        </is>
      </c>
      <c r="K306" s="3" t="inlineStr">
        <is>
          <t>Conexion</t>
        </is>
      </c>
      <c r="L306" s="3" t="inlineStr">
        <is>
          <t>HBT</t>
        </is>
      </c>
    </row>
    <row r="307">
      <c r="B307" s="4" t="n">
        <v>384</v>
      </c>
      <c r="C307" s="4" t="inlineStr">
        <is>
          <t>04/09/2026</t>
        </is>
      </c>
      <c r="D307" s="4" t="inlineStr">
        <is>
          <t>viernes</t>
        </is>
      </c>
      <c r="E307" s="4" t="n">
        <v>2061</v>
      </c>
      <c r="F307" s="4" t="inlineStr">
        <is>
          <t>LIM</t>
        </is>
      </c>
      <c r="G307" s="4" t="inlineStr">
        <is>
          <t>CUZ</t>
        </is>
      </c>
      <c r="H307" s="4" t="inlineStr">
        <is>
          <t>11:40:00</t>
        </is>
      </c>
      <c r="I307" s="4" t="inlineStr">
        <is>
          <t>13:00:00</t>
        </is>
      </c>
      <c r="J307" s="4" t="n">
        <v>320</v>
      </c>
      <c r="L307" s="4" t="inlineStr">
        <is>
          <t>01:20:00</t>
        </is>
      </c>
      <c r="M307" s="5" t="n"/>
      <c r="N307" s="6" t="n"/>
      <c r="O307" s="5" t="n"/>
      <c r="Q307" s="4">
        <f>B307</f>
        <v/>
      </c>
      <c r="R307" s="4">
        <f>C307</f>
        <v/>
      </c>
      <c r="S307" s="4">
        <f>D307</f>
        <v/>
      </c>
      <c r="T307" s="4">
        <f>E307&amp;"/"&amp;E308</f>
        <v/>
      </c>
      <c r="U307" s="4">
        <f>F307&amp;"-"&amp;G307&amp;"-"&amp;F307</f>
        <v/>
      </c>
      <c r="V307" s="4">
        <f>IF($M$307="","",$M$307)</f>
        <v/>
      </c>
      <c r="W307" s="4">
        <f>IF($O$307="","",$O$307)</f>
        <v/>
      </c>
      <c r="X307" s="4">
        <f>J307</f>
        <v/>
      </c>
    </row>
    <row r="308">
      <c r="B308" s="4" t="n">
        <v>384</v>
      </c>
      <c r="C308" s="4" t="inlineStr">
        <is>
          <t>04/09/2026</t>
        </is>
      </c>
      <c r="D308" s="4" t="inlineStr">
        <is>
          <t>viernes</t>
        </is>
      </c>
      <c r="E308" s="4" t="n">
        <v>2062</v>
      </c>
      <c r="F308" s="4" t="inlineStr">
        <is>
          <t>CUZ</t>
        </is>
      </c>
      <c r="G308" s="4" t="inlineStr">
        <is>
          <t>LIM</t>
        </is>
      </c>
      <c r="H308" s="4" t="inlineStr">
        <is>
          <t>13:40:00</t>
        </is>
      </c>
      <c r="I308" s="4" t="inlineStr">
        <is>
          <t>15:15:00</t>
        </is>
      </c>
      <c r="J308" s="4" t="n">
        <v>320</v>
      </c>
      <c r="K308">
        <f>TEXT(TIMEVALUE(H308)-TIMEVALUE(I307)+(TIMEVALUE(H308)&lt;TIMEVALUE(I307)),"[h]:mm")</f>
        <v/>
      </c>
      <c r="L308" s="4" t="inlineStr">
        <is>
          <t>01:35:00</t>
        </is>
      </c>
      <c r="O308">
        <f>"LIM-"&amp;G307&amp;"-LIM   LA "&amp;E307&amp;" ("&amp;LEFT(H307,5)&amp;"-"&amp;LEFT(I307,5)&amp;" hrs)  /  LA "&amp;E308&amp;" ("&amp;LEFT(H308,5)&amp;"-"&amp;LEFT(I308,5)&amp;" hrs)"</f>
        <v/>
      </c>
    </row>
    <row r="309">
      <c r="B309" s="4" t="n">
        <v>416</v>
      </c>
      <c r="C309" s="4" t="inlineStr">
        <is>
          <t>04/09/2026</t>
        </is>
      </c>
      <c r="D309" s="4" t="inlineStr">
        <is>
          <t>viernes</t>
        </is>
      </c>
      <c r="E309" s="4" t="n">
        <v>2127</v>
      </c>
      <c r="F309" s="4" t="inlineStr">
        <is>
          <t>LIM</t>
        </is>
      </c>
      <c r="G309" s="4" t="inlineStr">
        <is>
          <t>CUZ</t>
        </is>
      </c>
      <c r="H309" s="4" t="inlineStr">
        <is>
          <t>16:10:00</t>
        </is>
      </c>
      <c r="I309" s="4" t="inlineStr">
        <is>
          <t>17:30:00</t>
        </is>
      </c>
      <c r="J309" s="4" t="n">
        <v>320</v>
      </c>
      <c r="K309" s="7">
        <f>TEXT(TIMEVALUE(H309)-TIMEVALUE(I308)+(TIMEVALUE(H309)&lt;TIMEVALUE(I308)),"[h]:mm")</f>
        <v/>
      </c>
      <c r="L309" s="4" t="inlineStr">
        <is>
          <t>01:20:00</t>
        </is>
      </c>
      <c r="M309">
        <f>IF($M$307="","",$M$307)</f>
        <v/>
      </c>
      <c r="O309">
        <f>IF($O$307="","",$O$307)</f>
        <v/>
      </c>
      <c r="Q309" s="4">
        <f>B309</f>
        <v/>
      </c>
      <c r="R309" s="4">
        <f>C309</f>
        <v/>
      </c>
      <c r="S309" s="4">
        <f>D309</f>
        <v/>
      </c>
      <c r="T309" s="4">
        <f>E309&amp;"/"&amp;E310</f>
        <v/>
      </c>
      <c r="U309" s="4">
        <f>F309&amp;"-"&amp;G309&amp;"-"&amp;F309</f>
        <v/>
      </c>
      <c r="V309" s="4">
        <f>IF($M$307="","",$M$307)</f>
        <v/>
      </c>
      <c r="W309" s="4">
        <f>IF($O$307="","",$O$307)</f>
        <v/>
      </c>
      <c r="X309" s="4">
        <f>J309</f>
        <v/>
      </c>
    </row>
    <row r="310">
      <c r="B310" s="4" t="n">
        <v>416</v>
      </c>
      <c r="C310" s="4" t="inlineStr">
        <is>
          <t>04/09/2026</t>
        </is>
      </c>
      <c r="D310" s="4" t="inlineStr">
        <is>
          <t>viernes</t>
        </is>
      </c>
      <c r="E310" s="4" t="n">
        <v>2026</v>
      </c>
      <c r="F310" s="4" t="inlineStr">
        <is>
          <t>CUZ</t>
        </is>
      </c>
      <c r="G310" s="4" t="inlineStr">
        <is>
          <t>LIM</t>
        </is>
      </c>
      <c r="H310" s="4" t="inlineStr">
        <is>
          <t>18:10:00</t>
        </is>
      </c>
      <c r="I310" s="4" t="inlineStr">
        <is>
          <t>19:50:00</t>
        </is>
      </c>
      <c r="J310" s="4" t="n">
        <v>320</v>
      </c>
      <c r="K310">
        <f>TEXT(TIMEVALUE(H310)-TIMEVALUE(I309)+(TIMEVALUE(H310)&lt;TIMEVALUE(I309)),"[h]:mm")</f>
        <v/>
      </c>
      <c r="L310" s="4" t="inlineStr">
        <is>
          <t>01:40:00</t>
        </is>
      </c>
      <c r="O310">
        <f>"LIM-"&amp;G309&amp;"-LIM   LA "&amp;E309&amp;" ("&amp;LEFT(H309,5)&amp;"-"&amp;LEFT(I309,5)&amp;" hrs)  /  LA "&amp;E310&amp;" ("&amp;LEFT(H310,5)&amp;"-"&amp;LEFT(I310,5)&amp;" hrs)"</f>
        <v/>
      </c>
    </row>
    <row r="311">
      <c r="J311" s="8" t="inlineStr">
        <is>
          <t>PSV total:</t>
        </is>
      </c>
      <c r="K311" s="9">
        <f>TEXT(TIMEVALUE(I310)-TIMEVALUE(H307)+(I310&lt;H307),"[h]:mm")</f>
        <v/>
      </c>
    </row>
    <row r="313">
      <c r="B313" s="3" t="inlineStr">
        <is>
          <t>Pairing ID</t>
        </is>
      </c>
      <c r="C313" s="3" t="inlineStr">
        <is>
          <t>FECHA REAL</t>
        </is>
      </c>
      <c r="D313" s="3" t="inlineStr">
        <is>
          <t>Day of Week</t>
        </is>
      </c>
      <c r="E313" s="3" t="inlineStr">
        <is>
          <t>Flight No</t>
        </is>
      </c>
      <c r="F313" s="3" t="inlineStr">
        <is>
          <t>Dep Stn</t>
        </is>
      </c>
      <c r="G313" s="3" t="inlineStr">
        <is>
          <t>Arr Stn</t>
        </is>
      </c>
      <c r="H313" s="3" t="inlineStr">
        <is>
          <t>STD</t>
        </is>
      </c>
      <c r="I313" s="3" t="inlineStr">
        <is>
          <t>STA</t>
        </is>
      </c>
      <c r="J313" s="3" t="inlineStr">
        <is>
          <t>subflota</t>
        </is>
      </c>
      <c r="K313" s="3" t="inlineStr">
        <is>
          <t>Conexion</t>
        </is>
      </c>
      <c r="L313" s="3" t="inlineStr">
        <is>
          <t>HBT</t>
        </is>
      </c>
    </row>
    <row r="314">
      <c r="B314" s="4" t="n">
        <v>385</v>
      </c>
      <c r="C314" s="4" t="inlineStr">
        <is>
          <t>04/09/2026</t>
        </is>
      </c>
      <c r="D314" s="4" t="inlineStr">
        <is>
          <t>viernes</t>
        </is>
      </c>
      <c r="E314" s="4" t="n">
        <v>2111</v>
      </c>
      <c r="F314" s="4" t="inlineStr">
        <is>
          <t>LIM</t>
        </is>
      </c>
      <c r="G314" s="4" t="inlineStr">
        <is>
          <t>AQP</t>
        </is>
      </c>
      <c r="H314" s="4" t="inlineStr">
        <is>
          <t>11:40:00</t>
        </is>
      </c>
      <c r="I314" s="4" t="inlineStr">
        <is>
          <t>13:10:00</t>
        </is>
      </c>
      <c r="J314" s="4" t="n">
        <v>320</v>
      </c>
      <c r="L314" s="4" t="inlineStr">
        <is>
          <t>01:30:00</t>
        </is>
      </c>
      <c r="M314" s="5" t="n"/>
      <c r="N314" s="6" t="n"/>
      <c r="O314" s="5" t="n"/>
      <c r="Q314" s="4">
        <f>B314</f>
        <v/>
      </c>
      <c r="R314" s="4">
        <f>C314</f>
        <v/>
      </c>
      <c r="S314" s="4">
        <f>D314</f>
        <v/>
      </c>
      <c r="T314" s="4">
        <f>E314&amp;"/"&amp;E315</f>
        <v/>
      </c>
      <c r="U314" s="4">
        <f>F314&amp;"-"&amp;G314&amp;"-"&amp;F314</f>
        <v/>
      </c>
      <c r="V314" s="4">
        <f>IF($M$314="","",$M$314)</f>
        <v/>
      </c>
      <c r="W314" s="4">
        <f>IF($O$314="","",$O$314)</f>
        <v/>
      </c>
      <c r="X314" s="4">
        <f>J314</f>
        <v/>
      </c>
    </row>
    <row r="315">
      <c r="B315" s="4" t="n">
        <v>385</v>
      </c>
      <c r="C315" s="4" t="inlineStr">
        <is>
          <t>04/09/2026</t>
        </is>
      </c>
      <c r="D315" s="4" t="inlineStr">
        <is>
          <t>viernes</t>
        </is>
      </c>
      <c r="E315" s="4" t="n">
        <v>2110</v>
      </c>
      <c r="F315" s="4" t="inlineStr">
        <is>
          <t>AQP</t>
        </is>
      </c>
      <c r="G315" s="4" t="inlineStr">
        <is>
          <t>LIM</t>
        </is>
      </c>
      <c r="H315" s="4" t="inlineStr">
        <is>
          <t>17:50:00</t>
        </is>
      </c>
      <c r="I315" s="4" t="inlineStr">
        <is>
          <t>19:30:00</t>
        </is>
      </c>
      <c r="J315" s="4" t="n">
        <v>320</v>
      </c>
      <c r="K315">
        <f>TEXT(TIMEVALUE(H315)-TIMEVALUE(I314)+(TIMEVALUE(H315)&lt;TIMEVALUE(I314)),"[h]:mm")</f>
        <v/>
      </c>
      <c r="L315" s="4" t="inlineStr">
        <is>
          <t>01:40:00</t>
        </is>
      </c>
      <c r="O315">
        <f>"LIM-"&amp;G314&amp;"-LIM   LA "&amp;E314&amp;" ("&amp;LEFT(H314,5)&amp;"-"&amp;LEFT(I314,5)&amp;" hrs)  /  LA "&amp;E315&amp;" ("&amp;LEFT(H315,5)&amp;"-"&amp;LEFT(I315,5)&amp;" hrs)"</f>
        <v/>
      </c>
    </row>
    <row r="316">
      <c r="J316" s="8" t="inlineStr">
        <is>
          <t>PSV total:</t>
        </is>
      </c>
      <c r="K316" s="9">
        <f>TEXT(TIMEVALUE(I315)-TIMEVALUE(H314)+(I315&lt;H314),"[h]:mm")</f>
        <v/>
      </c>
    </row>
    <row r="318">
      <c r="B318" s="3" t="inlineStr">
        <is>
          <t>Pairing ID</t>
        </is>
      </c>
      <c r="C318" s="3" t="inlineStr">
        <is>
          <t>FECHA REAL</t>
        </is>
      </c>
      <c r="D318" s="3" t="inlineStr">
        <is>
          <t>Day of Week</t>
        </is>
      </c>
      <c r="E318" s="3" t="inlineStr">
        <is>
          <t>Flight No</t>
        </is>
      </c>
      <c r="F318" s="3" t="inlineStr">
        <is>
          <t>Dep Stn</t>
        </is>
      </c>
      <c r="G318" s="3" t="inlineStr">
        <is>
          <t>Arr Stn</t>
        </is>
      </c>
      <c r="H318" s="3" t="inlineStr">
        <is>
          <t>STD</t>
        </is>
      </c>
      <c r="I318" s="3" t="inlineStr">
        <is>
          <t>STA</t>
        </is>
      </c>
      <c r="J318" s="3" t="inlineStr">
        <is>
          <t>subflota</t>
        </is>
      </c>
      <c r="K318" s="3" t="inlineStr">
        <is>
          <t>Conexion</t>
        </is>
      </c>
      <c r="L318" s="3" t="inlineStr">
        <is>
          <t>HBT</t>
        </is>
      </c>
    </row>
    <row r="319">
      <c r="B319" s="4" t="n">
        <v>389</v>
      </c>
      <c r="C319" s="4" t="inlineStr">
        <is>
          <t>04/09/2026</t>
        </is>
      </c>
      <c r="D319" s="4" t="inlineStr">
        <is>
          <t>viernes</t>
        </is>
      </c>
      <c r="E319" s="4" t="n">
        <v>2023</v>
      </c>
      <c r="F319" s="4" t="inlineStr">
        <is>
          <t>LIM</t>
        </is>
      </c>
      <c r="G319" s="4" t="inlineStr">
        <is>
          <t>PEM</t>
        </is>
      </c>
      <c r="H319" s="4" t="inlineStr">
        <is>
          <t>12:15:00</t>
        </is>
      </c>
      <c r="I319" s="4" t="inlineStr">
        <is>
          <t>13:55:00</t>
        </is>
      </c>
      <c r="J319" s="4" t="n">
        <v>320</v>
      </c>
      <c r="L319" s="4" t="inlineStr">
        <is>
          <t>01:40:00</t>
        </is>
      </c>
      <c r="M319" s="5" t="n"/>
      <c r="N319" s="6" t="n"/>
      <c r="O319" s="5" t="n"/>
      <c r="Q319" s="4">
        <f>B319</f>
        <v/>
      </c>
      <c r="R319" s="4">
        <f>C319</f>
        <v/>
      </c>
      <c r="S319" s="4">
        <f>D319</f>
        <v/>
      </c>
      <c r="T319" s="4">
        <f>E319&amp;"/"&amp;E320</f>
        <v/>
      </c>
      <c r="U319" s="4">
        <f>F319&amp;"-"&amp;G319&amp;"-"&amp;F319</f>
        <v/>
      </c>
      <c r="V319" s="4">
        <f>IF($M$319="","",$M$319)</f>
        <v/>
      </c>
      <c r="W319" s="4">
        <f>IF($O$319="","",$O$319)</f>
        <v/>
      </c>
      <c r="X319" s="4">
        <f>J319</f>
        <v/>
      </c>
    </row>
    <row r="320">
      <c r="B320" s="4" t="n">
        <v>389</v>
      </c>
      <c r="C320" s="4" t="inlineStr">
        <is>
          <t>04/09/2026</t>
        </is>
      </c>
      <c r="D320" s="4" t="inlineStr">
        <is>
          <t>viernes</t>
        </is>
      </c>
      <c r="E320" s="4" t="n">
        <v>2024</v>
      </c>
      <c r="F320" s="4" t="inlineStr">
        <is>
          <t>PEM</t>
        </is>
      </c>
      <c r="G320" s="4" t="inlineStr">
        <is>
          <t>LIM</t>
        </is>
      </c>
      <c r="H320" s="4" t="inlineStr">
        <is>
          <t>14:35:00</t>
        </is>
      </c>
      <c r="I320" s="4" t="inlineStr">
        <is>
          <t>16:10:00</t>
        </is>
      </c>
      <c r="J320" s="4" t="n">
        <v>320</v>
      </c>
      <c r="K320">
        <f>TEXT(TIMEVALUE(H320)-TIMEVALUE(I319)+(TIMEVALUE(H320)&lt;TIMEVALUE(I319)),"[h]:mm")</f>
        <v/>
      </c>
      <c r="L320" s="4" t="inlineStr">
        <is>
          <t>01:35:00</t>
        </is>
      </c>
      <c r="O320">
        <f>"LIM-"&amp;G319&amp;"-LIM   LA "&amp;E319&amp;" ("&amp;LEFT(H319,5)&amp;"-"&amp;LEFT(I319,5)&amp;" hrs)  /  LA "&amp;E320&amp;" ("&amp;LEFT(H320,5)&amp;"-"&amp;LEFT(I320,5)&amp;" hrs)"</f>
        <v/>
      </c>
    </row>
    <row r="321">
      <c r="B321" s="4" t="n">
        <v>418</v>
      </c>
      <c r="C321" s="4" t="inlineStr">
        <is>
          <t>04/09/2026</t>
        </is>
      </c>
      <c r="D321" s="4" t="inlineStr">
        <is>
          <t>viernes</t>
        </is>
      </c>
      <c r="E321" s="4" t="n">
        <v>2115</v>
      </c>
      <c r="F321" s="4" t="inlineStr">
        <is>
          <t>LIM</t>
        </is>
      </c>
      <c r="G321" s="4" t="inlineStr">
        <is>
          <t>AQP</t>
        </is>
      </c>
      <c r="H321" s="4" t="inlineStr">
        <is>
          <t>17:15:00</t>
        </is>
      </c>
      <c r="I321" s="4" t="inlineStr">
        <is>
          <t>18:45:00</t>
        </is>
      </c>
      <c r="J321" s="4" t="n">
        <v>320</v>
      </c>
      <c r="K321" s="7">
        <f>TEXT(TIMEVALUE(H321)-TIMEVALUE(I320)+(TIMEVALUE(H321)&lt;TIMEVALUE(I320)),"[h]:mm")</f>
        <v/>
      </c>
      <c r="L321" s="4" t="inlineStr">
        <is>
          <t>01:30:00</t>
        </is>
      </c>
      <c r="M321">
        <f>IF($M$319="","",$M$319)</f>
        <v/>
      </c>
      <c r="O321">
        <f>IF($O$319="","",$O$319)</f>
        <v/>
      </c>
      <c r="Q321" s="4">
        <f>B321</f>
        <v/>
      </c>
      <c r="R321" s="4">
        <f>C321</f>
        <v/>
      </c>
      <c r="S321" s="4">
        <f>D321</f>
        <v/>
      </c>
      <c r="T321" s="4">
        <f>E321&amp;"/"&amp;E322</f>
        <v/>
      </c>
      <c r="U321" s="4">
        <f>F321&amp;"-"&amp;G321&amp;"-"&amp;F321</f>
        <v/>
      </c>
      <c r="V321" s="4">
        <f>IF($M$319="","",$M$319)</f>
        <v/>
      </c>
      <c r="W321" s="4">
        <f>IF($O$319="","",$O$319)</f>
        <v/>
      </c>
      <c r="X321" s="4">
        <f>J321</f>
        <v/>
      </c>
    </row>
    <row r="322">
      <c r="B322" s="4" t="n">
        <v>418</v>
      </c>
      <c r="C322" s="4" t="inlineStr">
        <is>
          <t>04/09/2026</t>
        </is>
      </c>
      <c r="D322" s="4" t="inlineStr">
        <is>
          <t>viernes</t>
        </is>
      </c>
      <c r="E322" s="4" t="n">
        <v>2114</v>
      </c>
      <c r="F322" s="4" t="inlineStr">
        <is>
          <t>AQP</t>
        </is>
      </c>
      <c r="G322" s="4" t="inlineStr">
        <is>
          <t>LIM</t>
        </is>
      </c>
      <c r="H322" s="4" t="inlineStr">
        <is>
          <t>19:20:00</t>
        </is>
      </c>
      <c r="I322" s="4" t="inlineStr">
        <is>
          <t>20:55:00</t>
        </is>
      </c>
      <c r="J322" s="4" t="n">
        <v>320</v>
      </c>
      <c r="K322">
        <f>TEXT(TIMEVALUE(H322)-TIMEVALUE(I321)+(TIMEVALUE(H322)&lt;TIMEVALUE(I321)),"[h]:mm")</f>
        <v/>
      </c>
      <c r="L322" s="4" t="inlineStr">
        <is>
          <t>01:35:00</t>
        </is>
      </c>
      <c r="O322">
        <f>"LIM-"&amp;G321&amp;"-LIM   LA "&amp;E321&amp;" ("&amp;LEFT(H321,5)&amp;"-"&amp;LEFT(I321,5)&amp;" hrs)  /  LA "&amp;E322&amp;" ("&amp;LEFT(H322,5)&amp;"-"&amp;LEFT(I322,5)&amp;" hrs)"</f>
        <v/>
      </c>
    </row>
    <row r="323">
      <c r="J323" s="8" t="inlineStr">
        <is>
          <t>PSV total:</t>
        </is>
      </c>
      <c r="K323" s="9">
        <f>TEXT(TIMEVALUE(I322)-TIMEVALUE(H319)+(I322&lt;H319),"[h]:mm")</f>
        <v/>
      </c>
    </row>
    <row r="325">
      <c r="B325" s="3" t="inlineStr">
        <is>
          <t>Pairing ID</t>
        </is>
      </c>
      <c r="C325" s="3" t="inlineStr">
        <is>
          <t>FECHA REAL</t>
        </is>
      </c>
      <c r="D325" s="3" t="inlineStr">
        <is>
          <t>Day of Week</t>
        </is>
      </c>
      <c r="E325" s="3" t="inlineStr">
        <is>
          <t>Flight No</t>
        </is>
      </c>
      <c r="F325" s="3" t="inlineStr">
        <is>
          <t>Dep Stn</t>
        </is>
      </c>
      <c r="G325" s="3" t="inlineStr">
        <is>
          <t>Arr Stn</t>
        </is>
      </c>
      <c r="H325" s="3" t="inlineStr">
        <is>
          <t>STD</t>
        </is>
      </c>
      <c r="I325" s="3" t="inlineStr">
        <is>
          <t>STA</t>
        </is>
      </c>
      <c r="J325" s="3" t="inlineStr">
        <is>
          <t>subflota</t>
        </is>
      </c>
      <c r="K325" s="3" t="inlineStr">
        <is>
          <t>Conexion</t>
        </is>
      </c>
      <c r="L325" s="3" t="inlineStr">
        <is>
          <t>HBT</t>
        </is>
      </c>
    </row>
    <row r="326">
      <c r="B326" s="4" t="n">
        <v>391</v>
      </c>
      <c r="C326" s="4" t="inlineStr">
        <is>
          <t>04/09/2026</t>
        </is>
      </c>
      <c r="D326" s="4" t="inlineStr">
        <is>
          <t>viernes</t>
        </is>
      </c>
      <c r="E326" s="4" t="n">
        <v>2120</v>
      </c>
      <c r="F326" s="4" t="inlineStr">
        <is>
          <t>LIM</t>
        </is>
      </c>
      <c r="G326" s="4" t="inlineStr">
        <is>
          <t>CUZ</t>
        </is>
      </c>
      <c r="H326" s="4" t="inlineStr">
        <is>
          <t>12:35:00</t>
        </is>
      </c>
      <c r="I326" s="4" t="inlineStr">
        <is>
          <t>13:55:00</t>
        </is>
      </c>
      <c r="J326" s="4" t="n">
        <v>320</v>
      </c>
      <c r="L326" s="4" t="inlineStr">
        <is>
          <t>01:20:00</t>
        </is>
      </c>
      <c r="M326" s="5" t="n"/>
      <c r="N326" s="6" t="n"/>
      <c r="O326" s="5" t="n"/>
      <c r="Q326" s="4">
        <f>B326</f>
        <v/>
      </c>
      <c r="R326" s="4">
        <f>C326</f>
        <v/>
      </c>
      <c r="S326" s="4">
        <f>D326</f>
        <v/>
      </c>
      <c r="T326" s="4">
        <f>E326&amp;"/"&amp;E327</f>
        <v/>
      </c>
      <c r="U326" s="4">
        <f>F326&amp;"-"&amp;G326&amp;"-"&amp;F326</f>
        <v/>
      </c>
      <c r="V326" s="4">
        <f>IF($M$326="","",$M$326)</f>
        <v/>
      </c>
      <c r="W326" s="4">
        <f>IF($O$326="","",$O$326)</f>
        <v/>
      </c>
      <c r="X326" s="4">
        <f>J326</f>
        <v/>
      </c>
    </row>
    <row r="327">
      <c r="B327" s="4" t="n">
        <v>391</v>
      </c>
      <c r="C327" s="4" t="inlineStr">
        <is>
          <t>04/09/2026</t>
        </is>
      </c>
      <c r="D327" s="4" t="inlineStr">
        <is>
          <t>viernes</t>
        </is>
      </c>
      <c r="E327" s="4" t="n">
        <v>2121</v>
      </c>
      <c r="F327" s="4" t="inlineStr">
        <is>
          <t>CUZ</t>
        </is>
      </c>
      <c r="G327" s="4" t="inlineStr">
        <is>
          <t>LIM</t>
        </is>
      </c>
      <c r="H327" s="4" t="inlineStr">
        <is>
          <t>17:35:00</t>
        </is>
      </c>
      <c r="I327" s="4" t="inlineStr">
        <is>
          <t>19:10:00</t>
        </is>
      </c>
      <c r="J327" s="4" t="n">
        <v>320</v>
      </c>
      <c r="K327">
        <f>TEXT(TIMEVALUE(H327)-TIMEVALUE(I326)+(TIMEVALUE(H327)&lt;TIMEVALUE(I326)),"[h]:mm")</f>
        <v/>
      </c>
      <c r="L327" s="4" t="inlineStr">
        <is>
          <t>01:35:00</t>
        </is>
      </c>
      <c r="O327">
        <f>"LIM-"&amp;G326&amp;"-LIM   LA "&amp;E326&amp;" ("&amp;LEFT(H326,5)&amp;"-"&amp;LEFT(I326,5)&amp;" hrs)  /  LA "&amp;E327&amp;" ("&amp;LEFT(H327,5)&amp;"-"&amp;LEFT(I327,5)&amp;" hrs)"</f>
        <v/>
      </c>
    </row>
    <row r="328">
      <c r="J328" s="8" t="inlineStr">
        <is>
          <t>PSV total:</t>
        </is>
      </c>
      <c r="K328" s="9">
        <f>TEXT(TIMEVALUE(I327)-TIMEVALUE(H326)+(I327&lt;H326),"[h]:mm")</f>
        <v/>
      </c>
    </row>
    <row r="330">
      <c r="B330" s="3" t="inlineStr">
        <is>
          <t>Pairing ID</t>
        </is>
      </c>
      <c r="C330" s="3" t="inlineStr">
        <is>
          <t>FECHA REAL</t>
        </is>
      </c>
      <c r="D330" s="3" t="inlineStr">
        <is>
          <t>Day of Week</t>
        </is>
      </c>
      <c r="E330" s="3" t="inlineStr">
        <is>
          <t>Flight No</t>
        </is>
      </c>
      <c r="F330" s="3" t="inlineStr">
        <is>
          <t>Dep Stn</t>
        </is>
      </c>
      <c r="G330" s="3" t="inlineStr">
        <is>
          <t>Arr Stn</t>
        </is>
      </c>
      <c r="H330" s="3" t="inlineStr">
        <is>
          <t>STD</t>
        </is>
      </c>
      <c r="I330" s="3" t="inlineStr">
        <is>
          <t>STA</t>
        </is>
      </c>
      <c r="J330" s="3" t="inlineStr">
        <is>
          <t>subflota</t>
        </is>
      </c>
      <c r="K330" s="3" t="inlineStr">
        <is>
          <t>Conexion</t>
        </is>
      </c>
      <c r="L330" s="3" t="inlineStr">
        <is>
          <t>HBT</t>
        </is>
      </c>
    </row>
    <row r="331">
      <c r="B331" s="4" t="n">
        <v>394</v>
      </c>
      <c r="C331" s="4" t="inlineStr">
        <is>
          <t>04/09/2026</t>
        </is>
      </c>
      <c r="D331" s="4" t="inlineStr">
        <is>
          <t>viernes</t>
        </is>
      </c>
      <c r="E331" s="4" t="n">
        <v>2270</v>
      </c>
      <c r="F331" s="4" t="inlineStr">
        <is>
          <t>LIM</t>
        </is>
      </c>
      <c r="G331" s="4" t="inlineStr">
        <is>
          <t>CIX</t>
        </is>
      </c>
      <c r="H331" s="4" t="inlineStr">
        <is>
          <t>13:00:00</t>
        </is>
      </c>
      <c r="I331" s="4" t="inlineStr">
        <is>
          <t>14:30:00</t>
        </is>
      </c>
      <c r="J331" s="4" t="n">
        <v>319</v>
      </c>
      <c r="L331" s="4" t="inlineStr">
        <is>
          <t>01:30:00</t>
        </is>
      </c>
      <c r="M331" s="5" t="n"/>
      <c r="N331" s="6" t="n"/>
      <c r="O331" s="5" t="n"/>
      <c r="Q331" s="4">
        <f>B331</f>
        <v/>
      </c>
      <c r="R331" s="4">
        <f>C331</f>
        <v/>
      </c>
      <c r="S331" s="4">
        <f>D331</f>
        <v/>
      </c>
      <c r="T331" s="4">
        <f>E331&amp;"/"&amp;E332</f>
        <v/>
      </c>
      <c r="U331" s="4">
        <f>F331&amp;"-"&amp;G331&amp;"-"&amp;F331</f>
        <v/>
      </c>
      <c r="V331" s="4">
        <f>IF($M$331="","",$M$331)</f>
        <v/>
      </c>
      <c r="W331" s="4">
        <f>IF($O$331="","",$O$331)</f>
        <v/>
      </c>
      <c r="X331" s="4">
        <f>J331</f>
        <v/>
      </c>
    </row>
    <row r="332">
      <c r="B332" s="4" t="n">
        <v>394</v>
      </c>
      <c r="C332" s="4" t="inlineStr">
        <is>
          <t>04/09/2026</t>
        </is>
      </c>
      <c r="D332" s="4" t="inlineStr">
        <is>
          <t>viernes</t>
        </is>
      </c>
      <c r="E332" s="4" t="n">
        <v>2271</v>
      </c>
      <c r="F332" s="4" t="inlineStr">
        <is>
          <t>CIX</t>
        </is>
      </c>
      <c r="G332" s="4" t="inlineStr">
        <is>
          <t>LIM</t>
        </is>
      </c>
      <c r="H332" s="4" t="inlineStr">
        <is>
          <t>15:05:00</t>
        </is>
      </c>
      <c r="I332" s="4" t="inlineStr">
        <is>
          <t>16:20:00</t>
        </is>
      </c>
      <c r="J332" s="4" t="n">
        <v>319</v>
      </c>
      <c r="K332">
        <f>TEXT(TIMEVALUE(H332)-TIMEVALUE(I331)+(TIMEVALUE(H332)&lt;TIMEVALUE(I331)),"[h]:mm")</f>
        <v/>
      </c>
      <c r="L332" s="4" t="inlineStr">
        <is>
          <t>01:15:00</t>
        </is>
      </c>
      <c r="O332">
        <f>"LIM-"&amp;G331&amp;"-LIM   LA "&amp;E331&amp;" ("&amp;LEFT(H331,5)&amp;"-"&amp;LEFT(I331,5)&amp;" hrs)  /  LA "&amp;E332&amp;" ("&amp;LEFT(H332,5)&amp;"-"&amp;LEFT(I332,5)&amp;" hrs)"</f>
        <v/>
      </c>
    </row>
    <row r="333">
      <c r="J333" s="8" t="inlineStr">
        <is>
          <t>PSV total:</t>
        </is>
      </c>
      <c r="K333" s="9">
        <f>TEXT(TIMEVALUE(I332)-TIMEVALUE(H331)+(I332&lt;H331),"[h]:mm")</f>
        <v/>
      </c>
    </row>
    <row r="335">
      <c r="B335" s="3" t="inlineStr">
        <is>
          <t>Pairing ID</t>
        </is>
      </c>
      <c r="C335" s="3" t="inlineStr">
        <is>
          <t>FECHA REAL</t>
        </is>
      </c>
      <c r="D335" s="3" t="inlineStr">
        <is>
          <t>Day of Week</t>
        </is>
      </c>
      <c r="E335" s="3" t="inlineStr">
        <is>
          <t>Flight No</t>
        </is>
      </c>
      <c r="F335" s="3" t="inlineStr">
        <is>
          <t>Dep Stn</t>
        </is>
      </c>
      <c r="G335" s="3" t="inlineStr">
        <is>
          <t>Arr Stn</t>
        </is>
      </c>
      <c r="H335" s="3" t="inlineStr">
        <is>
          <t>STD</t>
        </is>
      </c>
      <c r="I335" s="3" t="inlineStr">
        <is>
          <t>STA</t>
        </is>
      </c>
      <c r="J335" s="3" t="inlineStr">
        <is>
          <t>subflota</t>
        </is>
      </c>
      <c r="K335" s="3" t="inlineStr">
        <is>
          <t>Conexion</t>
        </is>
      </c>
      <c r="L335" s="3" t="inlineStr">
        <is>
          <t>HBT</t>
        </is>
      </c>
    </row>
    <row r="336">
      <c r="B336" s="4" t="n">
        <v>400</v>
      </c>
      <c r="C336" s="4" t="inlineStr">
        <is>
          <t>04/09/2026</t>
        </is>
      </c>
      <c r="D336" s="4" t="inlineStr">
        <is>
          <t>viernes</t>
        </is>
      </c>
      <c r="E336" s="4" t="n">
        <v>2295</v>
      </c>
      <c r="F336" s="4" t="inlineStr">
        <is>
          <t>LIM</t>
        </is>
      </c>
      <c r="G336" s="4" t="inlineStr">
        <is>
          <t>CJA</t>
        </is>
      </c>
      <c r="H336" s="4" t="inlineStr">
        <is>
          <t>14:10:00</t>
        </is>
      </c>
      <c r="I336" s="4" t="inlineStr">
        <is>
          <t>15:30:00</t>
        </is>
      </c>
      <c r="J336" s="4" t="n">
        <v>320</v>
      </c>
      <c r="L336" s="4" t="inlineStr">
        <is>
          <t>01:20:00</t>
        </is>
      </c>
      <c r="M336" s="5" t="n"/>
      <c r="N336" s="6" t="n"/>
      <c r="O336" s="5" t="n"/>
      <c r="Q336" s="4">
        <f>B336</f>
        <v/>
      </c>
      <c r="R336" s="4">
        <f>C336</f>
        <v/>
      </c>
      <c r="S336" s="4">
        <f>D336</f>
        <v/>
      </c>
      <c r="T336" s="4">
        <f>E336&amp;"/"&amp;E337</f>
        <v/>
      </c>
      <c r="U336" s="4">
        <f>F336&amp;"-"&amp;G336&amp;"-"&amp;F336</f>
        <v/>
      </c>
      <c r="V336" s="4">
        <f>IF($M$336="","",$M$336)</f>
        <v/>
      </c>
      <c r="W336" s="4">
        <f>IF($O$336="","",$O$336)</f>
        <v/>
      </c>
      <c r="X336" s="4">
        <f>J336</f>
        <v/>
      </c>
    </row>
    <row r="337">
      <c r="B337" s="4" t="n">
        <v>400</v>
      </c>
      <c r="C337" s="4" t="inlineStr">
        <is>
          <t>04/09/2026</t>
        </is>
      </c>
      <c r="D337" s="4" t="inlineStr">
        <is>
          <t>viernes</t>
        </is>
      </c>
      <c r="E337" s="4" t="n">
        <v>2294</v>
      </c>
      <c r="F337" s="4" t="inlineStr">
        <is>
          <t>CJA</t>
        </is>
      </c>
      <c r="G337" s="4" t="inlineStr">
        <is>
          <t>LIM</t>
        </is>
      </c>
      <c r="H337" s="4" t="inlineStr">
        <is>
          <t>16:10:00</t>
        </is>
      </c>
      <c r="I337" s="4" t="inlineStr">
        <is>
          <t>17:15:00</t>
        </is>
      </c>
      <c r="J337" s="4" t="n">
        <v>320</v>
      </c>
      <c r="K337">
        <f>TEXT(TIMEVALUE(H337)-TIMEVALUE(I336)+(TIMEVALUE(H337)&lt;TIMEVALUE(I336)),"[h]:mm")</f>
        <v/>
      </c>
      <c r="L337" s="4" t="inlineStr">
        <is>
          <t>01:05:00</t>
        </is>
      </c>
      <c r="O337">
        <f>"LIM-"&amp;G336&amp;"-LIM   LA "&amp;E336&amp;" ("&amp;LEFT(H336,5)&amp;"-"&amp;LEFT(I336,5)&amp;" hrs)  /  LA "&amp;E337&amp;" ("&amp;LEFT(H337,5)&amp;"-"&amp;LEFT(I337,5)&amp;" hrs)"</f>
        <v/>
      </c>
    </row>
    <row r="338">
      <c r="B338" s="4" t="n">
        <v>419</v>
      </c>
      <c r="C338" s="4" t="inlineStr">
        <is>
          <t>04/09/2026</t>
        </is>
      </c>
      <c r="D338" s="4" t="inlineStr">
        <is>
          <t>viernes</t>
        </is>
      </c>
      <c r="E338" s="4" t="n">
        <v>2310</v>
      </c>
      <c r="F338" s="4" t="inlineStr">
        <is>
          <t>LIM</t>
        </is>
      </c>
      <c r="G338" s="4" t="inlineStr">
        <is>
          <t>CIX</t>
        </is>
      </c>
      <c r="H338" s="4" t="inlineStr">
        <is>
          <t>18:20:00</t>
        </is>
      </c>
      <c r="I338" s="4" t="inlineStr">
        <is>
          <t>19:45:00</t>
        </is>
      </c>
      <c r="J338" s="4" t="n">
        <v>320</v>
      </c>
      <c r="K338" s="7">
        <f>TEXT(TIMEVALUE(H338)-TIMEVALUE(I337)+(TIMEVALUE(H338)&lt;TIMEVALUE(I337)),"[h]:mm")</f>
        <v/>
      </c>
      <c r="L338" s="4" t="inlineStr">
        <is>
          <t>01:25:00</t>
        </is>
      </c>
      <c r="M338">
        <f>IF($M$336="","",$M$336)</f>
        <v/>
      </c>
      <c r="O338">
        <f>IF($O$336="","",$O$336)</f>
        <v/>
      </c>
      <c r="Q338" s="4">
        <f>B338</f>
        <v/>
      </c>
      <c r="R338" s="4">
        <f>C338</f>
        <v/>
      </c>
      <c r="S338" s="4">
        <f>D338</f>
        <v/>
      </c>
      <c r="T338" s="4">
        <f>E338&amp;"/"&amp;E339</f>
        <v/>
      </c>
      <c r="U338" s="4">
        <f>F338&amp;"-"&amp;G338&amp;"-"&amp;F338</f>
        <v/>
      </c>
      <c r="V338" s="4">
        <f>IF($M$336="","",$M$336)</f>
        <v/>
      </c>
      <c r="W338" s="4">
        <f>IF($O$336="","",$O$336)</f>
        <v/>
      </c>
      <c r="X338" s="4">
        <f>J338</f>
        <v/>
      </c>
    </row>
    <row r="339">
      <c r="B339" s="4" t="n">
        <v>419</v>
      </c>
      <c r="C339" s="4" t="inlineStr">
        <is>
          <t>04/09/2026</t>
        </is>
      </c>
      <c r="D339" s="4" t="inlineStr">
        <is>
          <t>viernes</t>
        </is>
      </c>
      <c r="E339" s="4" t="n">
        <v>2311</v>
      </c>
      <c r="F339" s="4" t="inlineStr">
        <is>
          <t>CIX</t>
        </is>
      </c>
      <c r="G339" s="4" t="inlineStr">
        <is>
          <t>LIM</t>
        </is>
      </c>
      <c r="H339" s="4" t="inlineStr">
        <is>
          <t>20:20:00</t>
        </is>
      </c>
      <c r="I339" s="4" t="inlineStr">
        <is>
          <t>21:35:00</t>
        </is>
      </c>
      <c r="J339" s="4" t="n">
        <v>320</v>
      </c>
      <c r="K339">
        <f>TEXT(TIMEVALUE(H339)-TIMEVALUE(I338)+(TIMEVALUE(H339)&lt;TIMEVALUE(I338)),"[h]:mm")</f>
        <v/>
      </c>
      <c r="L339" s="4" t="inlineStr">
        <is>
          <t>01:15:00</t>
        </is>
      </c>
      <c r="O339">
        <f>"LIM-"&amp;G338&amp;"-LIM   LA "&amp;E338&amp;" ("&amp;LEFT(H338,5)&amp;"-"&amp;LEFT(I338,5)&amp;" hrs)  /  LA "&amp;E339&amp;" ("&amp;LEFT(H339,5)&amp;"-"&amp;LEFT(I339,5)&amp;" hrs)"</f>
        <v/>
      </c>
    </row>
    <row r="340">
      <c r="J340" s="8" t="inlineStr">
        <is>
          <t>PSV total:</t>
        </is>
      </c>
      <c r="K340" s="9">
        <f>TEXT(TIMEVALUE(I339)-TIMEVALUE(H336)+(I339&lt;H336),"[h]:mm")</f>
        <v/>
      </c>
    </row>
    <row r="342">
      <c r="B342" s="3" t="inlineStr">
        <is>
          <t>Pairing ID</t>
        </is>
      </c>
      <c r="C342" s="3" t="inlineStr">
        <is>
          <t>FECHA REAL</t>
        </is>
      </c>
      <c r="D342" s="3" t="inlineStr">
        <is>
          <t>Day of Week</t>
        </is>
      </c>
      <c r="E342" s="3" t="inlineStr">
        <is>
          <t>Flight No</t>
        </is>
      </c>
      <c r="F342" s="3" t="inlineStr">
        <is>
          <t>Dep Stn</t>
        </is>
      </c>
      <c r="G342" s="3" t="inlineStr">
        <is>
          <t>Arr Stn</t>
        </is>
      </c>
      <c r="H342" s="3" t="inlineStr">
        <is>
          <t>STD</t>
        </is>
      </c>
      <c r="I342" s="3" t="inlineStr">
        <is>
          <t>STA</t>
        </is>
      </c>
      <c r="J342" s="3" t="inlineStr">
        <is>
          <t>subflota</t>
        </is>
      </c>
      <c r="K342" s="3" t="inlineStr">
        <is>
          <t>Conexion</t>
        </is>
      </c>
      <c r="L342" s="3" t="inlineStr">
        <is>
          <t>HBT</t>
        </is>
      </c>
    </row>
    <row r="343">
      <c r="B343" s="4" t="n">
        <v>404</v>
      </c>
      <c r="C343" s="4" t="inlineStr">
        <is>
          <t>04/09/2026</t>
        </is>
      </c>
      <c r="D343" s="4" t="inlineStr">
        <is>
          <t>viernes</t>
        </is>
      </c>
      <c r="E343" s="4" t="n">
        <v>2248</v>
      </c>
      <c r="F343" s="4" t="inlineStr">
        <is>
          <t>LIM</t>
        </is>
      </c>
      <c r="G343" s="4" t="inlineStr">
        <is>
          <t>CUZ</t>
        </is>
      </c>
      <c r="H343" s="4" t="inlineStr">
        <is>
          <t>15:00:00</t>
        </is>
      </c>
      <c r="I343" s="4" t="inlineStr">
        <is>
          <t>16:20:00</t>
        </is>
      </c>
      <c r="J343" s="4" t="n">
        <v>320</v>
      </c>
      <c r="L343" s="4" t="inlineStr">
        <is>
          <t>01:20:00</t>
        </is>
      </c>
      <c r="M343" s="5" t="n"/>
      <c r="N343" s="6" t="n"/>
      <c r="O343" s="5" t="n"/>
      <c r="Q343" s="4">
        <f>B343</f>
        <v/>
      </c>
      <c r="R343" s="4">
        <f>C343</f>
        <v/>
      </c>
      <c r="S343" s="4">
        <f>D343</f>
        <v/>
      </c>
      <c r="T343" s="4">
        <f>E343&amp;"/"&amp;E344</f>
        <v/>
      </c>
      <c r="U343" s="4">
        <f>F343&amp;"-"&amp;G343&amp;"-"&amp;F343</f>
        <v/>
      </c>
      <c r="V343" s="4">
        <f>IF($M$343="","",$M$343)</f>
        <v/>
      </c>
      <c r="W343" s="4">
        <f>IF($O$343="","",$O$343)</f>
        <v/>
      </c>
      <c r="X343" s="4">
        <f>J343</f>
        <v/>
      </c>
    </row>
    <row r="344">
      <c r="B344" s="4" t="n">
        <v>404</v>
      </c>
      <c r="C344" s="4" t="inlineStr">
        <is>
          <t>04/09/2026</t>
        </is>
      </c>
      <c r="D344" s="4" t="inlineStr">
        <is>
          <t>viernes</t>
        </is>
      </c>
      <c r="E344" s="4" t="n">
        <v>2249</v>
      </c>
      <c r="F344" s="4" t="inlineStr">
        <is>
          <t>CUZ</t>
        </is>
      </c>
      <c r="G344" s="4" t="inlineStr">
        <is>
          <t>LIM</t>
        </is>
      </c>
      <c r="H344" s="4" t="inlineStr">
        <is>
          <t>17:00:00</t>
        </is>
      </c>
      <c r="I344" s="4" t="inlineStr">
        <is>
          <t>18:35:00</t>
        </is>
      </c>
      <c r="J344" s="4" t="n">
        <v>320</v>
      </c>
      <c r="K344">
        <f>TEXT(TIMEVALUE(H344)-TIMEVALUE(I343)+(TIMEVALUE(H344)&lt;TIMEVALUE(I343)),"[h]:mm")</f>
        <v/>
      </c>
      <c r="L344" s="4" t="inlineStr">
        <is>
          <t>01:35:00</t>
        </is>
      </c>
      <c r="O344">
        <f>"LIM-"&amp;G343&amp;"-LIM   LA "&amp;E343&amp;" ("&amp;LEFT(H343,5)&amp;"-"&amp;LEFT(I343,5)&amp;" hrs)  /  LA "&amp;E344&amp;" ("&amp;LEFT(H344,5)&amp;"-"&amp;LEFT(I344,5)&amp;" hrs)"</f>
        <v/>
      </c>
    </row>
    <row r="345">
      <c r="J345" s="8" t="inlineStr">
        <is>
          <t>PSV total:</t>
        </is>
      </c>
      <c r="K345" s="9">
        <f>TEXT(TIMEVALUE(I344)-TIMEVALUE(H343)+(I344&lt;H343),"[h]:mm")</f>
        <v/>
      </c>
    </row>
    <row r="347">
      <c r="B347" s="3" t="inlineStr">
        <is>
          <t>Pairing ID</t>
        </is>
      </c>
      <c r="C347" s="3" t="inlineStr">
        <is>
          <t>FECHA REAL</t>
        </is>
      </c>
      <c r="D347" s="3" t="inlineStr">
        <is>
          <t>Day of Week</t>
        </is>
      </c>
      <c r="E347" s="3" t="inlineStr">
        <is>
          <t>Flight No</t>
        </is>
      </c>
      <c r="F347" s="3" t="inlineStr">
        <is>
          <t>Dep Stn</t>
        </is>
      </c>
      <c r="G347" s="3" t="inlineStr">
        <is>
          <t>Arr Stn</t>
        </is>
      </c>
      <c r="H347" s="3" t="inlineStr">
        <is>
          <t>STD</t>
        </is>
      </c>
      <c r="I347" s="3" t="inlineStr">
        <is>
          <t>STA</t>
        </is>
      </c>
      <c r="J347" s="3" t="inlineStr">
        <is>
          <t>subflota</t>
        </is>
      </c>
      <c r="K347" s="3" t="inlineStr">
        <is>
          <t>Conexion</t>
        </is>
      </c>
      <c r="L347" s="3" t="inlineStr">
        <is>
          <t>HBT</t>
        </is>
      </c>
    </row>
    <row r="348">
      <c r="B348" s="4" t="n">
        <v>405</v>
      </c>
      <c r="C348" s="4" t="inlineStr">
        <is>
          <t>04/09/2026</t>
        </is>
      </c>
      <c r="D348" s="4" t="inlineStr">
        <is>
          <t>viernes</t>
        </is>
      </c>
      <c r="E348" s="4" t="n">
        <v>2113</v>
      </c>
      <c r="F348" s="4" t="inlineStr">
        <is>
          <t>LIM</t>
        </is>
      </c>
      <c r="G348" s="4" t="inlineStr">
        <is>
          <t>AQP</t>
        </is>
      </c>
      <c r="H348" s="4" t="inlineStr">
        <is>
          <t>15:05:00</t>
        </is>
      </c>
      <c r="I348" s="4" t="inlineStr">
        <is>
          <t>16:35:00</t>
        </is>
      </c>
      <c r="J348" s="4" t="n">
        <v>319</v>
      </c>
      <c r="L348" s="4" t="inlineStr">
        <is>
          <t>01:30:00</t>
        </is>
      </c>
      <c r="M348" s="5" t="n"/>
      <c r="N348" s="6" t="n"/>
      <c r="O348" s="5" t="n"/>
      <c r="Q348" s="4">
        <f>B348</f>
        <v/>
      </c>
      <c r="R348" s="4">
        <f>C348</f>
        <v/>
      </c>
      <c r="S348" s="4">
        <f>D348</f>
        <v/>
      </c>
      <c r="T348" s="4">
        <f>E348&amp;"/"&amp;E349</f>
        <v/>
      </c>
      <c r="U348" s="4">
        <f>F348&amp;"-"&amp;G348&amp;"-"&amp;F348</f>
        <v/>
      </c>
      <c r="V348" s="4">
        <f>IF($M$348="","",$M$348)</f>
        <v/>
      </c>
      <c r="W348" s="4">
        <f>IF($O$348="","",$O$348)</f>
        <v/>
      </c>
      <c r="X348" s="4">
        <f>J348</f>
        <v/>
      </c>
    </row>
    <row r="349">
      <c r="B349" s="4" t="n">
        <v>405</v>
      </c>
      <c r="C349" s="4" t="inlineStr">
        <is>
          <t>04/09/2026</t>
        </is>
      </c>
      <c r="D349" s="4" t="inlineStr">
        <is>
          <t>viernes</t>
        </is>
      </c>
      <c r="E349" s="4" t="n">
        <v>2112</v>
      </c>
      <c r="F349" s="4" t="inlineStr">
        <is>
          <t>AQP</t>
        </is>
      </c>
      <c r="G349" s="4" t="inlineStr">
        <is>
          <t>LIM</t>
        </is>
      </c>
      <c r="H349" s="4" t="inlineStr">
        <is>
          <t>17:15:00</t>
        </is>
      </c>
      <c r="I349" s="4" t="inlineStr">
        <is>
          <t>18:55:00</t>
        </is>
      </c>
      <c r="J349" s="4" t="n">
        <v>319</v>
      </c>
      <c r="K349">
        <f>TEXT(TIMEVALUE(H349)-TIMEVALUE(I348)+(TIMEVALUE(H349)&lt;TIMEVALUE(I348)),"[h]:mm")</f>
        <v/>
      </c>
      <c r="L349" s="4" t="inlineStr">
        <is>
          <t>01:40:00</t>
        </is>
      </c>
      <c r="O349">
        <f>"LIM-"&amp;G348&amp;"-LIM   LA "&amp;E348&amp;" ("&amp;LEFT(H348,5)&amp;"-"&amp;LEFT(I348,5)&amp;" hrs)  /  LA "&amp;E349&amp;" ("&amp;LEFT(H349,5)&amp;"-"&amp;LEFT(I349,5)&amp;" hrs)"</f>
        <v/>
      </c>
    </row>
    <row r="350">
      <c r="J350" s="8" t="inlineStr">
        <is>
          <t>PSV total:</t>
        </is>
      </c>
      <c r="K350" s="9">
        <f>TEXT(TIMEVALUE(I349)-TIMEVALUE(H348)+(I349&lt;H348),"[h]:mm")</f>
        <v/>
      </c>
    </row>
    <row r="352">
      <c r="B352" s="3" t="inlineStr">
        <is>
          <t>Pairing ID</t>
        </is>
      </c>
      <c r="C352" s="3" t="inlineStr">
        <is>
          <t>FECHA REAL</t>
        </is>
      </c>
      <c r="D352" s="3" t="inlineStr">
        <is>
          <t>Day of Week</t>
        </is>
      </c>
      <c r="E352" s="3" t="inlineStr">
        <is>
          <t>Flight No</t>
        </is>
      </c>
      <c r="F352" s="3" t="inlineStr">
        <is>
          <t>Dep Stn</t>
        </is>
      </c>
      <c r="G352" s="3" t="inlineStr">
        <is>
          <t>Arr Stn</t>
        </is>
      </c>
      <c r="H352" s="3" t="inlineStr">
        <is>
          <t>STD</t>
        </is>
      </c>
      <c r="I352" s="3" t="inlineStr">
        <is>
          <t>STA</t>
        </is>
      </c>
      <c r="J352" s="3" t="inlineStr">
        <is>
          <t>subflota</t>
        </is>
      </c>
      <c r="K352" s="3" t="inlineStr">
        <is>
          <t>Conexion</t>
        </is>
      </c>
      <c r="L352" s="3" t="inlineStr">
        <is>
          <t>HBT</t>
        </is>
      </c>
    </row>
    <row r="353">
      <c r="B353" s="4" t="n">
        <v>407</v>
      </c>
      <c r="C353" s="4" t="inlineStr">
        <is>
          <t>04/09/2026</t>
        </is>
      </c>
      <c r="D353" s="4" t="inlineStr">
        <is>
          <t>viernes</t>
        </is>
      </c>
      <c r="E353" s="4" t="n">
        <v>2297</v>
      </c>
      <c r="F353" s="4" t="inlineStr">
        <is>
          <t>LIM</t>
        </is>
      </c>
      <c r="G353" s="4" t="inlineStr">
        <is>
          <t>CJA</t>
        </is>
      </c>
      <c r="H353" s="4" t="inlineStr">
        <is>
          <t>15:15:00</t>
        </is>
      </c>
      <c r="I353" s="4" t="inlineStr">
        <is>
          <t>16:35:00</t>
        </is>
      </c>
      <c r="J353" s="4" t="n">
        <v>320</v>
      </c>
      <c r="L353" s="4" t="inlineStr">
        <is>
          <t>01:20:00</t>
        </is>
      </c>
      <c r="M353" s="5" t="n"/>
      <c r="N353" s="6" t="n"/>
      <c r="O353" s="5" t="n"/>
      <c r="Q353" s="4">
        <f>B353</f>
        <v/>
      </c>
      <c r="R353" s="4">
        <f>C353</f>
        <v/>
      </c>
      <c r="S353" s="4">
        <f>D353</f>
        <v/>
      </c>
      <c r="T353" s="4">
        <f>E353&amp;"/"&amp;E354</f>
        <v/>
      </c>
      <c r="U353" s="4">
        <f>F353&amp;"-"&amp;G353&amp;"-"&amp;F353</f>
        <v/>
      </c>
      <c r="V353" s="4">
        <f>IF($M$353="","",$M$353)</f>
        <v/>
      </c>
      <c r="W353" s="4">
        <f>IF($O$353="","",$O$353)</f>
        <v/>
      </c>
      <c r="X353" s="4">
        <f>J353</f>
        <v/>
      </c>
    </row>
    <row r="354">
      <c r="B354" s="4" t="n">
        <v>407</v>
      </c>
      <c r="C354" s="4" t="inlineStr">
        <is>
          <t>04/09/2026</t>
        </is>
      </c>
      <c r="D354" s="4" t="inlineStr">
        <is>
          <t>viernes</t>
        </is>
      </c>
      <c r="E354" s="4" t="n">
        <v>2296</v>
      </c>
      <c r="F354" s="4" t="inlineStr">
        <is>
          <t>CJA</t>
        </is>
      </c>
      <c r="G354" s="4" t="inlineStr">
        <is>
          <t>LIM</t>
        </is>
      </c>
      <c r="H354" s="4" t="inlineStr">
        <is>
          <t>17:20:00</t>
        </is>
      </c>
      <c r="I354" s="4" t="inlineStr">
        <is>
          <t>18:25:00</t>
        </is>
      </c>
      <c r="J354" s="4" t="n">
        <v>320</v>
      </c>
      <c r="K354">
        <f>TEXT(TIMEVALUE(H354)-TIMEVALUE(I353)+(TIMEVALUE(H354)&lt;TIMEVALUE(I353)),"[h]:mm")</f>
        <v/>
      </c>
      <c r="L354" s="4" t="inlineStr">
        <is>
          <t>01:05:00</t>
        </is>
      </c>
      <c r="O354">
        <f>"LIM-"&amp;G353&amp;"-LIM   LA "&amp;E353&amp;" ("&amp;LEFT(H353,5)&amp;"-"&amp;LEFT(I353,5)&amp;" hrs)  /  LA "&amp;E354&amp;" ("&amp;LEFT(H354,5)&amp;"-"&amp;LEFT(I354,5)&amp;" hrs)"</f>
        <v/>
      </c>
    </row>
    <row r="355">
      <c r="J355" s="8" t="inlineStr">
        <is>
          <t>PSV total:</t>
        </is>
      </c>
      <c r="K355" s="9">
        <f>TEXT(TIMEVALUE(I354)-TIMEVALUE(H353)+(I354&lt;H353),"[h]:mm")</f>
        <v/>
      </c>
    </row>
    <row r="357">
      <c r="B357" s="3" t="inlineStr">
        <is>
          <t>Pairing ID</t>
        </is>
      </c>
      <c r="C357" s="3" t="inlineStr">
        <is>
          <t>FECHA REAL</t>
        </is>
      </c>
      <c r="D357" s="3" t="inlineStr">
        <is>
          <t>Day of Week</t>
        </is>
      </c>
      <c r="E357" s="3" t="inlineStr">
        <is>
          <t>Flight No</t>
        </is>
      </c>
      <c r="F357" s="3" t="inlineStr">
        <is>
          <t>Dep Stn</t>
        </is>
      </c>
      <c r="G357" s="3" t="inlineStr">
        <is>
          <t>Arr Stn</t>
        </is>
      </c>
      <c r="H357" s="3" t="inlineStr">
        <is>
          <t>STD</t>
        </is>
      </c>
      <c r="I357" s="3" t="inlineStr">
        <is>
          <t>STA</t>
        </is>
      </c>
      <c r="J357" s="3" t="inlineStr">
        <is>
          <t>subflota</t>
        </is>
      </c>
      <c r="K357" s="3" t="inlineStr">
        <is>
          <t>Conexion</t>
        </is>
      </c>
      <c r="L357" s="3" t="inlineStr">
        <is>
          <t>HBT</t>
        </is>
      </c>
    </row>
    <row r="358">
      <c r="B358" s="4" t="n">
        <v>408</v>
      </c>
      <c r="C358" s="4" t="inlineStr">
        <is>
          <t>04/09/2026</t>
        </is>
      </c>
      <c r="D358" s="4" t="inlineStr">
        <is>
          <t>viernes</t>
        </is>
      </c>
      <c r="E358" s="4" t="n">
        <v>2297</v>
      </c>
      <c r="F358" s="4" t="inlineStr">
        <is>
          <t>LIM</t>
        </is>
      </c>
      <c r="G358" s="4" t="inlineStr">
        <is>
          <t>CJA</t>
        </is>
      </c>
      <c r="H358" s="4" t="inlineStr">
        <is>
          <t>15:15:00</t>
        </is>
      </c>
      <c r="I358" s="4" t="inlineStr">
        <is>
          <t>16:35:00</t>
        </is>
      </c>
      <c r="J358" s="4" t="n">
        <v>320</v>
      </c>
      <c r="L358" s="4" t="inlineStr">
        <is>
          <t>01:20:00</t>
        </is>
      </c>
      <c r="M358" s="5" t="n"/>
      <c r="N358" s="6" t="n"/>
      <c r="O358" s="5" t="n"/>
      <c r="Q358" s="4">
        <f>B358</f>
        <v/>
      </c>
      <c r="R358" s="4">
        <f>C358</f>
        <v/>
      </c>
      <c r="S358" s="4">
        <f>D358</f>
        <v/>
      </c>
      <c r="T358" s="4">
        <f>E358&amp;"/"&amp;E359</f>
        <v/>
      </c>
      <c r="U358" s="4">
        <f>F358&amp;"-"&amp;G358&amp;"-"&amp;F358</f>
        <v/>
      </c>
      <c r="V358" s="4">
        <f>IF($M$358="","",$M$358)</f>
        <v/>
      </c>
      <c r="W358" s="4">
        <f>IF($O$358="","",$O$358)</f>
        <v/>
      </c>
      <c r="X358" s="4">
        <f>J358</f>
        <v/>
      </c>
    </row>
    <row r="359">
      <c r="B359" s="4" t="n">
        <v>408</v>
      </c>
      <c r="C359" s="4" t="inlineStr">
        <is>
          <t>04/09/2026</t>
        </is>
      </c>
      <c r="D359" s="4" t="inlineStr">
        <is>
          <t>viernes</t>
        </is>
      </c>
      <c r="E359" s="4" t="n">
        <v>2296</v>
      </c>
      <c r="F359" s="4" t="inlineStr">
        <is>
          <t>CJA</t>
        </is>
      </c>
      <c r="G359" s="4" t="inlineStr">
        <is>
          <t>LIM</t>
        </is>
      </c>
      <c r="H359" s="4" t="inlineStr">
        <is>
          <t>17:20:00</t>
        </is>
      </c>
      <c r="I359" s="4" t="inlineStr">
        <is>
          <t>18:25:00</t>
        </is>
      </c>
      <c r="J359" s="4" t="n">
        <v>320</v>
      </c>
      <c r="K359">
        <f>TEXT(TIMEVALUE(H359)-TIMEVALUE(I358)+(TIMEVALUE(H359)&lt;TIMEVALUE(I358)),"[h]:mm")</f>
        <v/>
      </c>
      <c r="L359" s="4" t="inlineStr">
        <is>
          <t>01:05:00</t>
        </is>
      </c>
      <c r="O359">
        <f>"LIM-"&amp;G358&amp;"-LIM   LA "&amp;E358&amp;" ("&amp;LEFT(H358,5)&amp;"-"&amp;LEFT(I358,5)&amp;" hrs)  /  LA "&amp;E359&amp;" ("&amp;LEFT(H359,5)&amp;"-"&amp;LEFT(I359,5)&amp;" hrs)"</f>
        <v/>
      </c>
    </row>
    <row r="360">
      <c r="J360" s="8" t="inlineStr">
        <is>
          <t>PSV total:</t>
        </is>
      </c>
      <c r="K360" s="9">
        <f>TEXT(TIMEVALUE(I359)-TIMEVALUE(H358)+(I359&lt;H358),"[h]:mm")</f>
        <v/>
      </c>
    </row>
    <row r="362">
      <c r="B362" s="3" t="inlineStr">
        <is>
          <t>Pairing ID</t>
        </is>
      </c>
      <c r="C362" s="3" t="inlineStr">
        <is>
          <t>FECHA REAL</t>
        </is>
      </c>
      <c r="D362" s="3" t="inlineStr">
        <is>
          <t>Day of Week</t>
        </is>
      </c>
      <c r="E362" s="3" t="inlineStr">
        <is>
          <t>Flight No</t>
        </is>
      </c>
      <c r="F362" s="3" t="inlineStr">
        <is>
          <t>Dep Stn</t>
        </is>
      </c>
      <c r="G362" s="3" t="inlineStr">
        <is>
          <t>Arr Stn</t>
        </is>
      </c>
      <c r="H362" s="3" t="inlineStr">
        <is>
          <t>STD</t>
        </is>
      </c>
      <c r="I362" s="3" t="inlineStr">
        <is>
          <t>STA</t>
        </is>
      </c>
      <c r="J362" s="3" t="inlineStr">
        <is>
          <t>subflota</t>
        </is>
      </c>
      <c r="K362" s="3" t="inlineStr">
        <is>
          <t>Conexion</t>
        </is>
      </c>
      <c r="L362" s="3" t="inlineStr">
        <is>
          <t>HBT</t>
        </is>
      </c>
    </row>
    <row r="363">
      <c r="B363" s="4" t="n">
        <v>409</v>
      </c>
      <c r="C363" s="4" t="inlineStr">
        <is>
          <t>04/09/2026</t>
        </is>
      </c>
      <c r="D363" s="4" t="inlineStr">
        <is>
          <t>viernes</t>
        </is>
      </c>
      <c r="E363" s="4" t="n">
        <v>2360</v>
      </c>
      <c r="F363" s="4" t="inlineStr">
        <is>
          <t>LIM</t>
        </is>
      </c>
      <c r="G363" s="4" t="inlineStr">
        <is>
          <t>PCL</t>
        </is>
      </c>
      <c r="H363" s="4" t="inlineStr">
        <is>
          <t>15:25:00</t>
        </is>
      </c>
      <c r="I363" s="4" t="inlineStr">
        <is>
          <t>16:40:00</t>
        </is>
      </c>
      <c r="J363" s="4" t="n">
        <v>320</v>
      </c>
      <c r="L363" s="4" t="inlineStr">
        <is>
          <t>01:15:00</t>
        </is>
      </c>
      <c r="M363" s="5" t="n"/>
      <c r="N363" s="6" t="n"/>
      <c r="O363" s="5" t="n"/>
      <c r="Q363" s="4">
        <f>B363</f>
        <v/>
      </c>
      <c r="R363" s="4">
        <f>C363</f>
        <v/>
      </c>
      <c r="S363" s="4">
        <f>D363</f>
        <v/>
      </c>
      <c r="T363" s="4">
        <f>E363&amp;"/"&amp;E364</f>
        <v/>
      </c>
      <c r="U363" s="4">
        <f>F363&amp;"-"&amp;G363&amp;"-"&amp;F363</f>
        <v/>
      </c>
      <c r="V363" s="4">
        <f>IF($M$363="","",$M$363)</f>
        <v/>
      </c>
      <c r="W363" s="4">
        <f>IF($O$363="","",$O$363)</f>
        <v/>
      </c>
      <c r="X363" s="4">
        <f>J363</f>
        <v/>
      </c>
    </row>
    <row r="364">
      <c r="B364" s="4" t="n">
        <v>409</v>
      </c>
      <c r="C364" s="4" t="inlineStr">
        <is>
          <t>04/09/2026</t>
        </is>
      </c>
      <c r="D364" s="4" t="inlineStr">
        <is>
          <t>viernes</t>
        </is>
      </c>
      <c r="E364" s="4" t="n">
        <v>2361</v>
      </c>
      <c r="F364" s="4" t="inlineStr">
        <is>
          <t>PCL</t>
        </is>
      </c>
      <c r="G364" s="4" t="inlineStr">
        <is>
          <t>LIM</t>
        </is>
      </c>
      <c r="H364" s="4" t="inlineStr">
        <is>
          <t>17:20:00</t>
        </is>
      </c>
      <c r="I364" s="4" t="inlineStr">
        <is>
          <t>18:35:00</t>
        </is>
      </c>
      <c r="J364" s="4" t="n">
        <v>320</v>
      </c>
      <c r="K364">
        <f>TEXT(TIMEVALUE(H364)-TIMEVALUE(I363)+(TIMEVALUE(H364)&lt;TIMEVALUE(I363)),"[h]:mm")</f>
        <v/>
      </c>
      <c r="L364" s="4" t="inlineStr">
        <is>
          <t>01:15:00</t>
        </is>
      </c>
      <c r="O364">
        <f>"LIM-"&amp;G363&amp;"-LIM   LA "&amp;E363&amp;" ("&amp;LEFT(H363,5)&amp;"-"&amp;LEFT(I363,5)&amp;" hrs)  /  LA "&amp;E364&amp;" ("&amp;LEFT(H364,5)&amp;"-"&amp;LEFT(I364,5)&amp;" hrs)"</f>
        <v/>
      </c>
    </row>
    <row r="365">
      <c r="J365" s="8" t="inlineStr">
        <is>
          <t>PSV total:</t>
        </is>
      </c>
      <c r="K365" s="9">
        <f>TEXT(TIMEVALUE(I364)-TIMEVALUE(H363)+(I364&lt;H363),"[h]:mm")</f>
        <v/>
      </c>
    </row>
    <row r="367">
      <c r="B367" s="3" t="inlineStr">
        <is>
          <t>Pairing ID</t>
        </is>
      </c>
      <c r="C367" s="3" t="inlineStr">
        <is>
          <t>FECHA REAL</t>
        </is>
      </c>
      <c r="D367" s="3" t="inlineStr">
        <is>
          <t>Day of Week</t>
        </is>
      </c>
      <c r="E367" s="3" t="inlineStr">
        <is>
          <t>Flight No</t>
        </is>
      </c>
      <c r="F367" s="3" t="inlineStr">
        <is>
          <t>Dep Stn</t>
        </is>
      </c>
      <c r="G367" s="3" t="inlineStr">
        <is>
          <t>Arr Stn</t>
        </is>
      </c>
      <c r="H367" s="3" t="inlineStr">
        <is>
          <t>STD</t>
        </is>
      </c>
      <c r="I367" s="3" t="inlineStr">
        <is>
          <t>STA</t>
        </is>
      </c>
      <c r="J367" s="3" t="inlineStr">
        <is>
          <t>subflota</t>
        </is>
      </c>
      <c r="K367" s="3" t="inlineStr">
        <is>
          <t>Conexion</t>
        </is>
      </c>
      <c r="L367" s="3" t="inlineStr">
        <is>
          <t>HBT</t>
        </is>
      </c>
    </row>
    <row r="368">
      <c r="B368" s="4" t="n">
        <v>410</v>
      </c>
      <c r="C368" s="4" t="inlineStr">
        <is>
          <t>04/09/2026</t>
        </is>
      </c>
      <c r="D368" s="4" t="inlineStr">
        <is>
          <t>viernes</t>
        </is>
      </c>
      <c r="E368" s="4" t="n">
        <v>2312</v>
      </c>
      <c r="F368" s="4" t="inlineStr">
        <is>
          <t>LIM</t>
        </is>
      </c>
      <c r="G368" s="4" t="inlineStr">
        <is>
          <t>CIX</t>
        </is>
      </c>
      <c r="H368" s="4" t="inlineStr">
        <is>
          <t>15:35:00</t>
        </is>
      </c>
      <c r="I368" s="4" t="inlineStr">
        <is>
          <t>17:05:00</t>
        </is>
      </c>
      <c r="J368" s="4" t="n">
        <v>320</v>
      </c>
      <c r="L368" s="4" t="inlineStr">
        <is>
          <t>01:30:00</t>
        </is>
      </c>
      <c r="M368" s="5" t="n"/>
      <c r="N368" s="6" t="n"/>
      <c r="O368" s="5" t="n"/>
      <c r="Q368" s="4">
        <f>B368</f>
        <v/>
      </c>
      <c r="R368" s="4">
        <f>C368</f>
        <v/>
      </c>
      <c r="S368" s="4">
        <f>D368</f>
        <v/>
      </c>
      <c r="T368" s="4">
        <f>E368&amp;"/"&amp;E369</f>
        <v/>
      </c>
      <c r="U368" s="4">
        <f>F368&amp;"-"&amp;G368&amp;"-"&amp;F368</f>
        <v/>
      </c>
      <c r="V368" s="4">
        <f>IF($M$368="","",$M$368)</f>
        <v/>
      </c>
      <c r="W368" s="4">
        <f>IF($O$368="","",$O$368)</f>
        <v/>
      </c>
      <c r="X368" s="4">
        <f>J368</f>
        <v/>
      </c>
    </row>
    <row r="369">
      <c r="B369" s="4" t="n">
        <v>410</v>
      </c>
      <c r="C369" s="4" t="inlineStr">
        <is>
          <t>04/09/2026</t>
        </is>
      </c>
      <c r="D369" s="4" t="inlineStr">
        <is>
          <t>viernes</t>
        </is>
      </c>
      <c r="E369" s="4" t="n">
        <v>2313</v>
      </c>
      <c r="F369" s="4" t="inlineStr">
        <is>
          <t>CIX</t>
        </is>
      </c>
      <c r="G369" s="4" t="inlineStr">
        <is>
          <t>LIM</t>
        </is>
      </c>
      <c r="H369" s="4" t="inlineStr">
        <is>
          <t>17:50:00</t>
        </is>
      </c>
      <c r="I369" s="4" t="inlineStr">
        <is>
          <t>19:10:00</t>
        </is>
      </c>
      <c r="J369" s="4" t="n">
        <v>320</v>
      </c>
      <c r="K369">
        <f>TEXT(TIMEVALUE(H369)-TIMEVALUE(I368)+(TIMEVALUE(H369)&lt;TIMEVALUE(I368)),"[h]:mm")</f>
        <v/>
      </c>
      <c r="L369" s="4" t="inlineStr">
        <is>
          <t>01:20:00</t>
        </is>
      </c>
      <c r="O369">
        <f>"LIM-"&amp;G368&amp;"-LIM   LA "&amp;E368&amp;" ("&amp;LEFT(H368,5)&amp;"-"&amp;LEFT(I368,5)&amp;" hrs)  /  LA "&amp;E369&amp;" ("&amp;LEFT(H369,5)&amp;"-"&amp;LEFT(I369,5)&amp;" hrs)"</f>
        <v/>
      </c>
    </row>
    <row r="370">
      <c r="J370" s="8" t="inlineStr">
        <is>
          <t>PSV total:</t>
        </is>
      </c>
      <c r="K370" s="9">
        <f>TEXT(TIMEVALUE(I369)-TIMEVALUE(H368)+(I369&lt;H368),"[h]:mm")</f>
        <v/>
      </c>
    </row>
    <row r="372">
      <c r="B372" s="3" t="inlineStr">
        <is>
          <t>Pairing ID</t>
        </is>
      </c>
      <c r="C372" s="3" t="inlineStr">
        <is>
          <t>FECHA REAL</t>
        </is>
      </c>
      <c r="D372" s="3" t="inlineStr">
        <is>
          <t>Day of Week</t>
        </is>
      </c>
      <c r="E372" s="3" t="inlineStr">
        <is>
          <t>Flight No</t>
        </is>
      </c>
      <c r="F372" s="3" t="inlineStr">
        <is>
          <t>Dep Stn</t>
        </is>
      </c>
      <c r="G372" s="3" t="inlineStr">
        <is>
          <t>Arr Stn</t>
        </is>
      </c>
      <c r="H372" s="3" t="inlineStr">
        <is>
          <t>STD</t>
        </is>
      </c>
      <c r="I372" s="3" t="inlineStr">
        <is>
          <t>STA</t>
        </is>
      </c>
      <c r="J372" s="3" t="inlineStr">
        <is>
          <t>subflota</t>
        </is>
      </c>
      <c r="K372" s="3" t="inlineStr">
        <is>
          <t>Conexion</t>
        </is>
      </c>
      <c r="L372" s="3" t="inlineStr">
        <is>
          <t>HBT</t>
        </is>
      </c>
    </row>
    <row r="373">
      <c r="B373" s="4" t="n">
        <v>411</v>
      </c>
      <c r="C373" s="4" t="inlineStr">
        <is>
          <t>04/09/2026</t>
        </is>
      </c>
      <c r="D373" s="4" t="inlineStr">
        <is>
          <t>viernes</t>
        </is>
      </c>
      <c r="E373" s="4" t="n">
        <v>2301</v>
      </c>
      <c r="F373" s="4" t="inlineStr">
        <is>
          <t>LIM</t>
        </is>
      </c>
      <c r="G373" s="4" t="inlineStr">
        <is>
          <t>TPP</t>
        </is>
      </c>
      <c r="H373" s="4" t="inlineStr">
        <is>
          <t>15:40:00</t>
        </is>
      </c>
      <c r="I373" s="4" t="inlineStr">
        <is>
          <t>17:05:00</t>
        </is>
      </c>
      <c r="J373" s="4" t="n">
        <v>320</v>
      </c>
      <c r="L373" s="4" t="inlineStr">
        <is>
          <t>01:25:00</t>
        </is>
      </c>
      <c r="M373" s="5" t="n"/>
      <c r="N373" s="6" t="n"/>
      <c r="O373" s="5" t="n"/>
      <c r="Q373" s="4">
        <f>B373</f>
        <v/>
      </c>
      <c r="R373" s="4">
        <f>C373</f>
        <v/>
      </c>
      <c r="S373" s="4">
        <f>D373</f>
        <v/>
      </c>
      <c r="T373" s="4">
        <f>E373&amp;"/"&amp;E374</f>
        <v/>
      </c>
      <c r="U373" s="4">
        <f>F373&amp;"-"&amp;G373&amp;"-"&amp;F373</f>
        <v/>
      </c>
      <c r="V373" s="4">
        <f>IF($M$373="","",$M$373)</f>
        <v/>
      </c>
      <c r="W373" s="4">
        <f>IF($O$373="","",$O$373)</f>
        <v/>
      </c>
      <c r="X373" s="4">
        <f>J373</f>
        <v/>
      </c>
    </row>
    <row r="374">
      <c r="B374" s="4" t="n">
        <v>411</v>
      </c>
      <c r="C374" s="4" t="inlineStr">
        <is>
          <t>04/09/2026</t>
        </is>
      </c>
      <c r="D374" s="4" t="inlineStr">
        <is>
          <t>viernes</t>
        </is>
      </c>
      <c r="E374" s="4" t="n">
        <v>2300</v>
      </c>
      <c r="F374" s="4" t="inlineStr">
        <is>
          <t>TPP</t>
        </is>
      </c>
      <c r="G374" s="4" t="inlineStr">
        <is>
          <t>LIM</t>
        </is>
      </c>
      <c r="H374" s="4" t="inlineStr">
        <is>
          <t>17:50:00</t>
        </is>
      </c>
      <c r="I374" s="4" t="inlineStr">
        <is>
          <t>19:15:00</t>
        </is>
      </c>
      <c r="J374" s="4" t="n">
        <v>320</v>
      </c>
      <c r="K374">
        <f>TEXT(TIMEVALUE(H374)-TIMEVALUE(I373)+(TIMEVALUE(H374)&lt;TIMEVALUE(I373)),"[h]:mm")</f>
        <v/>
      </c>
      <c r="L374" s="4" t="inlineStr">
        <is>
          <t>01:25:00</t>
        </is>
      </c>
      <c r="O374">
        <f>"LIM-"&amp;G373&amp;"-LIM   LA "&amp;E373&amp;" ("&amp;LEFT(H373,5)&amp;"-"&amp;LEFT(I373,5)&amp;" hrs)  /  LA "&amp;E374&amp;" ("&amp;LEFT(H374,5)&amp;"-"&amp;LEFT(I374,5)&amp;" hrs)"</f>
        <v/>
      </c>
    </row>
    <row r="375">
      <c r="J375" s="8" t="inlineStr">
        <is>
          <t>PSV total:</t>
        </is>
      </c>
      <c r="K375" s="9">
        <f>TEXT(TIMEVALUE(I374)-TIMEVALUE(H373)+(I374&lt;H373),"[h]:mm")</f>
        <v/>
      </c>
    </row>
    <row r="377">
      <c r="B377" s="3" t="inlineStr">
        <is>
          <t>Pairing ID</t>
        </is>
      </c>
      <c r="C377" s="3" t="inlineStr">
        <is>
          <t>FECHA REAL</t>
        </is>
      </c>
      <c r="D377" s="3" t="inlineStr">
        <is>
          <t>Day of Week</t>
        </is>
      </c>
      <c r="E377" s="3" t="inlineStr">
        <is>
          <t>Flight No</t>
        </is>
      </c>
      <c r="F377" s="3" t="inlineStr">
        <is>
          <t>Dep Stn</t>
        </is>
      </c>
      <c r="G377" s="3" t="inlineStr">
        <is>
          <t>Arr Stn</t>
        </is>
      </c>
      <c r="H377" s="3" t="inlineStr">
        <is>
          <t>STD</t>
        </is>
      </c>
      <c r="I377" s="3" t="inlineStr">
        <is>
          <t>STA</t>
        </is>
      </c>
      <c r="J377" s="3" t="inlineStr">
        <is>
          <t>subflota</t>
        </is>
      </c>
      <c r="K377" s="3" t="inlineStr">
        <is>
          <t>Conexion</t>
        </is>
      </c>
      <c r="L377" s="3" t="inlineStr">
        <is>
          <t>HBT</t>
        </is>
      </c>
    </row>
    <row r="378">
      <c r="B378" s="4" t="n">
        <v>412</v>
      </c>
      <c r="C378" s="4" t="inlineStr">
        <is>
          <t>04/09/2026</t>
        </is>
      </c>
      <c r="D378" s="4" t="inlineStr">
        <is>
          <t>viernes</t>
        </is>
      </c>
      <c r="E378" s="4" t="n">
        <v>2301</v>
      </c>
      <c r="F378" s="4" t="inlineStr">
        <is>
          <t>LIM</t>
        </is>
      </c>
      <c r="G378" s="4" t="inlineStr">
        <is>
          <t>TPP</t>
        </is>
      </c>
      <c r="H378" s="4" t="inlineStr">
        <is>
          <t>15:40:00</t>
        </is>
      </c>
      <c r="I378" s="4" t="inlineStr">
        <is>
          <t>17:05:00</t>
        </is>
      </c>
      <c r="J378" s="4" t="n">
        <v>320</v>
      </c>
      <c r="L378" s="4" t="inlineStr">
        <is>
          <t>01:25:00</t>
        </is>
      </c>
      <c r="M378" s="5" t="n"/>
      <c r="N378" s="6" t="n"/>
      <c r="O378" s="5" t="n"/>
      <c r="Q378" s="4">
        <f>B378</f>
        <v/>
      </c>
      <c r="R378" s="4">
        <f>C378</f>
        <v/>
      </c>
      <c r="S378" s="4">
        <f>D378</f>
        <v/>
      </c>
      <c r="T378" s="4">
        <f>E378&amp;"/"&amp;E379</f>
        <v/>
      </c>
      <c r="U378" s="4">
        <f>F378&amp;"-"&amp;G378&amp;"-"&amp;F378</f>
        <v/>
      </c>
      <c r="V378" s="4">
        <f>IF($M$378="","",$M$378)</f>
        <v/>
      </c>
      <c r="W378" s="4">
        <f>IF($O$378="","",$O$378)</f>
        <v/>
      </c>
      <c r="X378" s="4">
        <f>J378</f>
        <v/>
      </c>
    </row>
    <row r="379">
      <c r="B379" s="4" t="n">
        <v>412</v>
      </c>
      <c r="C379" s="4" t="inlineStr">
        <is>
          <t>04/09/2026</t>
        </is>
      </c>
      <c r="D379" s="4" t="inlineStr">
        <is>
          <t>viernes</t>
        </is>
      </c>
      <c r="E379" s="4" t="n">
        <v>2300</v>
      </c>
      <c r="F379" s="4" t="inlineStr">
        <is>
          <t>TPP</t>
        </is>
      </c>
      <c r="G379" s="4" t="inlineStr">
        <is>
          <t>LIM</t>
        </is>
      </c>
      <c r="H379" s="4" t="inlineStr">
        <is>
          <t>17:50:00</t>
        </is>
      </c>
      <c r="I379" s="4" t="inlineStr">
        <is>
          <t>19:15:00</t>
        </is>
      </c>
      <c r="J379" s="4" t="n">
        <v>320</v>
      </c>
      <c r="K379">
        <f>TEXT(TIMEVALUE(H379)-TIMEVALUE(I378)+(TIMEVALUE(H379)&lt;TIMEVALUE(I378)),"[h]:mm")</f>
        <v/>
      </c>
      <c r="L379" s="4" t="inlineStr">
        <is>
          <t>01:25:00</t>
        </is>
      </c>
      <c r="O379">
        <f>"LIM-"&amp;G378&amp;"-LIM   LA "&amp;E378&amp;" ("&amp;LEFT(H378,5)&amp;"-"&amp;LEFT(I378,5)&amp;" hrs)  /  LA "&amp;E379&amp;" ("&amp;LEFT(H379,5)&amp;"-"&amp;LEFT(I379,5)&amp;" hrs)"</f>
        <v/>
      </c>
    </row>
    <row r="380">
      <c r="J380" s="8" t="inlineStr">
        <is>
          <t>PSV total:</t>
        </is>
      </c>
      <c r="K380" s="9">
        <f>TEXT(TIMEVALUE(I379)-TIMEVALUE(H378)+(I379&lt;H378),"[h]:mm")</f>
        <v/>
      </c>
    </row>
    <row r="382">
      <c r="B382" s="3" t="inlineStr">
        <is>
          <t>Pairing ID</t>
        </is>
      </c>
      <c r="C382" s="3" t="inlineStr">
        <is>
          <t>FECHA REAL</t>
        </is>
      </c>
      <c r="D382" s="3" t="inlineStr">
        <is>
          <t>Day of Week</t>
        </is>
      </c>
      <c r="E382" s="3" t="inlineStr">
        <is>
          <t>Flight No</t>
        </is>
      </c>
      <c r="F382" s="3" t="inlineStr">
        <is>
          <t>Dep Stn</t>
        </is>
      </c>
      <c r="G382" s="3" t="inlineStr">
        <is>
          <t>Arr Stn</t>
        </is>
      </c>
      <c r="H382" s="3" t="inlineStr">
        <is>
          <t>STD</t>
        </is>
      </c>
      <c r="I382" s="3" t="inlineStr">
        <is>
          <t>STA</t>
        </is>
      </c>
      <c r="J382" s="3" t="inlineStr">
        <is>
          <t>subflota</t>
        </is>
      </c>
      <c r="K382" s="3" t="inlineStr">
        <is>
          <t>Conexion</t>
        </is>
      </c>
      <c r="L382" s="3" t="inlineStr">
        <is>
          <t>HBT</t>
        </is>
      </c>
    </row>
    <row r="383">
      <c r="B383" s="4" t="n">
        <v>420</v>
      </c>
      <c r="C383" s="4" t="inlineStr">
        <is>
          <t>04/09/2026</t>
        </is>
      </c>
      <c r="D383" s="4" t="inlineStr">
        <is>
          <t>viernes</t>
        </is>
      </c>
      <c r="E383" s="4" t="n">
        <v>2326</v>
      </c>
      <c r="F383" s="4" t="inlineStr">
        <is>
          <t>LIM</t>
        </is>
      </c>
      <c r="G383" s="4" t="inlineStr">
        <is>
          <t>AQP</t>
        </is>
      </c>
      <c r="H383" s="4" t="inlineStr">
        <is>
          <t>19:15:00</t>
        </is>
      </c>
      <c r="I383" s="4" t="inlineStr">
        <is>
          <t>20:45:00</t>
        </is>
      </c>
      <c r="J383" s="4" t="n">
        <v>320</v>
      </c>
      <c r="L383" s="4" t="inlineStr">
        <is>
          <t>01:30:00</t>
        </is>
      </c>
      <c r="M383" s="5" t="n"/>
      <c r="N383" s="6" t="n"/>
      <c r="O383" s="5" t="n"/>
      <c r="Q383" s="4">
        <f>B383</f>
        <v/>
      </c>
      <c r="R383" s="4">
        <f>C383</f>
        <v/>
      </c>
      <c r="S383" s="4">
        <f>D383</f>
        <v/>
      </c>
      <c r="T383" s="4">
        <f>E383&amp;"/"&amp;E384</f>
        <v/>
      </c>
      <c r="U383" s="4">
        <f>F383&amp;"-"&amp;G383&amp;"-"&amp;F383</f>
        <v/>
      </c>
      <c r="V383" s="4">
        <f>IF($M$383="","",$M$383)</f>
        <v/>
      </c>
      <c r="W383" s="4">
        <f>IF($O$383="","",$O$383)</f>
        <v/>
      </c>
      <c r="X383" s="4">
        <f>J383</f>
        <v/>
      </c>
    </row>
    <row r="384">
      <c r="B384" s="4" t="n">
        <v>420</v>
      </c>
      <c r="C384" s="4" t="inlineStr">
        <is>
          <t>04/09/2026</t>
        </is>
      </c>
      <c r="D384" s="4" t="inlineStr">
        <is>
          <t>viernes</t>
        </is>
      </c>
      <c r="E384" s="4" t="n">
        <v>2012</v>
      </c>
      <c r="F384" s="4" t="inlineStr">
        <is>
          <t>AQP</t>
        </is>
      </c>
      <c r="G384" s="4" t="inlineStr">
        <is>
          <t>LIM</t>
        </is>
      </c>
      <c r="H384" s="4" t="inlineStr">
        <is>
          <t>21:20:00</t>
        </is>
      </c>
      <c r="I384" s="4" t="inlineStr">
        <is>
          <t>23:00:00</t>
        </is>
      </c>
      <c r="J384" s="4" t="n">
        <v>320</v>
      </c>
      <c r="K384">
        <f>TEXT(TIMEVALUE(H384)-TIMEVALUE(I383)+(TIMEVALUE(H384)&lt;TIMEVALUE(I383)),"[h]:mm")</f>
        <v/>
      </c>
      <c r="L384" s="4" t="inlineStr">
        <is>
          <t>01:40:00</t>
        </is>
      </c>
      <c r="O384">
        <f>"LIM-"&amp;G383&amp;"-LIM   LA "&amp;E383&amp;" ("&amp;LEFT(H383,5)&amp;"-"&amp;LEFT(I383,5)&amp;" hrs)  /  LA "&amp;E384&amp;" ("&amp;LEFT(H384,5)&amp;"-"&amp;LEFT(I384,5)&amp;" hrs)"</f>
        <v/>
      </c>
    </row>
    <row r="385">
      <c r="J385" s="8" t="inlineStr">
        <is>
          <t>PSV total:</t>
        </is>
      </c>
      <c r="K385" s="9">
        <f>TEXT(TIMEVALUE(I384)-TIMEVALUE(H383)+(I384&lt;H383),"[h]:mm")</f>
        <v/>
      </c>
    </row>
    <row r="387">
      <c r="B387" s="3" t="inlineStr">
        <is>
          <t>Pairing ID</t>
        </is>
      </c>
      <c r="C387" s="3" t="inlineStr">
        <is>
          <t>FECHA REAL</t>
        </is>
      </c>
      <c r="D387" s="3" t="inlineStr">
        <is>
          <t>Day of Week</t>
        </is>
      </c>
      <c r="E387" s="3" t="inlineStr">
        <is>
          <t>Flight No</t>
        </is>
      </c>
      <c r="F387" s="3" t="inlineStr">
        <is>
          <t>Dep Stn</t>
        </is>
      </c>
      <c r="G387" s="3" t="inlineStr">
        <is>
          <t>Arr Stn</t>
        </is>
      </c>
      <c r="H387" s="3" t="inlineStr">
        <is>
          <t>STD</t>
        </is>
      </c>
      <c r="I387" s="3" t="inlineStr">
        <is>
          <t>STA</t>
        </is>
      </c>
      <c r="J387" s="3" t="inlineStr">
        <is>
          <t>subflota</t>
        </is>
      </c>
      <c r="K387" s="3" t="inlineStr">
        <is>
          <t>Conexion</t>
        </is>
      </c>
      <c r="L387" s="3" t="inlineStr">
        <is>
          <t>HBT</t>
        </is>
      </c>
    </row>
    <row r="388">
      <c r="B388" s="4" t="n">
        <v>421</v>
      </c>
      <c r="C388" s="4" t="inlineStr">
        <is>
          <t>04/09/2026</t>
        </is>
      </c>
      <c r="D388" s="4" t="inlineStr">
        <is>
          <t>viernes</t>
        </is>
      </c>
      <c r="E388" s="4" t="n">
        <v>2326</v>
      </c>
      <c r="F388" s="4" t="inlineStr">
        <is>
          <t>LIM</t>
        </is>
      </c>
      <c r="G388" s="4" t="inlineStr">
        <is>
          <t>AQP</t>
        </is>
      </c>
      <c r="H388" s="4" t="inlineStr">
        <is>
          <t>19:15:00</t>
        </is>
      </c>
      <c r="I388" s="4" t="inlineStr">
        <is>
          <t>20:45:00</t>
        </is>
      </c>
      <c r="J388" s="4" t="n">
        <v>320</v>
      </c>
      <c r="L388" s="4" t="inlineStr">
        <is>
          <t>01:30:00</t>
        </is>
      </c>
      <c r="M388" s="5" t="n"/>
      <c r="N388" s="6" t="n"/>
      <c r="O388" s="5" t="n"/>
      <c r="Q388" s="4">
        <f>B388</f>
        <v/>
      </c>
      <c r="R388" s="4">
        <f>C388</f>
        <v/>
      </c>
      <c r="S388" s="4">
        <f>D388</f>
        <v/>
      </c>
      <c r="T388" s="4">
        <f>E388&amp;"/"&amp;E389</f>
        <v/>
      </c>
      <c r="U388" s="4">
        <f>F388&amp;"-"&amp;G388&amp;"-"&amp;F388</f>
        <v/>
      </c>
      <c r="V388" s="4">
        <f>IF($M$388="","",$M$388)</f>
        <v/>
      </c>
      <c r="W388" s="4">
        <f>IF($O$388="","",$O$388)</f>
        <v/>
      </c>
      <c r="X388" s="4">
        <f>J388</f>
        <v/>
      </c>
    </row>
    <row r="389">
      <c r="B389" s="4" t="n">
        <v>421</v>
      </c>
      <c r="C389" s="4" t="inlineStr">
        <is>
          <t>04/09/2026</t>
        </is>
      </c>
      <c r="D389" s="4" t="inlineStr">
        <is>
          <t>viernes</t>
        </is>
      </c>
      <c r="E389" s="4" t="n">
        <v>2012</v>
      </c>
      <c r="F389" s="4" t="inlineStr">
        <is>
          <t>AQP</t>
        </is>
      </c>
      <c r="G389" s="4" t="inlineStr">
        <is>
          <t>LIM</t>
        </is>
      </c>
      <c r="H389" s="4" t="inlineStr">
        <is>
          <t>21:20:00</t>
        </is>
      </c>
      <c r="I389" s="4" t="inlineStr">
        <is>
          <t>23:00:00</t>
        </is>
      </c>
      <c r="J389" s="4" t="n">
        <v>320</v>
      </c>
      <c r="K389">
        <f>TEXT(TIMEVALUE(H389)-TIMEVALUE(I388)+(TIMEVALUE(H389)&lt;TIMEVALUE(I388)),"[h]:mm")</f>
        <v/>
      </c>
      <c r="L389" s="4" t="inlineStr">
        <is>
          <t>01:40:00</t>
        </is>
      </c>
      <c r="O389">
        <f>"LIM-"&amp;G388&amp;"-LIM   LA "&amp;E388&amp;" ("&amp;LEFT(H388,5)&amp;"-"&amp;LEFT(I388,5)&amp;" hrs)  /  LA "&amp;E389&amp;" ("&amp;LEFT(H389,5)&amp;"-"&amp;LEFT(I389,5)&amp;" hrs)"</f>
        <v/>
      </c>
    </row>
    <row r="390">
      <c r="J390" s="8" t="inlineStr">
        <is>
          <t>PSV total:</t>
        </is>
      </c>
      <c r="K390" s="9">
        <f>TEXT(TIMEVALUE(I389)-TIMEVALUE(H388)+(I389&lt;H388),"[h]:mm")</f>
        <v/>
      </c>
    </row>
    <row r="392">
      <c r="B392" s="3" t="inlineStr">
        <is>
          <t>Pairing ID</t>
        </is>
      </c>
      <c r="C392" s="3" t="inlineStr">
        <is>
          <t>FECHA REAL</t>
        </is>
      </c>
      <c r="D392" s="3" t="inlineStr">
        <is>
          <t>Day of Week</t>
        </is>
      </c>
      <c r="E392" s="3" t="inlineStr">
        <is>
          <t>Flight No</t>
        </is>
      </c>
      <c r="F392" s="3" t="inlineStr">
        <is>
          <t>Dep Stn</t>
        </is>
      </c>
      <c r="G392" s="3" t="inlineStr">
        <is>
          <t>Arr Stn</t>
        </is>
      </c>
      <c r="H392" s="3" t="inlineStr">
        <is>
          <t>STD</t>
        </is>
      </c>
      <c r="I392" s="3" t="inlineStr">
        <is>
          <t>STA</t>
        </is>
      </c>
      <c r="J392" s="3" t="inlineStr">
        <is>
          <t>subflota</t>
        </is>
      </c>
      <c r="K392" s="3" t="inlineStr">
        <is>
          <t>Conexion</t>
        </is>
      </c>
      <c r="L392" s="3" t="inlineStr">
        <is>
          <t>HBT</t>
        </is>
      </c>
    </row>
    <row r="393">
      <c r="B393" s="4" t="n">
        <v>469</v>
      </c>
      <c r="C393" s="4" t="inlineStr">
        <is>
          <t>05/09/2026</t>
        </is>
      </c>
      <c r="D393" s="4" t="inlineStr">
        <is>
          <t>sábado</t>
        </is>
      </c>
      <c r="E393" s="4" t="n">
        <v>2260</v>
      </c>
      <c r="F393" s="4" t="inlineStr">
        <is>
          <t>LIM</t>
        </is>
      </c>
      <c r="G393" s="4" t="inlineStr">
        <is>
          <t>PEM</t>
        </is>
      </c>
      <c r="H393" s="4" t="inlineStr">
        <is>
          <t>10:20:00</t>
        </is>
      </c>
      <c r="I393" s="4" t="inlineStr">
        <is>
          <t>12:05:00</t>
        </is>
      </c>
      <c r="J393" s="4" t="n">
        <v>320</v>
      </c>
      <c r="L393" s="4" t="inlineStr">
        <is>
          <t>01:45:00</t>
        </is>
      </c>
      <c r="M393" s="5" t="n"/>
      <c r="N393" s="6" t="n"/>
      <c r="O393" s="5" t="n"/>
      <c r="Q393" s="4">
        <f>B393</f>
        <v/>
      </c>
      <c r="R393" s="4">
        <f>C393</f>
        <v/>
      </c>
      <c r="S393" s="4">
        <f>D393</f>
        <v/>
      </c>
      <c r="T393" s="4">
        <f>E393&amp;"/"&amp;E394</f>
        <v/>
      </c>
      <c r="U393" s="4">
        <f>F393&amp;"-"&amp;G393&amp;"-"&amp;F393</f>
        <v/>
      </c>
      <c r="V393" s="4">
        <f>IF($M$393="","",$M$393)</f>
        <v/>
      </c>
      <c r="W393" s="4">
        <f>IF($O$393="","",$O$393)</f>
        <v/>
      </c>
      <c r="X393" s="4">
        <f>J393</f>
        <v/>
      </c>
    </row>
    <row r="394">
      <c r="B394" s="4" t="n">
        <v>469</v>
      </c>
      <c r="C394" s="4" t="inlineStr">
        <is>
          <t>05/09/2026</t>
        </is>
      </c>
      <c r="D394" s="4" t="inlineStr">
        <is>
          <t>sábado</t>
        </is>
      </c>
      <c r="E394" s="4" t="n">
        <v>2261</v>
      </c>
      <c r="F394" s="4" t="inlineStr">
        <is>
          <t>PEM</t>
        </is>
      </c>
      <c r="G394" s="4" t="inlineStr">
        <is>
          <t>LIM</t>
        </is>
      </c>
      <c r="H394" s="4" t="inlineStr">
        <is>
          <t>12:45:00</t>
        </is>
      </c>
      <c r="I394" s="4" t="inlineStr">
        <is>
          <t>14:20:00</t>
        </is>
      </c>
      <c r="J394" s="4" t="n">
        <v>320</v>
      </c>
      <c r="K394">
        <f>TEXT(TIMEVALUE(H394)-TIMEVALUE(I393)+(TIMEVALUE(H394)&lt;TIMEVALUE(I393)),"[h]:mm")</f>
        <v/>
      </c>
      <c r="L394" s="4" t="inlineStr">
        <is>
          <t>01:35:00</t>
        </is>
      </c>
      <c r="O394">
        <f>"LIM-"&amp;G393&amp;"-LIM   LA "&amp;E393&amp;" ("&amp;LEFT(H393,5)&amp;"-"&amp;LEFT(I393,5)&amp;" hrs)  /  LA "&amp;E394&amp;" ("&amp;LEFT(H394,5)&amp;"-"&amp;LEFT(I394,5)&amp;" hrs)"</f>
        <v/>
      </c>
    </row>
    <row r="395">
      <c r="B395" s="4" t="n">
        <v>494</v>
      </c>
      <c r="C395" s="4" t="inlineStr">
        <is>
          <t>05/09/2026</t>
        </is>
      </c>
      <c r="D395" s="4" t="inlineStr">
        <is>
          <t>sábado</t>
        </is>
      </c>
      <c r="E395" s="4" t="n">
        <v>2297</v>
      </c>
      <c r="F395" s="4" t="inlineStr">
        <is>
          <t>LIM</t>
        </is>
      </c>
      <c r="G395" s="4" t="inlineStr">
        <is>
          <t>CJA</t>
        </is>
      </c>
      <c r="H395" s="4" t="inlineStr">
        <is>
          <t>15:15:00</t>
        </is>
      </c>
      <c r="I395" s="4" t="inlineStr">
        <is>
          <t>16:35:00</t>
        </is>
      </c>
      <c r="J395" s="4" t="n">
        <v>320</v>
      </c>
      <c r="K395" s="7">
        <f>TEXT(TIMEVALUE(H395)-TIMEVALUE(I394)+(TIMEVALUE(H395)&lt;TIMEVALUE(I394)),"[h]:mm")</f>
        <v/>
      </c>
      <c r="L395" s="4" t="inlineStr">
        <is>
          <t>01:20:00</t>
        </is>
      </c>
      <c r="M395">
        <f>IF($M$393="","",$M$393)</f>
        <v/>
      </c>
      <c r="O395">
        <f>IF($O$393="","",$O$393)</f>
        <v/>
      </c>
      <c r="Q395" s="4">
        <f>B395</f>
        <v/>
      </c>
      <c r="R395" s="4">
        <f>C395</f>
        <v/>
      </c>
      <c r="S395" s="4">
        <f>D395</f>
        <v/>
      </c>
      <c r="T395" s="4">
        <f>E395&amp;"/"&amp;E396</f>
        <v/>
      </c>
      <c r="U395" s="4">
        <f>F395&amp;"-"&amp;G395&amp;"-"&amp;F395</f>
        <v/>
      </c>
      <c r="V395" s="4">
        <f>IF($M$393="","",$M$393)</f>
        <v/>
      </c>
      <c r="W395" s="4">
        <f>IF($O$393="","",$O$393)</f>
        <v/>
      </c>
      <c r="X395" s="4">
        <f>J395</f>
        <v/>
      </c>
    </row>
    <row r="396">
      <c r="B396" s="4" t="n">
        <v>494</v>
      </c>
      <c r="C396" s="4" t="inlineStr">
        <is>
          <t>05/09/2026</t>
        </is>
      </c>
      <c r="D396" s="4" t="inlineStr">
        <is>
          <t>sábado</t>
        </is>
      </c>
      <c r="E396" s="4" t="n">
        <v>2296</v>
      </c>
      <c r="F396" s="4" t="inlineStr">
        <is>
          <t>CJA</t>
        </is>
      </c>
      <c r="G396" s="4" t="inlineStr">
        <is>
          <t>LIM</t>
        </is>
      </c>
      <c r="H396" s="4" t="inlineStr">
        <is>
          <t>17:20:00</t>
        </is>
      </c>
      <c r="I396" s="4" t="inlineStr">
        <is>
          <t>18:25:00</t>
        </is>
      </c>
      <c r="J396" s="4" t="n">
        <v>320</v>
      </c>
      <c r="K396">
        <f>TEXT(TIMEVALUE(H396)-TIMEVALUE(I395)+(TIMEVALUE(H396)&lt;TIMEVALUE(I395)),"[h]:mm")</f>
        <v/>
      </c>
      <c r="L396" s="4" t="inlineStr">
        <is>
          <t>01:05:00</t>
        </is>
      </c>
      <c r="O396">
        <f>"LIM-"&amp;G395&amp;"-LIM   LA "&amp;E395&amp;" ("&amp;LEFT(H395,5)&amp;"-"&amp;LEFT(I395,5)&amp;" hrs)  /  LA "&amp;E396&amp;" ("&amp;LEFT(H396,5)&amp;"-"&amp;LEFT(I396,5)&amp;" hrs)"</f>
        <v/>
      </c>
    </row>
    <row r="397">
      <c r="J397" s="8" t="inlineStr">
        <is>
          <t>PSV total:</t>
        </is>
      </c>
      <c r="K397" s="9">
        <f>TEXT(TIMEVALUE(I396)-TIMEVALUE(H393)+(I396&lt;H393),"[h]:mm")</f>
        <v/>
      </c>
    </row>
    <row r="399">
      <c r="B399" s="3" t="inlineStr">
        <is>
          <t>Pairing ID</t>
        </is>
      </c>
      <c r="C399" s="3" t="inlineStr">
        <is>
          <t>FECHA REAL</t>
        </is>
      </c>
      <c r="D399" s="3" t="inlineStr">
        <is>
          <t>Day of Week</t>
        </is>
      </c>
      <c r="E399" s="3" t="inlineStr">
        <is>
          <t>Flight No</t>
        </is>
      </c>
      <c r="F399" s="3" t="inlineStr">
        <is>
          <t>Dep Stn</t>
        </is>
      </c>
      <c r="G399" s="3" t="inlineStr">
        <is>
          <t>Arr Stn</t>
        </is>
      </c>
      <c r="H399" s="3" t="inlineStr">
        <is>
          <t>STD</t>
        </is>
      </c>
      <c r="I399" s="3" t="inlineStr">
        <is>
          <t>STA</t>
        </is>
      </c>
      <c r="J399" s="3" t="inlineStr">
        <is>
          <t>subflota</t>
        </is>
      </c>
      <c r="K399" s="3" t="inlineStr">
        <is>
          <t>Conexion</t>
        </is>
      </c>
      <c r="L399" s="3" t="inlineStr">
        <is>
          <t>HBT</t>
        </is>
      </c>
    </row>
    <row r="400">
      <c r="B400" s="4" t="n">
        <v>470</v>
      </c>
      <c r="C400" s="4" t="inlineStr">
        <is>
          <t>05/09/2026</t>
        </is>
      </c>
      <c r="D400" s="4" t="inlineStr">
        <is>
          <t>sábado</t>
        </is>
      </c>
      <c r="E400" s="4" t="n">
        <v>2015</v>
      </c>
      <c r="F400" s="4" t="inlineStr">
        <is>
          <t>LIM</t>
        </is>
      </c>
      <c r="G400" s="4" t="inlineStr">
        <is>
          <t>PIU</t>
        </is>
      </c>
      <c r="H400" s="4" t="inlineStr">
        <is>
          <t>10:55:00</t>
        </is>
      </c>
      <c r="I400" s="4" t="inlineStr">
        <is>
          <t>12:40:00</t>
        </is>
      </c>
      <c r="J400" s="4" t="n">
        <v>319</v>
      </c>
      <c r="L400" s="4" t="inlineStr">
        <is>
          <t>01:45:00</t>
        </is>
      </c>
      <c r="M400" s="5" t="n"/>
      <c r="N400" s="6" t="n"/>
      <c r="O400" s="5" t="n"/>
      <c r="Q400" s="4">
        <f>B400</f>
        <v/>
      </c>
      <c r="R400" s="4">
        <f>C400</f>
        <v/>
      </c>
      <c r="S400" s="4">
        <f>D400</f>
        <v/>
      </c>
      <c r="T400" s="4">
        <f>E400&amp;"/"&amp;E401</f>
        <v/>
      </c>
      <c r="U400" s="4">
        <f>F400&amp;"-"&amp;G400&amp;"-"&amp;F400</f>
        <v/>
      </c>
      <c r="V400" s="4">
        <f>IF($M$400="","",$M$400)</f>
        <v/>
      </c>
      <c r="W400" s="4">
        <f>IF($O$400="","",$O$400)</f>
        <v/>
      </c>
      <c r="X400" s="4">
        <f>J400</f>
        <v/>
      </c>
    </row>
    <row r="401">
      <c r="B401" s="4" t="n">
        <v>470</v>
      </c>
      <c r="C401" s="4" t="inlineStr">
        <is>
          <t>05/09/2026</t>
        </is>
      </c>
      <c r="D401" s="4" t="inlineStr">
        <is>
          <t>sábado</t>
        </is>
      </c>
      <c r="E401" s="4" t="n">
        <v>2016</v>
      </c>
      <c r="F401" s="4" t="inlineStr">
        <is>
          <t>PIU</t>
        </is>
      </c>
      <c r="G401" s="4" t="inlineStr">
        <is>
          <t>LIM</t>
        </is>
      </c>
      <c r="H401" s="4" t="inlineStr">
        <is>
          <t>13:20:00</t>
        </is>
      </c>
      <c r="I401" s="4" t="inlineStr">
        <is>
          <t>14:55:00</t>
        </is>
      </c>
      <c r="J401" s="4" t="n">
        <v>319</v>
      </c>
      <c r="K401">
        <f>TEXT(TIMEVALUE(H401)-TIMEVALUE(I400)+(TIMEVALUE(H401)&lt;TIMEVALUE(I400)),"[h]:mm")</f>
        <v/>
      </c>
      <c r="L401" s="4" t="inlineStr">
        <is>
          <t>01:35:00</t>
        </is>
      </c>
      <c r="O401">
        <f>"LIM-"&amp;G400&amp;"-LIM   LA "&amp;E400&amp;" ("&amp;LEFT(H400,5)&amp;"-"&amp;LEFT(I400,5)&amp;" hrs)  /  LA "&amp;E401&amp;" ("&amp;LEFT(H401,5)&amp;"-"&amp;LEFT(I401,5)&amp;" hrs)"</f>
        <v/>
      </c>
    </row>
    <row r="402">
      <c r="J402" s="8" t="inlineStr">
        <is>
          <t>PSV total:</t>
        </is>
      </c>
      <c r="K402" s="9">
        <f>TEXT(TIMEVALUE(I401)-TIMEVALUE(H400)+(I401&lt;H400),"[h]:mm")</f>
        <v/>
      </c>
    </row>
    <row r="404">
      <c r="B404" s="3" t="inlineStr">
        <is>
          <t>Pairing ID</t>
        </is>
      </c>
      <c r="C404" s="3" t="inlineStr">
        <is>
          <t>FECHA REAL</t>
        </is>
      </c>
      <c r="D404" s="3" t="inlineStr">
        <is>
          <t>Day of Week</t>
        </is>
      </c>
      <c r="E404" s="3" t="inlineStr">
        <is>
          <t>Flight No</t>
        </is>
      </c>
      <c r="F404" s="3" t="inlineStr">
        <is>
          <t>Dep Stn</t>
        </is>
      </c>
      <c r="G404" s="3" t="inlineStr">
        <is>
          <t>Arr Stn</t>
        </is>
      </c>
      <c r="H404" s="3" t="inlineStr">
        <is>
          <t>STD</t>
        </is>
      </c>
      <c r="I404" s="3" t="inlineStr">
        <is>
          <t>STA</t>
        </is>
      </c>
      <c r="J404" s="3" t="inlineStr">
        <is>
          <t>subflota</t>
        </is>
      </c>
      <c r="K404" s="3" t="inlineStr">
        <is>
          <t>Conexion</t>
        </is>
      </c>
      <c r="L404" s="3" t="inlineStr">
        <is>
          <t>HBT</t>
        </is>
      </c>
    </row>
    <row r="405">
      <c r="B405" s="4" t="n">
        <v>471</v>
      </c>
      <c r="C405" s="4" t="inlineStr">
        <is>
          <t>05/09/2026</t>
        </is>
      </c>
      <c r="D405" s="4" t="inlineStr">
        <is>
          <t>sábado</t>
        </is>
      </c>
      <c r="E405" s="4" t="n">
        <v>2019</v>
      </c>
      <c r="F405" s="4" t="inlineStr">
        <is>
          <t>LIM</t>
        </is>
      </c>
      <c r="G405" s="4" t="inlineStr">
        <is>
          <t>IQT</t>
        </is>
      </c>
      <c r="H405" s="4" t="inlineStr">
        <is>
          <t>11:35:00</t>
        </is>
      </c>
      <c r="I405" s="4" t="inlineStr">
        <is>
          <t>13:25:00</t>
        </is>
      </c>
      <c r="J405" s="4" t="n">
        <v>320</v>
      </c>
      <c r="L405" s="4" t="inlineStr">
        <is>
          <t>01:50:00</t>
        </is>
      </c>
      <c r="M405" s="5" t="n"/>
      <c r="N405" s="6" t="n"/>
      <c r="O405" s="5" t="n"/>
      <c r="Q405" s="4">
        <f>B405</f>
        <v/>
      </c>
      <c r="R405" s="4">
        <f>C405</f>
        <v/>
      </c>
      <c r="S405" s="4">
        <f>D405</f>
        <v/>
      </c>
      <c r="T405" s="4">
        <f>E405&amp;"/"&amp;E406</f>
        <v/>
      </c>
      <c r="U405" s="4">
        <f>F405&amp;"-"&amp;G405&amp;"-"&amp;F405</f>
        <v/>
      </c>
      <c r="V405" s="4">
        <f>IF($M$405="","",$M$405)</f>
        <v/>
      </c>
      <c r="W405" s="4">
        <f>IF($O$405="","",$O$405)</f>
        <v/>
      </c>
      <c r="X405" s="4">
        <f>J405</f>
        <v/>
      </c>
    </row>
    <row r="406">
      <c r="B406" s="4" t="n">
        <v>471</v>
      </c>
      <c r="C406" s="4" t="inlineStr">
        <is>
          <t>05/09/2026</t>
        </is>
      </c>
      <c r="D406" s="4" t="inlineStr">
        <is>
          <t>sábado</t>
        </is>
      </c>
      <c r="E406" s="4" t="n">
        <v>2038</v>
      </c>
      <c r="F406" s="4" t="inlineStr">
        <is>
          <t>IQT</t>
        </is>
      </c>
      <c r="G406" s="4" t="inlineStr">
        <is>
          <t>LIM</t>
        </is>
      </c>
      <c r="H406" s="4" t="inlineStr">
        <is>
          <t>14:05:00</t>
        </is>
      </c>
      <c r="I406" s="4" t="inlineStr">
        <is>
          <t>15:55:00</t>
        </is>
      </c>
      <c r="J406" s="4" t="n">
        <v>320</v>
      </c>
      <c r="K406">
        <f>TEXT(TIMEVALUE(H406)-TIMEVALUE(I405)+(TIMEVALUE(H406)&lt;TIMEVALUE(I405)),"[h]:mm")</f>
        <v/>
      </c>
      <c r="L406" s="4" t="inlineStr">
        <is>
          <t>01:50:00</t>
        </is>
      </c>
      <c r="O406">
        <f>"LIM-"&amp;G405&amp;"-LIM   LA "&amp;E405&amp;" ("&amp;LEFT(H405,5)&amp;"-"&amp;LEFT(I405,5)&amp;" hrs)  /  LA "&amp;E406&amp;" ("&amp;LEFT(H406,5)&amp;"-"&amp;LEFT(I406,5)&amp;" hrs)"</f>
        <v/>
      </c>
    </row>
    <row r="407">
      <c r="J407" s="8" t="inlineStr">
        <is>
          <t>PSV total:</t>
        </is>
      </c>
      <c r="K407" s="9">
        <f>TEXT(TIMEVALUE(I406)-TIMEVALUE(H405)+(I406&lt;H405),"[h]:mm")</f>
        <v/>
      </c>
    </row>
    <row r="409">
      <c r="B409" s="3" t="inlineStr">
        <is>
          <t>Pairing ID</t>
        </is>
      </c>
      <c r="C409" s="3" t="inlineStr">
        <is>
          <t>FECHA REAL</t>
        </is>
      </c>
      <c r="D409" s="3" t="inlineStr">
        <is>
          <t>Day of Week</t>
        </is>
      </c>
      <c r="E409" s="3" t="inlineStr">
        <is>
          <t>Flight No</t>
        </is>
      </c>
      <c r="F409" s="3" t="inlineStr">
        <is>
          <t>Dep Stn</t>
        </is>
      </c>
      <c r="G409" s="3" t="inlineStr">
        <is>
          <t>Arr Stn</t>
        </is>
      </c>
      <c r="H409" s="3" t="inlineStr">
        <is>
          <t>STD</t>
        </is>
      </c>
      <c r="I409" s="3" t="inlineStr">
        <is>
          <t>STA</t>
        </is>
      </c>
      <c r="J409" s="3" t="inlineStr">
        <is>
          <t>subflota</t>
        </is>
      </c>
      <c r="K409" s="3" t="inlineStr">
        <is>
          <t>Conexion</t>
        </is>
      </c>
      <c r="L409" s="3" t="inlineStr">
        <is>
          <t>HBT</t>
        </is>
      </c>
    </row>
    <row r="410">
      <c r="B410" s="4" t="n">
        <v>475</v>
      </c>
      <c r="C410" s="4" t="inlineStr">
        <is>
          <t>05/09/2026</t>
        </is>
      </c>
      <c r="D410" s="4" t="inlineStr">
        <is>
          <t>sábado</t>
        </is>
      </c>
      <c r="E410" s="4" t="n">
        <v>2023</v>
      </c>
      <c r="F410" s="4" t="inlineStr">
        <is>
          <t>LIM</t>
        </is>
      </c>
      <c r="G410" s="4" t="inlineStr">
        <is>
          <t>PEM</t>
        </is>
      </c>
      <c r="H410" s="4" t="inlineStr">
        <is>
          <t>12:15:00</t>
        </is>
      </c>
      <c r="I410" s="4" t="inlineStr">
        <is>
          <t>13:55:00</t>
        </is>
      </c>
      <c r="J410" s="4" t="n">
        <v>320</v>
      </c>
      <c r="L410" s="4" t="inlineStr">
        <is>
          <t>01:40:00</t>
        </is>
      </c>
      <c r="M410" s="5" t="n"/>
      <c r="N410" s="6" t="n"/>
      <c r="O410" s="5" t="n"/>
      <c r="Q410" s="4">
        <f>B410</f>
        <v/>
      </c>
      <c r="R410" s="4">
        <f>C410</f>
        <v/>
      </c>
      <c r="S410" s="4">
        <f>D410</f>
        <v/>
      </c>
      <c r="T410" s="4">
        <f>E410&amp;"/"&amp;E411</f>
        <v/>
      </c>
      <c r="U410" s="4">
        <f>F410&amp;"-"&amp;G410&amp;"-"&amp;F410</f>
        <v/>
      </c>
      <c r="V410" s="4">
        <f>IF($M$410="","",$M$410)</f>
        <v/>
      </c>
      <c r="W410" s="4">
        <f>IF($O$410="","",$O$410)</f>
        <v/>
      </c>
      <c r="X410" s="4">
        <f>J410</f>
        <v/>
      </c>
    </row>
    <row r="411">
      <c r="B411" s="4" t="n">
        <v>475</v>
      </c>
      <c r="C411" s="4" t="inlineStr">
        <is>
          <t>05/09/2026</t>
        </is>
      </c>
      <c r="D411" s="4" t="inlineStr">
        <is>
          <t>sábado</t>
        </is>
      </c>
      <c r="E411" s="4" t="n">
        <v>2024</v>
      </c>
      <c r="F411" s="4" t="inlineStr">
        <is>
          <t>PEM</t>
        </is>
      </c>
      <c r="G411" s="4" t="inlineStr">
        <is>
          <t>LIM</t>
        </is>
      </c>
      <c r="H411" s="4" t="inlineStr">
        <is>
          <t>14:35:00</t>
        </is>
      </c>
      <c r="I411" s="4" t="inlineStr">
        <is>
          <t>16:10:00</t>
        </is>
      </c>
      <c r="J411" s="4" t="n">
        <v>320</v>
      </c>
      <c r="K411">
        <f>TEXT(TIMEVALUE(H411)-TIMEVALUE(I410)+(TIMEVALUE(H411)&lt;TIMEVALUE(I410)),"[h]:mm")</f>
        <v/>
      </c>
      <c r="L411" s="4" t="inlineStr">
        <is>
          <t>01:35:00</t>
        </is>
      </c>
      <c r="O411">
        <f>"LIM-"&amp;G410&amp;"-LIM   LA "&amp;E410&amp;" ("&amp;LEFT(H410,5)&amp;"-"&amp;LEFT(I410,5)&amp;" hrs)  /  LA "&amp;E411&amp;" ("&amp;LEFT(H411,5)&amp;"-"&amp;LEFT(I411,5)&amp;" hrs)"</f>
        <v/>
      </c>
    </row>
    <row r="412">
      <c r="J412" s="8" t="inlineStr">
        <is>
          <t>PSV total:</t>
        </is>
      </c>
      <c r="K412" s="9">
        <f>TEXT(TIMEVALUE(I411)-TIMEVALUE(H410)+(I411&lt;H410),"[h]:mm")</f>
        <v/>
      </c>
    </row>
    <row r="414">
      <c r="B414" s="3" t="inlineStr">
        <is>
          <t>Pairing ID</t>
        </is>
      </c>
      <c r="C414" s="3" t="inlineStr">
        <is>
          <t>FECHA REAL</t>
        </is>
      </c>
      <c r="D414" s="3" t="inlineStr">
        <is>
          <t>Day of Week</t>
        </is>
      </c>
      <c r="E414" s="3" t="inlineStr">
        <is>
          <t>Flight No</t>
        </is>
      </c>
      <c r="F414" s="3" t="inlineStr">
        <is>
          <t>Dep Stn</t>
        </is>
      </c>
      <c r="G414" s="3" t="inlineStr">
        <is>
          <t>Arr Stn</t>
        </is>
      </c>
      <c r="H414" s="3" t="inlineStr">
        <is>
          <t>STD</t>
        </is>
      </c>
      <c r="I414" s="3" t="inlineStr">
        <is>
          <t>STA</t>
        </is>
      </c>
      <c r="J414" s="3" t="inlineStr">
        <is>
          <t>subflota</t>
        </is>
      </c>
      <c r="K414" s="3" t="inlineStr">
        <is>
          <t>Conexion</t>
        </is>
      </c>
      <c r="L414" s="3" t="inlineStr">
        <is>
          <t>HBT</t>
        </is>
      </c>
    </row>
    <row r="415">
      <c r="B415" s="4" t="n">
        <v>480</v>
      </c>
      <c r="C415" s="4" t="inlineStr">
        <is>
          <t>05/09/2026</t>
        </is>
      </c>
      <c r="D415" s="4" t="inlineStr">
        <is>
          <t>sábado</t>
        </is>
      </c>
      <c r="E415" s="4" t="n">
        <v>2043</v>
      </c>
      <c r="F415" s="4" t="inlineStr">
        <is>
          <t>LIM</t>
        </is>
      </c>
      <c r="G415" s="4" t="inlineStr">
        <is>
          <t>AQP</t>
        </is>
      </c>
      <c r="H415" s="4" t="inlineStr">
        <is>
          <t>12:45:00</t>
        </is>
      </c>
      <c r="I415" s="4" t="inlineStr">
        <is>
          <t>14:15:00</t>
        </is>
      </c>
      <c r="J415" s="4" t="n">
        <v>320</v>
      </c>
      <c r="L415" s="4" t="inlineStr">
        <is>
          <t>01:30:00</t>
        </is>
      </c>
      <c r="M415" s="5" t="n"/>
      <c r="N415" s="6" t="n"/>
      <c r="O415" s="5" t="n"/>
      <c r="Q415" s="4">
        <f>B415</f>
        <v/>
      </c>
      <c r="R415" s="4">
        <f>C415</f>
        <v/>
      </c>
      <c r="S415" s="4">
        <f>D415</f>
        <v/>
      </c>
      <c r="T415" s="4">
        <f>E415&amp;"/"&amp;E416</f>
        <v/>
      </c>
      <c r="U415" s="4">
        <f>F415&amp;"-"&amp;G415&amp;"-"&amp;F415</f>
        <v/>
      </c>
      <c r="V415" s="4">
        <f>IF($M$415="","",$M$415)</f>
        <v/>
      </c>
      <c r="W415" s="4">
        <f>IF($O$415="","",$O$415)</f>
        <v/>
      </c>
      <c r="X415" s="4">
        <f>J415</f>
        <v/>
      </c>
    </row>
    <row r="416">
      <c r="B416" s="4" t="n">
        <v>480</v>
      </c>
      <c r="C416" s="4" t="inlineStr">
        <is>
          <t>05/09/2026</t>
        </is>
      </c>
      <c r="D416" s="4" t="inlineStr">
        <is>
          <t>sábado</t>
        </is>
      </c>
      <c r="E416" s="4" t="n">
        <v>2044</v>
      </c>
      <c r="F416" s="4" t="inlineStr">
        <is>
          <t>AQP</t>
        </is>
      </c>
      <c r="G416" s="4" t="inlineStr">
        <is>
          <t>LIM</t>
        </is>
      </c>
      <c r="H416" s="4" t="inlineStr">
        <is>
          <t>15:00:00</t>
        </is>
      </c>
      <c r="I416" s="4" t="inlineStr">
        <is>
          <t>16:35:00</t>
        </is>
      </c>
      <c r="J416" s="4" t="n">
        <v>320</v>
      </c>
      <c r="K416">
        <f>TEXT(TIMEVALUE(H416)-TIMEVALUE(I415)+(TIMEVALUE(H416)&lt;TIMEVALUE(I415)),"[h]:mm")</f>
        <v/>
      </c>
      <c r="L416" s="4" t="inlineStr">
        <is>
          <t>01:35:00</t>
        </is>
      </c>
      <c r="O416">
        <f>"LIM-"&amp;G415&amp;"-LIM   LA "&amp;E415&amp;" ("&amp;LEFT(H415,5)&amp;"-"&amp;LEFT(I415,5)&amp;" hrs)  /  LA "&amp;E416&amp;" ("&amp;LEFT(H416,5)&amp;"-"&amp;LEFT(I416,5)&amp;" hrs)"</f>
        <v/>
      </c>
    </row>
    <row r="417">
      <c r="J417" s="8" t="inlineStr">
        <is>
          <t>PSV total:</t>
        </is>
      </c>
      <c r="K417" s="9">
        <f>TEXT(TIMEVALUE(I416)-TIMEVALUE(H415)+(I416&lt;H415),"[h]:mm")</f>
        <v/>
      </c>
    </row>
    <row r="419">
      <c r="B419" s="3" t="inlineStr">
        <is>
          <t>Pairing ID</t>
        </is>
      </c>
      <c r="C419" s="3" t="inlineStr">
        <is>
          <t>FECHA REAL</t>
        </is>
      </c>
      <c r="D419" s="3" t="inlineStr">
        <is>
          <t>Day of Week</t>
        </is>
      </c>
      <c r="E419" s="3" t="inlineStr">
        <is>
          <t>Flight No</t>
        </is>
      </c>
      <c r="F419" s="3" t="inlineStr">
        <is>
          <t>Dep Stn</t>
        </is>
      </c>
      <c r="G419" s="3" t="inlineStr">
        <is>
          <t>Arr Stn</t>
        </is>
      </c>
      <c r="H419" s="3" t="inlineStr">
        <is>
          <t>STD</t>
        </is>
      </c>
      <c r="I419" s="3" t="inlineStr">
        <is>
          <t>STA</t>
        </is>
      </c>
      <c r="J419" s="3" t="inlineStr">
        <is>
          <t>subflota</t>
        </is>
      </c>
      <c r="K419" s="3" t="inlineStr">
        <is>
          <t>Conexion</t>
        </is>
      </c>
      <c r="L419" s="3" t="inlineStr">
        <is>
          <t>HBT</t>
        </is>
      </c>
    </row>
    <row r="420">
      <c r="B420" s="4" t="n">
        <v>483</v>
      </c>
      <c r="C420" s="4" t="inlineStr">
        <is>
          <t>05/09/2026</t>
        </is>
      </c>
      <c r="D420" s="4" t="inlineStr">
        <is>
          <t>sábado</t>
        </is>
      </c>
      <c r="E420" s="4" t="n">
        <v>2028</v>
      </c>
      <c r="F420" s="4" t="inlineStr">
        <is>
          <t>LIM</t>
        </is>
      </c>
      <c r="G420" s="4" t="inlineStr">
        <is>
          <t>CUZ</t>
        </is>
      </c>
      <c r="H420" s="4" t="inlineStr">
        <is>
          <t>13:05:00</t>
        </is>
      </c>
      <c r="I420" s="4" t="inlineStr">
        <is>
          <t>14:25:00</t>
        </is>
      </c>
      <c r="J420" s="4" t="n">
        <v>320</v>
      </c>
      <c r="L420" s="4" t="inlineStr">
        <is>
          <t>01:20:00</t>
        </is>
      </c>
      <c r="M420" s="5" t="n"/>
      <c r="N420" s="6" t="n"/>
      <c r="O420" s="5" t="n"/>
      <c r="Q420" s="4">
        <f>B420</f>
        <v/>
      </c>
      <c r="R420" s="4">
        <f>C420</f>
        <v/>
      </c>
      <c r="S420" s="4">
        <f>D420</f>
        <v/>
      </c>
      <c r="T420" s="4">
        <f>E420&amp;"/"&amp;E421</f>
        <v/>
      </c>
      <c r="U420" s="4">
        <f>F420&amp;"-"&amp;G420&amp;"-"&amp;F420</f>
        <v/>
      </c>
      <c r="V420" s="4">
        <f>IF($M$420="","",$M$420)</f>
        <v/>
      </c>
      <c r="W420" s="4">
        <f>IF($O$420="","",$O$420)</f>
        <v/>
      </c>
      <c r="X420" s="4">
        <f>J420</f>
        <v/>
      </c>
    </row>
    <row r="421">
      <c r="B421" s="4" t="n">
        <v>483</v>
      </c>
      <c r="C421" s="4" t="inlineStr">
        <is>
          <t>05/09/2026</t>
        </is>
      </c>
      <c r="D421" s="4" t="inlineStr">
        <is>
          <t>sábado</t>
        </is>
      </c>
      <c r="E421" s="4" t="n">
        <v>2029</v>
      </c>
      <c r="F421" s="4" t="inlineStr">
        <is>
          <t>CUZ</t>
        </is>
      </c>
      <c r="G421" s="4" t="inlineStr">
        <is>
          <t>LIM</t>
        </is>
      </c>
      <c r="H421" s="4" t="inlineStr">
        <is>
          <t>15:05:00</t>
        </is>
      </c>
      <c r="I421" s="4" t="inlineStr">
        <is>
          <t>16:40:00</t>
        </is>
      </c>
      <c r="J421" s="4" t="n">
        <v>320</v>
      </c>
      <c r="K421">
        <f>TEXT(TIMEVALUE(H421)-TIMEVALUE(I420)+(TIMEVALUE(H421)&lt;TIMEVALUE(I420)),"[h]:mm")</f>
        <v/>
      </c>
      <c r="L421" s="4" t="inlineStr">
        <is>
          <t>01:35:00</t>
        </is>
      </c>
      <c r="O421">
        <f>"LIM-"&amp;G420&amp;"-LIM   LA "&amp;E420&amp;" ("&amp;LEFT(H420,5)&amp;"-"&amp;LEFT(I420,5)&amp;" hrs)  /  LA "&amp;E421&amp;" ("&amp;LEFT(H421,5)&amp;"-"&amp;LEFT(I421,5)&amp;" hrs)"</f>
        <v/>
      </c>
    </row>
    <row r="422">
      <c r="J422" s="8" t="inlineStr">
        <is>
          <t>PSV total:</t>
        </is>
      </c>
      <c r="K422" s="9">
        <f>TEXT(TIMEVALUE(I421)-TIMEVALUE(H420)+(I421&lt;H420),"[h]:mm")</f>
        <v/>
      </c>
    </row>
    <row r="424">
      <c r="B424" s="3" t="inlineStr">
        <is>
          <t>Pairing ID</t>
        </is>
      </c>
      <c r="C424" s="3" t="inlineStr">
        <is>
          <t>FECHA REAL</t>
        </is>
      </c>
      <c r="D424" s="3" t="inlineStr">
        <is>
          <t>Day of Week</t>
        </is>
      </c>
      <c r="E424" s="3" t="inlineStr">
        <is>
          <t>Flight No</t>
        </is>
      </c>
      <c r="F424" s="3" t="inlineStr">
        <is>
          <t>Dep Stn</t>
        </is>
      </c>
      <c r="G424" s="3" t="inlineStr">
        <is>
          <t>Arr Stn</t>
        </is>
      </c>
      <c r="H424" s="3" t="inlineStr">
        <is>
          <t>STD</t>
        </is>
      </c>
      <c r="I424" s="3" t="inlineStr">
        <is>
          <t>STA</t>
        </is>
      </c>
      <c r="J424" s="3" t="inlineStr">
        <is>
          <t>subflota</t>
        </is>
      </c>
      <c r="K424" s="3" t="inlineStr">
        <is>
          <t>Conexion</t>
        </is>
      </c>
      <c r="L424" s="3" t="inlineStr">
        <is>
          <t>HBT</t>
        </is>
      </c>
    </row>
    <row r="425">
      <c r="B425" s="4" t="n">
        <v>487</v>
      </c>
      <c r="C425" s="4" t="inlineStr">
        <is>
          <t>05/09/2026</t>
        </is>
      </c>
      <c r="D425" s="4" t="inlineStr">
        <is>
          <t>sábado</t>
        </is>
      </c>
      <c r="E425" s="4" t="n">
        <v>2295</v>
      </c>
      <c r="F425" s="4" t="inlineStr">
        <is>
          <t>LIM</t>
        </is>
      </c>
      <c r="G425" s="4" t="inlineStr">
        <is>
          <t>CJA</t>
        </is>
      </c>
      <c r="H425" s="4" t="inlineStr">
        <is>
          <t>14:10:00</t>
        </is>
      </c>
      <c r="I425" s="4" t="inlineStr">
        <is>
          <t>15:30:00</t>
        </is>
      </c>
      <c r="J425" s="4" t="n">
        <v>320</v>
      </c>
      <c r="L425" s="4" t="inlineStr">
        <is>
          <t>01:20:00</t>
        </is>
      </c>
      <c r="M425" s="5" t="n"/>
      <c r="N425" s="6" t="n"/>
      <c r="O425" s="5" t="n"/>
      <c r="Q425" s="4">
        <f>B425</f>
        <v/>
      </c>
      <c r="R425" s="4">
        <f>C425</f>
        <v/>
      </c>
      <c r="S425" s="4">
        <f>D425</f>
        <v/>
      </c>
      <c r="T425" s="4">
        <f>E425&amp;"/"&amp;E426</f>
        <v/>
      </c>
      <c r="U425" s="4">
        <f>F425&amp;"-"&amp;G425&amp;"-"&amp;F425</f>
        <v/>
      </c>
      <c r="V425" s="4">
        <f>IF($M$425="","",$M$425)</f>
        <v/>
      </c>
      <c r="W425" s="4">
        <f>IF($O$425="","",$O$425)</f>
        <v/>
      </c>
      <c r="X425" s="4">
        <f>J425</f>
        <v/>
      </c>
    </row>
    <row r="426">
      <c r="B426" s="4" t="n">
        <v>487</v>
      </c>
      <c r="C426" s="4" t="inlineStr">
        <is>
          <t>05/09/2026</t>
        </is>
      </c>
      <c r="D426" s="4" t="inlineStr">
        <is>
          <t>sábado</t>
        </is>
      </c>
      <c r="E426" s="4" t="n">
        <v>2294</v>
      </c>
      <c r="F426" s="4" t="inlineStr">
        <is>
          <t>CJA</t>
        </is>
      </c>
      <c r="G426" s="4" t="inlineStr">
        <is>
          <t>LIM</t>
        </is>
      </c>
      <c r="H426" s="4" t="inlineStr">
        <is>
          <t>16:10:00</t>
        </is>
      </c>
      <c r="I426" s="4" t="inlineStr">
        <is>
          <t>17:15:00</t>
        </is>
      </c>
      <c r="J426" s="4" t="n">
        <v>320</v>
      </c>
      <c r="K426">
        <f>TEXT(TIMEVALUE(H426)-TIMEVALUE(I425)+(TIMEVALUE(H426)&lt;TIMEVALUE(I425)),"[h]:mm")</f>
        <v/>
      </c>
      <c r="L426" s="4" t="inlineStr">
        <is>
          <t>01:05:00</t>
        </is>
      </c>
      <c r="O426">
        <f>"LIM-"&amp;G425&amp;"-LIM   LA "&amp;E425&amp;" ("&amp;LEFT(H425,5)&amp;"-"&amp;LEFT(I425,5)&amp;" hrs)  /  LA "&amp;E426&amp;" ("&amp;LEFT(H426,5)&amp;"-"&amp;LEFT(I426,5)&amp;" hrs)"</f>
        <v/>
      </c>
    </row>
    <row r="427">
      <c r="J427" s="8" t="inlineStr">
        <is>
          <t>PSV total:</t>
        </is>
      </c>
      <c r="K427" s="9">
        <f>TEXT(TIMEVALUE(I426)-TIMEVALUE(H425)+(I426&lt;H425),"[h]:mm")</f>
        <v/>
      </c>
    </row>
    <row r="429">
      <c r="B429" s="3" t="inlineStr">
        <is>
          <t>Pairing ID</t>
        </is>
      </c>
      <c r="C429" s="3" t="inlineStr">
        <is>
          <t>FECHA REAL</t>
        </is>
      </c>
      <c r="D429" s="3" t="inlineStr">
        <is>
          <t>Day of Week</t>
        </is>
      </c>
      <c r="E429" s="3" t="inlineStr">
        <is>
          <t>Flight No</t>
        </is>
      </c>
      <c r="F429" s="3" t="inlineStr">
        <is>
          <t>Dep Stn</t>
        </is>
      </c>
      <c r="G429" s="3" t="inlineStr">
        <is>
          <t>Arr Stn</t>
        </is>
      </c>
      <c r="H429" s="3" t="inlineStr">
        <is>
          <t>STD</t>
        </is>
      </c>
      <c r="I429" s="3" t="inlineStr">
        <is>
          <t>STA</t>
        </is>
      </c>
      <c r="J429" s="3" t="inlineStr">
        <is>
          <t>subflota</t>
        </is>
      </c>
      <c r="K429" s="3" t="inlineStr">
        <is>
          <t>Conexion</t>
        </is>
      </c>
      <c r="L429" s="3" t="inlineStr">
        <is>
          <t>HBT</t>
        </is>
      </c>
    </row>
    <row r="430">
      <c r="B430" s="4" t="n">
        <v>489</v>
      </c>
      <c r="C430" s="4" t="inlineStr">
        <is>
          <t>05/09/2026</t>
        </is>
      </c>
      <c r="D430" s="4" t="inlineStr">
        <is>
          <t>sábado</t>
        </is>
      </c>
      <c r="E430" s="4" t="n">
        <v>2264</v>
      </c>
      <c r="F430" s="4" t="inlineStr">
        <is>
          <t>LIM</t>
        </is>
      </c>
      <c r="G430" s="4" t="inlineStr">
        <is>
          <t>PEM</t>
        </is>
      </c>
      <c r="H430" s="4" t="inlineStr">
        <is>
          <t>14:55:00</t>
        </is>
      </c>
      <c r="I430" s="4" t="inlineStr">
        <is>
          <t>16:40:00</t>
        </is>
      </c>
      <c r="J430" s="4" t="n">
        <v>319</v>
      </c>
      <c r="L430" s="4" t="inlineStr">
        <is>
          <t>01:45:00</t>
        </is>
      </c>
      <c r="M430" s="5" t="n"/>
      <c r="N430" s="6" t="n"/>
      <c r="O430" s="5" t="n"/>
      <c r="Q430" s="4">
        <f>B430</f>
        <v/>
      </c>
      <c r="R430" s="4">
        <f>C430</f>
        <v/>
      </c>
      <c r="S430" s="4">
        <f>D430</f>
        <v/>
      </c>
      <c r="T430" s="4">
        <f>E430&amp;"/"&amp;E431</f>
        <v/>
      </c>
      <c r="U430" s="4">
        <f>F430&amp;"-"&amp;G430&amp;"-"&amp;F430</f>
        <v/>
      </c>
      <c r="V430" s="4">
        <f>IF($M$430="","",$M$430)</f>
        <v/>
      </c>
      <c r="W430" s="4">
        <f>IF($O$430="","",$O$430)</f>
        <v/>
      </c>
      <c r="X430" s="4">
        <f>J430</f>
        <v/>
      </c>
    </row>
    <row r="431">
      <c r="B431" s="4" t="n">
        <v>489</v>
      </c>
      <c r="C431" s="4" t="inlineStr">
        <is>
          <t>05/09/2026</t>
        </is>
      </c>
      <c r="D431" s="4" t="inlineStr">
        <is>
          <t>sábado</t>
        </is>
      </c>
      <c r="E431" s="4" t="n">
        <v>2265</v>
      </c>
      <c r="F431" s="4" t="inlineStr">
        <is>
          <t>PEM</t>
        </is>
      </c>
      <c r="G431" s="4" t="inlineStr">
        <is>
          <t>LIM</t>
        </is>
      </c>
      <c r="H431" s="4" t="inlineStr">
        <is>
          <t>17:20:00</t>
        </is>
      </c>
      <c r="I431" s="4" t="inlineStr">
        <is>
          <t>18:55:00</t>
        </is>
      </c>
      <c r="J431" s="4" t="n">
        <v>319</v>
      </c>
      <c r="K431">
        <f>TEXT(TIMEVALUE(H431)-TIMEVALUE(I430)+(TIMEVALUE(H431)&lt;TIMEVALUE(I430)),"[h]:mm")</f>
        <v/>
      </c>
      <c r="L431" s="4" t="inlineStr">
        <is>
          <t>01:35:00</t>
        </is>
      </c>
      <c r="O431">
        <f>"LIM-"&amp;G430&amp;"-LIM   LA "&amp;E430&amp;" ("&amp;LEFT(H430,5)&amp;"-"&amp;LEFT(I430,5)&amp;" hrs)  /  LA "&amp;E431&amp;" ("&amp;LEFT(H431,5)&amp;"-"&amp;LEFT(I431,5)&amp;" hrs)"</f>
        <v/>
      </c>
    </row>
    <row r="432">
      <c r="J432" s="8" t="inlineStr">
        <is>
          <t>PSV total:</t>
        </is>
      </c>
      <c r="K432" s="9">
        <f>TEXT(TIMEVALUE(I431)-TIMEVALUE(H430)+(I431&lt;H430),"[h]:mm")</f>
        <v/>
      </c>
    </row>
    <row r="434">
      <c r="B434" s="3" t="inlineStr">
        <is>
          <t>Pairing ID</t>
        </is>
      </c>
      <c r="C434" s="3" t="inlineStr">
        <is>
          <t>FECHA REAL</t>
        </is>
      </c>
      <c r="D434" s="3" t="inlineStr">
        <is>
          <t>Day of Week</t>
        </is>
      </c>
      <c r="E434" s="3" t="inlineStr">
        <is>
          <t>Flight No</t>
        </is>
      </c>
      <c r="F434" s="3" t="inlineStr">
        <is>
          <t>Dep Stn</t>
        </is>
      </c>
      <c r="G434" s="3" t="inlineStr">
        <is>
          <t>Arr Stn</t>
        </is>
      </c>
      <c r="H434" s="3" t="inlineStr">
        <is>
          <t>STD</t>
        </is>
      </c>
      <c r="I434" s="3" t="inlineStr">
        <is>
          <t>STA</t>
        </is>
      </c>
      <c r="J434" s="3" t="inlineStr">
        <is>
          <t>subflota</t>
        </is>
      </c>
      <c r="K434" s="3" t="inlineStr">
        <is>
          <t>Conexion</t>
        </is>
      </c>
      <c r="L434" s="3" t="inlineStr">
        <is>
          <t>HBT</t>
        </is>
      </c>
    </row>
    <row r="435">
      <c r="B435" s="4" t="n">
        <v>490</v>
      </c>
      <c r="C435" s="4" t="inlineStr">
        <is>
          <t>05/09/2026</t>
        </is>
      </c>
      <c r="D435" s="4" t="inlineStr">
        <is>
          <t>sábado</t>
        </is>
      </c>
      <c r="E435" s="4" t="n">
        <v>2338</v>
      </c>
      <c r="F435" s="4" t="inlineStr">
        <is>
          <t>LIM</t>
        </is>
      </c>
      <c r="G435" s="4" t="inlineStr">
        <is>
          <t>PIU</t>
        </is>
      </c>
      <c r="H435" s="4" t="inlineStr">
        <is>
          <t>15:00:00</t>
        </is>
      </c>
      <c r="I435" s="4" t="inlineStr">
        <is>
          <t>16:45:00</t>
        </is>
      </c>
      <c r="J435" s="4" t="n">
        <v>320</v>
      </c>
      <c r="L435" s="4" t="inlineStr">
        <is>
          <t>01:45:00</t>
        </is>
      </c>
      <c r="M435" s="5" t="n"/>
      <c r="N435" s="6" t="n"/>
      <c r="O435" s="5" t="n"/>
      <c r="Q435" s="4">
        <f>B435</f>
        <v/>
      </c>
      <c r="R435" s="4">
        <f>C435</f>
        <v/>
      </c>
      <c r="S435" s="4">
        <f>D435</f>
        <v/>
      </c>
      <c r="T435" s="4">
        <f>E435&amp;"/"&amp;E436</f>
        <v/>
      </c>
      <c r="U435" s="4">
        <f>F435&amp;"-"&amp;G435&amp;"-"&amp;F435</f>
        <v/>
      </c>
      <c r="V435" s="4">
        <f>IF($M$435="","",$M$435)</f>
        <v/>
      </c>
      <c r="W435" s="4">
        <f>IF($O$435="","",$O$435)</f>
        <v/>
      </c>
      <c r="X435" s="4">
        <f>J435</f>
        <v/>
      </c>
    </row>
    <row r="436">
      <c r="B436" s="4" t="n">
        <v>490</v>
      </c>
      <c r="C436" s="4" t="inlineStr">
        <is>
          <t>05/09/2026</t>
        </is>
      </c>
      <c r="D436" s="4" t="inlineStr">
        <is>
          <t>sábado</t>
        </is>
      </c>
      <c r="E436" s="4" t="n">
        <v>2339</v>
      </c>
      <c r="F436" s="4" t="inlineStr">
        <is>
          <t>PIU</t>
        </is>
      </c>
      <c r="G436" s="4" t="inlineStr">
        <is>
          <t>LIM</t>
        </is>
      </c>
      <c r="H436" s="4" t="inlineStr">
        <is>
          <t>17:20:00</t>
        </is>
      </c>
      <c r="I436" s="4" t="inlineStr">
        <is>
          <t>18:50:00</t>
        </is>
      </c>
      <c r="J436" s="4" t="n">
        <v>320</v>
      </c>
      <c r="K436">
        <f>TEXT(TIMEVALUE(H436)-TIMEVALUE(I435)+(TIMEVALUE(H436)&lt;TIMEVALUE(I435)),"[h]:mm")</f>
        <v/>
      </c>
      <c r="L436" s="4" t="inlineStr">
        <is>
          <t>01:30:00</t>
        </is>
      </c>
      <c r="O436">
        <f>"LIM-"&amp;G435&amp;"-LIM   LA "&amp;E435&amp;" ("&amp;LEFT(H435,5)&amp;"-"&amp;LEFT(I435,5)&amp;" hrs)  /  LA "&amp;E436&amp;" ("&amp;LEFT(H436,5)&amp;"-"&amp;LEFT(I436,5)&amp;" hrs)"</f>
        <v/>
      </c>
    </row>
    <row r="437">
      <c r="J437" s="8" t="inlineStr">
        <is>
          <t>PSV total:</t>
        </is>
      </c>
      <c r="K437" s="9">
        <f>TEXT(TIMEVALUE(I436)-TIMEVALUE(H435)+(I436&lt;H435),"[h]:mm")</f>
        <v/>
      </c>
    </row>
    <row r="439">
      <c r="B439" s="3" t="inlineStr">
        <is>
          <t>Pairing ID</t>
        </is>
      </c>
      <c r="C439" s="3" t="inlineStr">
        <is>
          <t>FECHA REAL</t>
        </is>
      </c>
      <c r="D439" s="3" t="inlineStr">
        <is>
          <t>Day of Week</t>
        </is>
      </c>
      <c r="E439" s="3" t="inlineStr">
        <is>
          <t>Flight No</t>
        </is>
      </c>
      <c r="F439" s="3" t="inlineStr">
        <is>
          <t>Dep Stn</t>
        </is>
      </c>
      <c r="G439" s="3" t="inlineStr">
        <is>
          <t>Arr Stn</t>
        </is>
      </c>
      <c r="H439" s="3" t="inlineStr">
        <is>
          <t>STD</t>
        </is>
      </c>
      <c r="I439" s="3" t="inlineStr">
        <is>
          <t>STA</t>
        </is>
      </c>
      <c r="J439" s="3" t="inlineStr">
        <is>
          <t>subflota</t>
        </is>
      </c>
      <c r="K439" s="3" t="inlineStr">
        <is>
          <t>Conexion</t>
        </is>
      </c>
      <c r="L439" s="3" t="inlineStr">
        <is>
          <t>HBT</t>
        </is>
      </c>
    </row>
    <row r="440">
      <c r="B440" s="4" t="n">
        <v>491</v>
      </c>
      <c r="C440" s="4" t="inlineStr">
        <is>
          <t>05/09/2026</t>
        </is>
      </c>
      <c r="D440" s="4" t="inlineStr">
        <is>
          <t>sábado</t>
        </is>
      </c>
      <c r="E440" s="4" t="n">
        <v>2113</v>
      </c>
      <c r="F440" s="4" t="inlineStr">
        <is>
          <t>LIM</t>
        </is>
      </c>
      <c r="G440" s="4" t="inlineStr">
        <is>
          <t>AQP</t>
        </is>
      </c>
      <c r="H440" s="4" t="inlineStr">
        <is>
          <t>15:05:00</t>
        </is>
      </c>
      <c r="I440" s="4" t="inlineStr">
        <is>
          <t>16:35:00</t>
        </is>
      </c>
      <c r="J440" s="4" t="n">
        <v>320</v>
      </c>
      <c r="L440" s="4" t="inlineStr">
        <is>
          <t>01:30:00</t>
        </is>
      </c>
      <c r="M440" s="5" t="n"/>
      <c r="N440" s="6" t="n"/>
      <c r="O440" s="5" t="n"/>
      <c r="Q440" s="4">
        <f>B440</f>
        <v/>
      </c>
      <c r="R440" s="4">
        <f>C440</f>
        <v/>
      </c>
      <c r="S440" s="4">
        <f>D440</f>
        <v/>
      </c>
      <c r="T440" s="4">
        <f>E440&amp;"/"&amp;E441</f>
        <v/>
      </c>
      <c r="U440" s="4">
        <f>F440&amp;"-"&amp;G440&amp;"-"&amp;F440</f>
        <v/>
      </c>
      <c r="V440" s="4">
        <f>IF($M$440="","",$M$440)</f>
        <v/>
      </c>
      <c r="W440" s="4">
        <f>IF($O$440="","",$O$440)</f>
        <v/>
      </c>
      <c r="X440" s="4">
        <f>J440</f>
        <v/>
      </c>
    </row>
    <row r="441">
      <c r="B441" s="4" t="n">
        <v>491</v>
      </c>
      <c r="C441" s="4" t="inlineStr">
        <is>
          <t>05/09/2026</t>
        </is>
      </c>
      <c r="D441" s="4" t="inlineStr">
        <is>
          <t>sábado</t>
        </is>
      </c>
      <c r="E441" s="4" t="n">
        <v>2112</v>
      </c>
      <c r="F441" s="4" t="inlineStr">
        <is>
          <t>AQP</t>
        </is>
      </c>
      <c r="G441" s="4" t="inlineStr">
        <is>
          <t>LIM</t>
        </is>
      </c>
      <c r="H441" s="4" t="inlineStr">
        <is>
          <t>17:15:00</t>
        </is>
      </c>
      <c r="I441" s="4" t="inlineStr">
        <is>
          <t>18:55:00</t>
        </is>
      </c>
      <c r="J441" s="4" t="n">
        <v>320</v>
      </c>
      <c r="K441">
        <f>TEXT(TIMEVALUE(H441)-TIMEVALUE(I440)+(TIMEVALUE(H441)&lt;TIMEVALUE(I440)),"[h]:mm")</f>
        <v/>
      </c>
      <c r="L441" s="4" t="inlineStr">
        <is>
          <t>01:40:00</t>
        </is>
      </c>
      <c r="O441">
        <f>"LIM-"&amp;G440&amp;"-LIM   LA "&amp;E440&amp;" ("&amp;LEFT(H440,5)&amp;"-"&amp;LEFT(I440,5)&amp;" hrs)  /  LA "&amp;E441&amp;" ("&amp;LEFT(H441,5)&amp;"-"&amp;LEFT(I441,5)&amp;" hrs)"</f>
        <v/>
      </c>
    </row>
    <row r="442">
      <c r="J442" s="8" t="inlineStr">
        <is>
          <t>PSV total:</t>
        </is>
      </c>
      <c r="K442" s="9">
        <f>TEXT(TIMEVALUE(I441)-TIMEVALUE(H440)+(I441&lt;H440),"[h]:mm")</f>
        <v/>
      </c>
    </row>
    <row r="444">
      <c r="B444" s="3" t="inlineStr">
        <is>
          <t>Pairing ID</t>
        </is>
      </c>
      <c r="C444" s="3" t="inlineStr">
        <is>
          <t>FECHA REAL</t>
        </is>
      </c>
      <c r="D444" s="3" t="inlineStr">
        <is>
          <t>Day of Week</t>
        </is>
      </c>
      <c r="E444" s="3" t="inlineStr">
        <is>
          <t>Flight No</t>
        </is>
      </c>
      <c r="F444" s="3" t="inlineStr">
        <is>
          <t>Dep Stn</t>
        </is>
      </c>
      <c r="G444" s="3" t="inlineStr">
        <is>
          <t>Arr Stn</t>
        </is>
      </c>
      <c r="H444" s="3" t="inlineStr">
        <is>
          <t>STD</t>
        </is>
      </c>
      <c r="I444" s="3" t="inlineStr">
        <is>
          <t>STA</t>
        </is>
      </c>
      <c r="J444" s="3" t="inlineStr">
        <is>
          <t>subflota</t>
        </is>
      </c>
      <c r="K444" s="3" t="inlineStr">
        <is>
          <t>Conexion</t>
        </is>
      </c>
      <c r="L444" s="3" t="inlineStr">
        <is>
          <t>HBT</t>
        </is>
      </c>
    </row>
    <row r="445">
      <c r="B445" s="4" t="n">
        <v>492</v>
      </c>
      <c r="C445" s="4" t="inlineStr">
        <is>
          <t>05/09/2026</t>
        </is>
      </c>
      <c r="D445" s="4" t="inlineStr">
        <is>
          <t>sábado</t>
        </is>
      </c>
      <c r="E445" s="4" t="n">
        <v>2113</v>
      </c>
      <c r="F445" s="4" t="inlineStr">
        <is>
          <t>LIM</t>
        </is>
      </c>
      <c r="G445" s="4" t="inlineStr">
        <is>
          <t>AQP</t>
        </is>
      </c>
      <c r="H445" s="4" t="inlineStr">
        <is>
          <t>15:05:00</t>
        </is>
      </c>
      <c r="I445" s="4" t="inlineStr">
        <is>
          <t>16:35:00</t>
        </is>
      </c>
      <c r="J445" s="4" t="n">
        <v>320</v>
      </c>
      <c r="L445" s="4" t="inlineStr">
        <is>
          <t>01:30:00</t>
        </is>
      </c>
      <c r="M445" s="5" t="n"/>
      <c r="N445" s="6" t="n"/>
      <c r="O445" s="5" t="n"/>
      <c r="Q445" s="4">
        <f>B445</f>
        <v/>
      </c>
      <c r="R445" s="4">
        <f>C445</f>
        <v/>
      </c>
      <c r="S445" s="4">
        <f>D445</f>
        <v/>
      </c>
      <c r="T445" s="4">
        <f>E445&amp;"/"&amp;E446</f>
        <v/>
      </c>
      <c r="U445" s="4">
        <f>F445&amp;"-"&amp;G445&amp;"-"&amp;F445</f>
        <v/>
      </c>
      <c r="V445" s="4">
        <f>IF($M$445="","",$M$445)</f>
        <v/>
      </c>
      <c r="W445" s="4">
        <f>IF($O$445="","",$O$445)</f>
        <v/>
      </c>
      <c r="X445" s="4">
        <f>J445</f>
        <v/>
      </c>
    </row>
    <row r="446">
      <c r="B446" s="4" t="n">
        <v>492</v>
      </c>
      <c r="C446" s="4" t="inlineStr">
        <is>
          <t>05/09/2026</t>
        </is>
      </c>
      <c r="D446" s="4" t="inlineStr">
        <is>
          <t>sábado</t>
        </is>
      </c>
      <c r="E446" s="4" t="n">
        <v>2112</v>
      </c>
      <c r="F446" s="4" t="inlineStr">
        <is>
          <t>AQP</t>
        </is>
      </c>
      <c r="G446" s="4" t="inlineStr">
        <is>
          <t>LIM</t>
        </is>
      </c>
      <c r="H446" s="4" t="inlineStr">
        <is>
          <t>17:15:00</t>
        </is>
      </c>
      <c r="I446" s="4" t="inlineStr">
        <is>
          <t>18:55:00</t>
        </is>
      </c>
      <c r="J446" s="4" t="n">
        <v>320</v>
      </c>
      <c r="K446">
        <f>TEXT(TIMEVALUE(H446)-TIMEVALUE(I445)+(TIMEVALUE(H446)&lt;TIMEVALUE(I445)),"[h]:mm")</f>
        <v/>
      </c>
      <c r="L446" s="4" t="inlineStr">
        <is>
          <t>01:40:00</t>
        </is>
      </c>
      <c r="O446">
        <f>"LIM-"&amp;G445&amp;"-LIM   LA "&amp;E445&amp;" ("&amp;LEFT(H445,5)&amp;"-"&amp;LEFT(I445,5)&amp;" hrs)  /  LA "&amp;E446&amp;" ("&amp;LEFT(H446,5)&amp;"-"&amp;LEFT(I446,5)&amp;" hrs)"</f>
        <v/>
      </c>
    </row>
    <row r="447">
      <c r="J447" s="8" t="inlineStr">
        <is>
          <t>PSV total:</t>
        </is>
      </c>
      <c r="K447" s="9">
        <f>TEXT(TIMEVALUE(I446)-TIMEVALUE(H445)+(I446&lt;H445),"[h]:mm")</f>
        <v/>
      </c>
    </row>
    <row r="449">
      <c r="B449" s="3" t="inlineStr">
        <is>
          <t>Pairing ID</t>
        </is>
      </c>
      <c r="C449" s="3" t="inlineStr">
        <is>
          <t>FECHA REAL</t>
        </is>
      </c>
      <c r="D449" s="3" t="inlineStr">
        <is>
          <t>Day of Week</t>
        </is>
      </c>
      <c r="E449" s="3" t="inlineStr">
        <is>
          <t>Flight No</t>
        </is>
      </c>
      <c r="F449" s="3" t="inlineStr">
        <is>
          <t>Dep Stn</t>
        </is>
      </c>
      <c r="G449" s="3" t="inlineStr">
        <is>
          <t>Arr Stn</t>
        </is>
      </c>
      <c r="H449" s="3" t="inlineStr">
        <is>
          <t>STD</t>
        </is>
      </c>
      <c r="I449" s="3" t="inlineStr">
        <is>
          <t>STA</t>
        </is>
      </c>
      <c r="J449" s="3" t="inlineStr">
        <is>
          <t>subflota</t>
        </is>
      </c>
      <c r="K449" s="3" t="inlineStr">
        <is>
          <t>Conexion</t>
        </is>
      </c>
      <c r="L449" s="3" t="inlineStr">
        <is>
          <t>HBT</t>
        </is>
      </c>
    </row>
    <row r="450">
      <c r="B450" s="4" t="n">
        <v>495</v>
      </c>
      <c r="C450" s="4" t="inlineStr">
        <is>
          <t>05/09/2026</t>
        </is>
      </c>
      <c r="D450" s="4" t="inlineStr">
        <is>
          <t>sábado</t>
        </is>
      </c>
      <c r="E450" s="4" t="n">
        <v>2360</v>
      </c>
      <c r="F450" s="4" t="inlineStr">
        <is>
          <t>LIM</t>
        </is>
      </c>
      <c r="G450" s="4" t="inlineStr">
        <is>
          <t>PCL</t>
        </is>
      </c>
      <c r="H450" s="4" t="inlineStr">
        <is>
          <t>15:25:00</t>
        </is>
      </c>
      <c r="I450" s="4" t="inlineStr">
        <is>
          <t>16:40:00</t>
        </is>
      </c>
      <c r="J450" s="4" t="n">
        <v>319</v>
      </c>
      <c r="L450" s="4" t="inlineStr">
        <is>
          <t>01:15:00</t>
        </is>
      </c>
      <c r="M450" s="5" t="n"/>
      <c r="N450" s="6" t="n"/>
      <c r="O450" s="5" t="n"/>
      <c r="Q450" s="4">
        <f>B450</f>
        <v/>
      </c>
      <c r="R450" s="4">
        <f>C450</f>
        <v/>
      </c>
      <c r="S450" s="4">
        <f>D450</f>
        <v/>
      </c>
      <c r="T450" s="4">
        <f>E450&amp;"/"&amp;E451</f>
        <v/>
      </c>
      <c r="U450" s="4">
        <f>F450&amp;"-"&amp;G450&amp;"-"&amp;F450</f>
        <v/>
      </c>
      <c r="V450" s="4">
        <f>IF($M$450="","",$M$450)</f>
        <v/>
      </c>
      <c r="W450" s="4">
        <f>IF($O$450="","",$O$450)</f>
        <v/>
      </c>
      <c r="X450" s="4">
        <f>J450</f>
        <v/>
      </c>
    </row>
    <row r="451">
      <c r="B451" s="4" t="n">
        <v>495</v>
      </c>
      <c r="C451" s="4" t="inlineStr">
        <is>
          <t>05/09/2026</t>
        </is>
      </c>
      <c r="D451" s="4" t="inlineStr">
        <is>
          <t>sábado</t>
        </is>
      </c>
      <c r="E451" s="4" t="n">
        <v>2361</v>
      </c>
      <c r="F451" s="4" t="inlineStr">
        <is>
          <t>PCL</t>
        </is>
      </c>
      <c r="G451" s="4" t="inlineStr">
        <is>
          <t>LIM</t>
        </is>
      </c>
      <c r="H451" s="4" t="inlineStr">
        <is>
          <t>17:20:00</t>
        </is>
      </c>
      <c r="I451" s="4" t="inlineStr">
        <is>
          <t>18:35:00</t>
        </is>
      </c>
      <c r="J451" s="4" t="n">
        <v>319</v>
      </c>
      <c r="K451">
        <f>TEXT(TIMEVALUE(H451)-TIMEVALUE(I450)+(TIMEVALUE(H451)&lt;TIMEVALUE(I450)),"[h]:mm")</f>
        <v/>
      </c>
      <c r="L451" s="4" t="inlineStr">
        <is>
          <t>01:15:00</t>
        </is>
      </c>
      <c r="O451">
        <f>"LIM-"&amp;G450&amp;"-LIM   LA "&amp;E450&amp;" ("&amp;LEFT(H450,5)&amp;"-"&amp;LEFT(I450,5)&amp;" hrs)  /  LA "&amp;E451&amp;" ("&amp;LEFT(H451,5)&amp;"-"&amp;LEFT(I451,5)&amp;" hrs)"</f>
        <v/>
      </c>
    </row>
    <row r="452">
      <c r="J452" s="8" t="inlineStr">
        <is>
          <t>PSV total:</t>
        </is>
      </c>
      <c r="K452" s="9">
        <f>TEXT(TIMEVALUE(I451)-TIMEVALUE(H450)+(I451&lt;H450),"[h]:mm")</f>
        <v/>
      </c>
    </row>
    <row r="454">
      <c r="B454" s="3" t="inlineStr">
        <is>
          <t>Pairing ID</t>
        </is>
      </c>
      <c r="C454" s="3" t="inlineStr">
        <is>
          <t>FECHA REAL</t>
        </is>
      </c>
      <c r="D454" s="3" t="inlineStr">
        <is>
          <t>Day of Week</t>
        </is>
      </c>
      <c r="E454" s="3" t="inlineStr">
        <is>
          <t>Flight No</t>
        </is>
      </c>
      <c r="F454" s="3" t="inlineStr">
        <is>
          <t>Dep Stn</t>
        </is>
      </c>
      <c r="G454" s="3" t="inlineStr">
        <is>
          <t>Arr Stn</t>
        </is>
      </c>
      <c r="H454" s="3" t="inlineStr">
        <is>
          <t>STD</t>
        </is>
      </c>
      <c r="I454" s="3" t="inlineStr">
        <is>
          <t>STA</t>
        </is>
      </c>
      <c r="J454" s="3" t="inlineStr">
        <is>
          <t>subflota</t>
        </is>
      </c>
      <c r="K454" s="3" t="inlineStr">
        <is>
          <t>Conexion</t>
        </is>
      </c>
      <c r="L454" s="3" t="inlineStr">
        <is>
          <t>HBT</t>
        </is>
      </c>
    </row>
    <row r="455">
      <c r="B455" s="4" t="n">
        <v>496</v>
      </c>
      <c r="C455" s="4" t="inlineStr">
        <is>
          <t>05/09/2026</t>
        </is>
      </c>
      <c r="D455" s="4" t="inlineStr">
        <is>
          <t>sábado</t>
        </is>
      </c>
      <c r="E455" s="4" t="n">
        <v>2312</v>
      </c>
      <c r="F455" s="4" t="inlineStr">
        <is>
          <t>LIM</t>
        </is>
      </c>
      <c r="G455" s="4" t="inlineStr">
        <is>
          <t>CIX</t>
        </is>
      </c>
      <c r="H455" s="4" t="inlineStr">
        <is>
          <t>15:35:00</t>
        </is>
      </c>
      <c r="I455" s="4" t="inlineStr">
        <is>
          <t>17:05:00</t>
        </is>
      </c>
      <c r="J455" s="4" t="n">
        <v>320</v>
      </c>
      <c r="L455" s="4" t="inlineStr">
        <is>
          <t>01:30:00</t>
        </is>
      </c>
      <c r="M455" s="5" t="n"/>
      <c r="N455" s="6" t="n"/>
      <c r="O455" s="5" t="n"/>
      <c r="Q455" s="4">
        <f>B455</f>
        <v/>
      </c>
      <c r="R455" s="4">
        <f>C455</f>
        <v/>
      </c>
      <c r="S455" s="4">
        <f>D455</f>
        <v/>
      </c>
      <c r="T455" s="4">
        <f>E455&amp;"/"&amp;E456</f>
        <v/>
      </c>
      <c r="U455" s="4">
        <f>F455&amp;"-"&amp;G455&amp;"-"&amp;F455</f>
        <v/>
      </c>
      <c r="V455" s="4">
        <f>IF($M$455="","",$M$455)</f>
        <v/>
      </c>
      <c r="W455" s="4">
        <f>IF($O$455="","",$O$455)</f>
        <v/>
      </c>
      <c r="X455" s="4">
        <f>J455</f>
        <v/>
      </c>
    </row>
    <row r="456">
      <c r="B456" s="4" t="n">
        <v>496</v>
      </c>
      <c r="C456" s="4" t="inlineStr">
        <is>
          <t>05/09/2026</t>
        </is>
      </c>
      <c r="D456" s="4" t="inlineStr">
        <is>
          <t>sábado</t>
        </is>
      </c>
      <c r="E456" s="4" t="n">
        <v>2313</v>
      </c>
      <c r="F456" s="4" t="inlineStr">
        <is>
          <t>CIX</t>
        </is>
      </c>
      <c r="G456" s="4" t="inlineStr">
        <is>
          <t>LIM</t>
        </is>
      </c>
      <c r="H456" s="4" t="inlineStr">
        <is>
          <t>17:50:00</t>
        </is>
      </c>
      <c r="I456" s="4" t="inlineStr">
        <is>
          <t>19:10:00</t>
        </is>
      </c>
      <c r="J456" s="4" t="n">
        <v>320</v>
      </c>
      <c r="K456">
        <f>TEXT(TIMEVALUE(H456)-TIMEVALUE(I455)+(TIMEVALUE(H456)&lt;TIMEVALUE(I455)),"[h]:mm")</f>
        <v/>
      </c>
      <c r="L456" s="4" t="inlineStr">
        <is>
          <t>01:20:00</t>
        </is>
      </c>
      <c r="O456">
        <f>"LIM-"&amp;G455&amp;"-LIM   LA "&amp;E455&amp;" ("&amp;LEFT(H455,5)&amp;"-"&amp;LEFT(I455,5)&amp;" hrs)  /  LA "&amp;E456&amp;" ("&amp;LEFT(H456,5)&amp;"-"&amp;LEFT(I456,5)&amp;" hrs)"</f>
        <v/>
      </c>
    </row>
    <row r="457">
      <c r="J457" s="8" t="inlineStr">
        <is>
          <t>PSV total:</t>
        </is>
      </c>
      <c r="K457" s="9">
        <f>TEXT(TIMEVALUE(I456)-TIMEVALUE(H455)+(I456&lt;H455),"[h]:mm")</f>
        <v/>
      </c>
    </row>
    <row r="459">
      <c r="B459" s="3" t="inlineStr">
        <is>
          <t>Pairing ID</t>
        </is>
      </c>
      <c r="C459" s="3" t="inlineStr">
        <is>
          <t>FECHA REAL</t>
        </is>
      </c>
      <c r="D459" s="3" t="inlineStr">
        <is>
          <t>Day of Week</t>
        </is>
      </c>
      <c r="E459" s="3" t="inlineStr">
        <is>
          <t>Flight No</t>
        </is>
      </c>
      <c r="F459" s="3" t="inlineStr">
        <is>
          <t>Dep Stn</t>
        </is>
      </c>
      <c r="G459" s="3" t="inlineStr">
        <is>
          <t>Arr Stn</t>
        </is>
      </c>
      <c r="H459" s="3" t="inlineStr">
        <is>
          <t>STD</t>
        </is>
      </c>
      <c r="I459" s="3" t="inlineStr">
        <is>
          <t>STA</t>
        </is>
      </c>
      <c r="J459" s="3" t="inlineStr">
        <is>
          <t>subflota</t>
        </is>
      </c>
      <c r="K459" s="3" t="inlineStr">
        <is>
          <t>Conexion</t>
        </is>
      </c>
      <c r="L459" s="3" t="inlineStr">
        <is>
          <t>HBT</t>
        </is>
      </c>
    </row>
    <row r="460">
      <c r="B460" s="4" t="n">
        <v>497</v>
      </c>
      <c r="C460" s="4" t="inlineStr">
        <is>
          <t>05/09/2026</t>
        </is>
      </c>
      <c r="D460" s="4" t="inlineStr">
        <is>
          <t>sábado</t>
        </is>
      </c>
      <c r="E460" s="4" t="n">
        <v>2301</v>
      </c>
      <c r="F460" s="4" t="inlineStr">
        <is>
          <t>LIM</t>
        </is>
      </c>
      <c r="G460" s="4" t="inlineStr">
        <is>
          <t>TPP</t>
        </is>
      </c>
      <c r="H460" s="4" t="inlineStr">
        <is>
          <t>15:40:00</t>
        </is>
      </c>
      <c r="I460" s="4" t="inlineStr">
        <is>
          <t>17:05:00</t>
        </is>
      </c>
      <c r="J460" s="4" t="n">
        <v>320</v>
      </c>
      <c r="L460" s="4" t="inlineStr">
        <is>
          <t>01:25:00</t>
        </is>
      </c>
      <c r="M460" s="5" t="n"/>
      <c r="N460" s="6" t="n"/>
      <c r="O460" s="5" t="n"/>
      <c r="Q460" s="4">
        <f>B460</f>
        <v/>
      </c>
      <c r="R460" s="4">
        <f>C460</f>
        <v/>
      </c>
      <c r="S460" s="4">
        <f>D460</f>
        <v/>
      </c>
      <c r="T460" s="4">
        <f>E460&amp;"/"&amp;E461</f>
        <v/>
      </c>
      <c r="U460" s="4">
        <f>F460&amp;"-"&amp;G460&amp;"-"&amp;F460</f>
        <v/>
      </c>
      <c r="V460" s="4">
        <f>IF($M$460="","",$M$460)</f>
        <v/>
      </c>
      <c r="W460" s="4">
        <f>IF($O$460="","",$O$460)</f>
        <v/>
      </c>
      <c r="X460" s="4">
        <f>J460</f>
        <v/>
      </c>
    </row>
    <row r="461">
      <c r="B461" s="4" t="n">
        <v>497</v>
      </c>
      <c r="C461" s="4" t="inlineStr">
        <is>
          <t>05/09/2026</t>
        </is>
      </c>
      <c r="D461" s="4" t="inlineStr">
        <is>
          <t>sábado</t>
        </is>
      </c>
      <c r="E461" s="4" t="n">
        <v>2300</v>
      </c>
      <c r="F461" s="4" t="inlineStr">
        <is>
          <t>TPP</t>
        </is>
      </c>
      <c r="G461" s="4" t="inlineStr">
        <is>
          <t>LIM</t>
        </is>
      </c>
      <c r="H461" s="4" t="inlineStr">
        <is>
          <t>17:50:00</t>
        </is>
      </c>
      <c r="I461" s="4" t="inlineStr">
        <is>
          <t>19:20:00</t>
        </is>
      </c>
      <c r="J461" s="4" t="n">
        <v>320</v>
      </c>
      <c r="K461">
        <f>TEXT(TIMEVALUE(H461)-TIMEVALUE(I460)+(TIMEVALUE(H461)&lt;TIMEVALUE(I460)),"[h]:mm")</f>
        <v/>
      </c>
      <c r="L461" s="4" t="inlineStr">
        <is>
          <t>01:30:00</t>
        </is>
      </c>
      <c r="O461">
        <f>"LIM-"&amp;G460&amp;"-LIM   LA "&amp;E460&amp;" ("&amp;LEFT(H460,5)&amp;"-"&amp;LEFT(I460,5)&amp;" hrs)  /  LA "&amp;E461&amp;" ("&amp;LEFT(H461,5)&amp;"-"&amp;LEFT(I461,5)&amp;" hrs)"</f>
        <v/>
      </c>
    </row>
    <row r="462">
      <c r="J462" s="8" t="inlineStr">
        <is>
          <t>PSV total:</t>
        </is>
      </c>
      <c r="K462" s="9">
        <f>TEXT(TIMEVALUE(I461)-TIMEVALUE(H460)+(I461&lt;H460),"[h]:mm")</f>
        <v/>
      </c>
    </row>
    <row r="464">
      <c r="B464" s="3" t="inlineStr">
        <is>
          <t>Pairing ID</t>
        </is>
      </c>
      <c r="C464" s="3" t="inlineStr">
        <is>
          <t>FECHA REAL</t>
        </is>
      </c>
      <c r="D464" s="3" t="inlineStr">
        <is>
          <t>Day of Week</t>
        </is>
      </c>
      <c r="E464" s="3" t="inlineStr">
        <is>
          <t>Flight No</t>
        </is>
      </c>
      <c r="F464" s="3" t="inlineStr">
        <is>
          <t>Dep Stn</t>
        </is>
      </c>
      <c r="G464" s="3" t="inlineStr">
        <is>
          <t>Arr Stn</t>
        </is>
      </c>
      <c r="H464" s="3" t="inlineStr">
        <is>
          <t>STD</t>
        </is>
      </c>
      <c r="I464" s="3" t="inlineStr">
        <is>
          <t>STA</t>
        </is>
      </c>
      <c r="J464" s="3" t="inlineStr">
        <is>
          <t>subflota</t>
        </is>
      </c>
      <c r="K464" s="3" t="inlineStr">
        <is>
          <t>Conexion</t>
        </is>
      </c>
      <c r="L464" s="3" t="inlineStr">
        <is>
          <t>HBT</t>
        </is>
      </c>
    </row>
    <row r="465">
      <c r="B465" s="4" t="n">
        <v>548</v>
      </c>
      <c r="C465" s="4" t="inlineStr">
        <is>
          <t>06/09/2026</t>
        </is>
      </c>
      <c r="D465" s="4" t="inlineStr">
        <is>
          <t>domingo</t>
        </is>
      </c>
      <c r="E465" s="4" t="n">
        <v>2123</v>
      </c>
      <c r="F465" s="4" t="inlineStr">
        <is>
          <t>LIM</t>
        </is>
      </c>
      <c r="G465" s="4" t="inlineStr">
        <is>
          <t>AQP</t>
        </is>
      </c>
      <c r="H465" s="4" t="inlineStr">
        <is>
          <t>09:15:00</t>
        </is>
      </c>
      <c r="I465" s="4" t="inlineStr">
        <is>
          <t>10:45:00</t>
        </is>
      </c>
      <c r="J465" s="4" t="n">
        <v>320</v>
      </c>
      <c r="L465" s="4" t="inlineStr">
        <is>
          <t>01:30:00</t>
        </is>
      </c>
      <c r="M465" s="5" t="n"/>
      <c r="N465" s="6" t="n"/>
      <c r="O465" s="5" t="n"/>
      <c r="Q465" s="4">
        <f>B465</f>
        <v/>
      </c>
      <c r="R465" s="4">
        <f>C465</f>
        <v/>
      </c>
      <c r="S465" s="4">
        <f>D465</f>
        <v/>
      </c>
      <c r="T465" s="4">
        <f>E465&amp;"/"&amp;E466</f>
        <v/>
      </c>
      <c r="U465" s="4">
        <f>F465&amp;"-"&amp;G465&amp;"-"&amp;F465</f>
        <v/>
      </c>
      <c r="V465" s="4">
        <f>IF($M$465="","",$M$465)</f>
        <v/>
      </c>
      <c r="W465" s="4">
        <f>IF($O$465="","",$O$465)</f>
        <v/>
      </c>
      <c r="X465" s="4">
        <f>J465</f>
        <v/>
      </c>
    </row>
    <row r="466">
      <c r="B466" s="4" t="n">
        <v>548</v>
      </c>
      <c r="C466" s="4" t="inlineStr">
        <is>
          <t>06/09/2026</t>
        </is>
      </c>
      <c r="D466" s="4" t="inlineStr">
        <is>
          <t>domingo</t>
        </is>
      </c>
      <c r="E466" s="4" t="n">
        <v>2124</v>
      </c>
      <c r="F466" s="4" t="inlineStr">
        <is>
          <t>AQP</t>
        </is>
      </c>
      <c r="G466" s="4" t="inlineStr">
        <is>
          <t>LIM</t>
        </is>
      </c>
      <c r="H466" s="4" t="inlineStr">
        <is>
          <t>11:35:00</t>
        </is>
      </c>
      <c r="I466" s="4" t="inlineStr">
        <is>
          <t>13:10:00</t>
        </is>
      </c>
      <c r="J466" s="4" t="n">
        <v>320</v>
      </c>
      <c r="K466">
        <f>TEXT(TIMEVALUE(H466)-TIMEVALUE(I465)+(TIMEVALUE(H466)&lt;TIMEVALUE(I465)),"[h]:mm")</f>
        <v/>
      </c>
      <c r="L466" s="4" t="inlineStr">
        <is>
          <t>01:35:00</t>
        </is>
      </c>
      <c r="O466">
        <f>"LIM-"&amp;G465&amp;"-LIM   LA "&amp;E465&amp;" ("&amp;LEFT(H465,5)&amp;"-"&amp;LEFT(I465,5)&amp;" hrs)  /  LA "&amp;E466&amp;" ("&amp;LEFT(H466,5)&amp;"-"&amp;LEFT(I466,5)&amp;" hrs)"</f>
        <v/>
      </c>
    </row>
    <row r="467">
      <c r="B467" s="4" t="n">
        <v>567</v>
      </c>
      <c r="C467" s="4" t="inlineStr">
        <is>
          <t>06/09/2026</t>
        </is>
      </c>
      <c r="D467" s="4" t="inlineStr">
        <is>
          <t>domingo</t>
        </is>
      </c>
      <c r="E467" s="4" t="n">
        <v>2087</v>
      </c>
      <c r="F467" s="4" t="inlineStr">
        <is>
          <t>LIM</t>
        </is>
      </c>
      <c r="G467" s="4" t="inlineStr">
        <is>
          <t>TPP</t>
        </is>
      </c>
      <c r="H467" s="4" t="inlineStr">
        <is>
          <t>14:05:00</t>
        </is>
      </c>
      <c r="I467" s="4" t="inlineStr">
        <is>
          <t>15:30:00</t>
        </is>
      </c>
      <c r="J467" s="4" t="n">
        <v>320</v>
      </c>
      <c r="K467" s="7">
        <f>TEXT(TIMEVALUE(H467)-TIMEVALUE(I466)+(TIMEVALUE(H467)&lt;TIMEVALUE(I466)),"[h]:mm")</f>
        <v/>
      </c>
      <c r="L467" s="4" t="inlineStr">
        <is>
          <t>01:25:00</t>
        </is>
      </c>
      <c r="M467">
        <f>IF($M$465="","",$M$465)</f>
        <v/>
      </c>
      <c r="O467">
        <f>IF($O$465="","",$O$465)</f>
        <v/>
      </c>
      <c r="Q467" s="4">
        <f>B467</f>
        <v/>
      </c>
      <c r="R467" s="4">
        <f>C467</f>
        <v/>
      </c>
      <c r="S467" s="4">
        <f>D467</f>
        <v/>
      </c>
      <c r="T467" s="4">
        <f>E467&amp;"/"&amp;E468</f>
        <v/>
      </c>
      <c r="U467" s="4">
        <f>F467&amp;"-"&amp;G467&amp;"-"&amp;F467</f>
        <v/>
      </c>
      <c r="V467" s="4">
        <f>IF($M$465="","",$M$465)</f>
        <v/>
      </c>
      <c r="W467" s="4">
        <f>IF($O$465="","",$O$465)</f>
        <v/>
      </c>
      <c r="X467" s="4">
        <f>J467</f>
        <v/>
      </c>
    </row>
    <row r="468">
      <c r="B468" s="4" t="n">
        <v>567</v>
      </c>
      <c r="C468" s="4" t="inlineStr">
        <is>
          <t>06/09/2026</t>
        </is>
      </c>
      <c r="D468" s="4" t="inlineStr">
        <is>
          <t>domingo</t>
        </is>
      </c>
      <c r="E468" s="4" t="n">
        <v>2088</v>
      </c>
      <c r="F468" s="4" t="inlineStr">
        <is>
          <t>TPP</t>
        </is>
      </c>
      <c r="G468" s="4" t="inlineStr">
        <is>
          <t>LIM</t>
        </is>
      </c>
      <c r="H468" s="4" t="inlineStr">
        <is>
          <t>16:05:00</t>
        </is>
      </c>
      <c r="I468" s="4" t="inlineStr">
        <is>
          <t>17:30:00</t>
        </is>
      </c>
      <c r="J468" s="4" t="n">
        <v>320</v>
      </c>
      <c r="K468">
        <f>TEXT(TIMEVALUE(H468)-TIMEVALUE(I467)+(TIMEVALUE(H468)&lt;TIMEVALUE(I467)),"[h]:mm")</f>
        <v/>
      </c>
      <c r="L468" s="4" t="inlineStr">
        <is>
          <t>01:25:00</t>
        </is>
      </c>
      <c r="O468">
        <f>"LIM-"&amp;G467&amp;"-LIM   LA "&amp;E467&amp;" ("&amp;LEFT(H467,5)&amp;"-"&amp;LEFT(I467,5)&amp;" hrs)  /  LA "&amp;E468&amp;" ("&amp;LEFT(H468,5)&amp;"-"&amp;LEFT(I468,5)&amp;" hrs)"</f>
        <v/>
      </c>
    </row>
    <row r="469">
      <c r="J469" s="8" t="inlineStr">
        <is>
          <t>PSV total:</t>
        </is>
      </c>
      <c r="K469" s="9">
        <f>TEXT(TIMEVALUE(I468)-TIMEVALUE(H465)+(I468&lt;H465),"[h]:mm")</f>
        <v/>
      </c>
    </row>
    <row r="471">
      <c r="B471" s="3" t="inlineStr">
        <is>
          <t>Pairing ID</t>
        </is>
      </c>
      <c r="C471" s="3" t="inlineStr">
        <is>
          <t>FECHA REAL</t>
        </is>
      </c>
      <c r="D471" s="3" t="inlineStr">
        <is>
          <t>Day of Week</t>
        </is>
      </c>
      <c r="E471" s="3" t="inlineStr">
        <is>
          <t>Flight No</t>
        </is>
      </c>
      <c r="F471" s="3" t="inlineStr">
        <is>
          <t>Dep Stn</t>
        </is>
      </c>
      <c r="G471" s="3" t="inlineStr">
        <is>
          <t>Arr Stn</t>
        </is>
      </c>
      <c r="H471" s="3" t="inlineStr">
        <is>
          <t>STD</t>
        </is>
      </c>
      <c r="I471" s="3" t="inlineStr">
        <is>
          <t>STA</t>
        </is>
      </c>
      <c r="J471" s="3" t="inlineStr">
        <is>
          <t>subflota</t>
        </is>
      </c>
      <c r="K471" s="3" t="inlineStr">
        <is>
          <t>Conexion</t>
        </is>
      </c>
      <c r="L471" s="3" t="inlineStr">
        <is>
          <t>HBT</t>
        </is>
      </c>
    </row>
    <row r="472">
      <c r="B472" s="4" t="n">
        <v>553</v>
      </c>
      <c r="C472" s="4" t="inlineStr">
        <is>
          <t>06/09/2026</t>
        </is>
      </c>
      <c r="D472" s="4" t="inlineStr">
        <is>
          <t>domingo</t>
        </is>
      </c>
      <c r="E472" s="4" t="n">
        <v>2350</v>
      </c>
      <c r="F472" s="4" t="inlineStr">
        <is>
          <t>LIM</t>
        </is>
      </c>
      <c r="G472" s="4" t="inlineStr">
        <is>
          <t>CJA</t>
        </is>
      </c>
      <c r="H472" s="4" t="inlineStr">
        <is>
          <t>10:40:00</t>
        </is>
      </c>
      <c r="I472" s="4" t="inlineStr">
        <is>
          <t>12:00:00</t>
        </is>
      </c>
      <c r="J472" s="4" t="n">
        <v>320</v>
      </c>
      <c r="L472" s="4" t="inlineStr">
        <is>
          <t>01:20:00</t>
        </is>
      </c>
      <c r="M472" s="5" t="n"/>
      <c r="N472" s="6" t="n"/>
      <c r="O472" s="5" t="n"/>
      <c r="Q472" s="4">
        <f>B472</f>
        <v/>
      </c>
      <c r="R472" s="4">
        <f>C472</f>
        <v/>
      </c>
      <c r="S472" s="4">
        <f>D472</f>
        <v/>
      </c>
      <c r="T472" s="4">
        <f>E472&amp;"/"&amp;E473</f>
        <v/>
      </c>
      <c r="U472" s="4">
        <f>F472&amp;"-"&amp;G472&amp;"-"&amp;F472</f>
        <v/>
      </c>
      <c r="V472" s="4">
        <f>IF($M$472="","",$M$472)</f>
        <v/>
      </c>
      <c r="W472" s="4">
        <f>IF($O$472="","",$O$472)</f>
        <v/>
      </c>
      <c r="X472" s="4">
        <f>J472</f>
        <v/>
      </c>
    </row>
    <row r="473">
      <c r="B473" s="4" t="n">
        <v>553</v>
      </c>
      <c r="C473" s="4" t="inlineStr">
        <is>
          <t>06/09/2026</t>
        </is>
      </c>
      <c r="D473" s="4" t="inlineStr">
        <is>
          <t>domingo</t>
        </is>
      </c>
      <c r="E473" s="4" t="n">
        <v>2351</v>
      </c>
      <c r="F473" s="4" t="inlineStr">
        <is>
          <t>CJA</t>
        </is>
      </c>
      <c r="G473" s="4" t="inlineStr">
        <is>
          <t>LIM</t>
        </is>
      </c>
      <c r="H473" s="4" t="inlineStr">
        <is>
          <t>12:50:00</t>
        </is>
      </c>
      <c r="I473" s="4" t="inlineStr">
        <is>
          <t>14:00:00</t>
        </is>
      </c>
      <c r="J473" s="4" t="n">
        <v>320</v>
      </c>
      <c r="K473">
        <f>TEXT(TIMEVALUE(H473)-TIMEVALUE(I472)+(TIMEVALUE(H473)&lt;TIMEVALUE(I472)),"[h]:mm")</f>
        <v/>
      </c>
      <c r="L473" s="4" t="inlineStr">
        <is>
          <t>01:10:00</t>
        </is>
      </c>
      <c r="O473">
        <f>"LIM-"&amp;G472&amp;"-LIM   LA "&amp;E472&amp;" ("&amp;LEFT(H472,5)&amp;"-"&amp;LEFT(I472,5)&amp;" hrs)  /  LA "&amp;E473&amp;" ("&amp;LEFT(H473,5)&amp;"-"&amp;LEFT(I473,5)&amp;" hrs)"</f>
        <v/>
      </c>
    </row>
    <row r="474">
      <c r="B474" s="4" t="n">
        <v>571</v>
      </c>
      <c r="C474" s="4" t="inlineStr">
        <is>
          <t>06/09/2026</t>
        </is>
      </c>
      <c r="D474" s="4" t="inlineStr">
        <is>
          <t>domingo</t>
        </is>
      </c>
      <c r="E474" s="4" t="n">
        <v>2248</v>
      </c>
      <c r="F474" s="4" t="inlineStr">
        <is>
          <t>LIM</t>
        </is>
      </c>
      <c r="G474" s="4" t="inlineStr">
        <is>
          <t>CUZ</t>
        </is>
      </c>
      <c r="H474" s="4" t="inlineStr">
        <is>
          <t>15:00:00</t>
        </is>
      </c>
      <c r="I474" s="4" t="inlineStr">
        <is>
          <t>16:20:00</t>
        </is>
      </c>
      <c r="J474" s="4" t="n">
        <v>320</v>
      </c>
      <c r="K474" s="7">
        <f>TEXT(TIMEVALUE(H474)-TIMEVALUE(I473)+(TIMEVALUE(H474)&lt;TIMEVALUE(I473)),"[h]:mm")</f>
        <v/>
      </c>
      <c r="L474" s="4" t="inlineStr">
        <is>
          <t>01:20:00</t>
        </is>
      </c>
      <c r="M474">
        <f>IF($M$472="","",$M$472)</f>
        <v/>
      </c>
      <c r="O474">
        <f>IF($O$472="","",$O$472)</f>
        <v/>
      </c>
      <c r="Q474" s="4">
        <f>B474</f>
        <v/>
      </c>
      <c r="R474" s="4">
        <f>C474</f>
        <v/>
      </c>
      <c r="S474" s="4">
        <f>D474</f>
        <v/>
      </c>
      <c r="T474" s="4">
        <f>E474&amp;"/"&amp;E475</f>
        <v/>
      </c>
      <c r="U474" s="4">
        <f>F474&amp;"-"&amp;G474&amp;"-"&amp;F474</f>
        <v/>
      </c>
      <c r="V474" s="4">
        <f>IF($M$472="","",$M$472)</f>
        <v/>
      </c>
      <c r="W474" s="4">
        <f>IF($O$472="","",$O$472)</f>
        <v/>
      </c>
      <c r="X474" s="4">
        <f>J474</f>
        <v/>
      </c>
    </row>
    <row r="475">
      <c r="B475" s="4" t="n">
        <v>571</v>
      </c>
      <c r="C475" s="4" t="inlineStr">
        <is>
          <t>06/09/2026</t>
        </is>
      </c>
      <c r="D475" s="4" t="inlineStr">
        <is>
          <t>domingo</t>
        </is>
      </c>
      <c r="E475" s="4" t="n">
        <v>2025</v>
      </c>
      <c r="F475" s="4" t="inlineStr">
        <is>
          <t>CUZ</t>
        </is>
      </c>
      <c r="G475" s="4" t="inlineStr">
        <is>
          <t>LIM</t>
        </is>
      </c>
      <c r="H475" s="4" t="inlineStr">
        <is>
          <t>16:55:00</t>
        </is>
      </c>
      <c r="I475" s="4" t="inlineStr">
        <is>
          <t>18:30:00</t>
        </is>
      </c>
      <c r="J475" s="4" t="n">
        <v>320</v>
      </c>
      <c r="K475">
        <f>TEXT(TIMEVALUE(H475)-TIMEVALUE(I474)+(TIMEVALUE(H475)&lt;TIMEVALUE(I474)),"[h]:mm")</f>
        <v/>
      </c>
      <c r="L475" s="4" t="inlineStr">
        <is>
          <t>01:35:00</t>
        </is>
      </c>
      <c r="O475">
        <f>"LIM-"&amp;G474&amp;"-LIM   LA "&amp;E474&amp;" ("&amp;LEFT(H474,5)&amp;"-"&amp;LEFT(I474,5)&amp;" hrs)  /  LA "&amp;E475&amp;" ("&amp;LEFT(H475,5)&amp;"-"&amp;LEFT(I475,5)&amp;" hrs)"</f>
        <v/>
      </c>
    </row>
    <row r="476">
      <c r="J476" s="8" t="inlineStr">
        <is>
          <t>PSV total:</t>
        </is>
      </c>
      <c r="K476" s="9">
        <f>TEXT(TIMEVALUE(I475)-TIMEVALUE(H472)+(I475&lt;H472),"[h]:mm")</f>
        <v/>
      </c>
    </row>
    <row r="478">
      <c r="B478" s="3" t="inlineStr">
        <is>
          <t>Pairing ID</t>
        </is>
      </c>
      <c r="C478" s="3" t="inlineStr">
        <is>
          <t>FECHA REAL</t>
        </is>
      </c>
      <c r="D478" s="3" t="inlineStr">
        <is>
          <t>Day of Week</t>
        </is>
      </c>
      <c r="E478" s="3" t="inlineStr">
        <is>
          <t>Flight No</t>
        </is>
      </c>
      <c r="F478" s="3" t="inlineStr">
        <is>
          <t>Dep Stn</t>
        </is>
      </c>
      <c r="G478" s="3" t="inlineStr">
        <is>
          <t>Arr Stn</t>
        </is>
      </c>
      <c r="H478" s="3" t="inlineStr">
        <is>
          <t>STD</t>
        </is>
      </c>
      <c r="I478" s="3" t="inlineStr">
        <is>
          <t>STA</t>
        </is>
      </c>
      <c r="J478" s="3" t="inlineStr">
        <is>
          <t>subflota</t>
        </is>
      </c>
      <c r="K478" s="3" t="inlineStr">
        <is>
          <t>Conexion</t>
        </is>
      </c>
      <c r="L478" s="3" t="inlineStr">
        <is>
          <t>HBT</t>
        </is>
      </c>
    </row>
    <row r="479">
      <c r="B479" s="4" t="n">
        <v>554</v>
      </c>
      <c r="C479" s="4" t="inlineStr">
        <is>
          <t>06/09/2026</t>
        </is>
      </c>
      <c r="D479" s="4" t="inlineStr">
        <is>
          <t>domingo</t>
        </is>
      </c>
      <c r="E479" s="4" t="n">
        <v>2019</v>
      </c>
      <c r="F479" s="4" t="inlineStr">
        <is>
          <t>LIM</t>
        </is>
      </c>
      <c r="G479" s="4" t="inlineStr">
        <is>
          <t>IQT</t>
        </is>
      </c>
      <c r="H479" s="4" t="inlineStr">
        <is>
          <t>11:35:00</t>
        </is>
      </c>
      <c r="I479" s="4" t="inlineStr">
        <is>
          <t>13:25:00</t>
        </is>
      </c>
      <c r="J479" s="4" t="n">
        <v>320</v>
      </c>
      <c r="L479" s="4" t="inlineStr">
        <is>
          <t>01:50:00</t>
        </is>
      </c>
      <c r="M479" s="5" t="n"/>
      <c r="N479" s="6" t="n"/>
      <c r="O479" s="5" t="n"/>
      <c r="Q479" s="4">
        <f>B479</f>
        <v/>
      </c>
      <c r="R479" s="4">
        <f>C479</f>
        <v/>
      </c>
      <c r="S479" s="4">
        <f>D479</f>
        <v/>
      </c>
      <c r="T479" s="4">
        <f>E479&amp;"/"&amp;E480</f>
        <v/>
      </c>
      <c r="U479" s="4">
        <f>F479&amp;"-"&amp;G479&amp;"-"&amp;F479</f>
        <v/>
      </c>
      <c r="V479" s="4">
        <f>IF($M$479="","",$M$479)</f>
        <v/>
      </c>
      <c r="W479" s="4">
        <f>IF($O$479="","",$O$479)</f>
        <v/>
      </c>
      <c r="X479" s="4">
        <f>J479</f>
        <v/>
      </c>
    </row>
    <row r="480">
      <c r="B480" s="4" t="n">
        <v>554</v>
      </c>
      <c r="C480" s="4" t="inlineStr">
        <is>
          <t>06/09/2026</t>
        </is>
      </c>
      <c r="D480" s="4" t="inlineStr">
        <is>
          <t>domingo</t>
        </is>
      </c>
      <c r="E480" s="4" t="n">
        <v>2038</v>
      </c>
      <c r="F480" s="4" t="inlineStr">
        <is>
          <t>IQT</t>
        </is>
      </c>
      <c r="G480" s="4" t="inlineStr">
        <is>
          <t>LIM</t>
        </is>
      </c>
      <c r="H480" s="4" t="inlineStr">
        <is>
          <t>14:05:00</t>
        </is>
      </c>
      <c r="I480" s="4" t="inlineStr">
        <is>
          <t>15:55:00</t>
        </is>
      </c>
      <c r="J480" s="4" t="n">
        <v>320</v>
      </c>
      <c r="K480">
        <f>TEXT(TIMEVALUE(H480)-TIMEVALUE(I479)+(TIMEVALUE(H480)&lt;TIMEVALUE(I479)),"[h]:mm")</f>
        <v/>
      </c>
      <c r="L480" s="4" t="inlineStr">
        <is>
          <t>01:50:00</t>
        </is>
      </c>
      <c r="O480">
        <f>"LIM-"&amp;G479&amp;"-LIM   LA "&amp;E479&amp;" ("&amp;LEFT(H479,5)&amp;"-"&amp;LEFT(I479,5)&amp;" hrs)  /  LA "&amp;E480&amp;" ("&amp;LEFT(H480,5)&amp;"-"&amp;LEFT(I480,5)&amp;" hrs)"</f>
        <v/>
      </c>
    </row>
    <row r="481">
      <c r="B481" s="4" t="n">
        <v>582</v>
      </c>
      <c r="C481" s="4" t="inlineStr">
        <is>
          <t>06/09/2026</t>
        </is>
      </c>
      <c r="D481" s="4" t="inlineStr">
        <is>
          <t>domingo</t>
        </is>
      </c>
      <c r="E481" s="4" t="n">
        <v>2213</v>
      </c>
      <c r="F481" s="4" t="inlineStr">
        <is>
          <t>LIM</t>
        </is>
      </c>
      <c r="G481" s="4" t="inlineStr">
        <is>
          <t>CIX</t>
        </is>
      </c>
      <c r="H481" s="4" t="inlineStr">
        <is>
          <t>17:20:00</t>
        </is>
      </c>
      <c r="I481" s="4" t="inlineStr">
        <is>
          <t>18:50:00</t>
        </is>
      </c>
      <c r="J481" s="4" t="n">
        <v>320</v>
      </c>
      <c r="K481" s="7">
        <f>TEXT(TIMEVALUE(H481)-TIMEVALUE(I480)+(TIMEVALUE(H481)&lt;TIMEVALUE(I480)),"[h]:mm")</f>
        <v/>
      </c>
      <c r="L481" s="4" t="inlineStr">
        <is>
          <t>01:30:00</t>
        </is>
      </c>
      <c r="M481">
        <f>IF($M$479="","",$M$479)</f>
        <v/>
      </c>
      <c r="O481">
        <f>IF($O$479="","",$O$479)</f>
        <v/>
      </c>
      <c r="Q481" s="4">
        <f>B481</f>
        <v/>
      </c>
      <c r="R481" s="4">
        <f>C481</f>
        <v/>
      </c>
      <c r="S481" s="4">
        <f>D481</f>
        <v/>
      </c>
      <c r="T481" s="4">
        <f>E481&amp;"/"&amp;E482</f>
        <v/>
      </c>
      <c r="U481" s="4">
        <f>F481&amp;"-"&amp;G481&amp;"-"&amp;F481</f>
        <v/>
      </c>
      <c r="V481" s="4">
        <f>IF($M$479="","",$M$479)</f>
        <v/>
      </c>
      <c r="W481" s="4">
        <f>IF($O$479="","",$O$479)</f>
        <v/>
      </c>
      <c r="X481" s="4">
        <f>J481</f>
        <v/>
      </c>
    </row>
    <row r="482">
      <c r="B482" s="4" t="n">
        <v>582</v>
      </c>
      <c r="C482" s="4" t="inlineStr">
        <is>
          <t>06/09/2026</t>
        </is>
      </c>
      <c r="D482" s="4" t="inlineStr">
        <is>
          <t>domingo</t>
        </is>
      </c>
      <c r="E482" s="4" t="n">
        <v>2214</v>
      </c>
      <c r="F482" s="4" t="inlineStr">
        <is>
          <t>CIX</t>
        </is>
      </c>
      <c r="G482" s="4" t="inlineStr">
        <is>
          <t>LIM</t>
        </is>
      </c>
      <c r="H482" s="4" t="inlineStr">
        <is>
          <t>19:25:00</t>
        </is>
      </c>
      <c r="I482" s="4" t="inlineStr">
        <is>
          <t>20:40:00</t>
        </is>
      </c>
      <c r="J482" s="4" t="n">
        <v>320</v>
      </c>
      <c r="K482">
        <f>TEXT(TIMEVALUE(H482)-TIMEVALUE(I481)+(TIMEVALUE(H482)&lt;TIMEVALUE(I481)),"[h]:mm")</f>
        <v/>
      </c>
      <c r="L482" s="4" t="inlineStr">
        <is>
          <t>01:15:00</t>
        </is>
      </c>
      <c r="O482">
        <f>"LIM-"&amp;G481&amp;"-LIM   LA "&amp;E481&amp;" ("&amp;LEFT(H481,5)&amp;"-"&amp;LEFT(I481,5)&amp;" hrs)  /  LA "&amp;E482&amp;" ("&amp;LEFT(H482,5)&amp;"-"&amp;LEFT(I482,5)&amp;" hrs)"</f>
        <v/>
      </c>
    </row>
    <row r="483">
      <c r="J483" s="8" t="inlineStr">
        <is>
          <t>PSV total:</t>
        </is>
      </c>
      <c r="K483" s="9">
        <f>TEXT(TIMEVALUE(I482)-TIMEVALUE(H479)+(I482&lt;H479),"[h]:mm")</f>
        <v/>
      </c>
    </row>
    <row r="485">
      <c r="B485" s="3" t="inlineStr">
        <is>
          <t>Pairing ID</t>
        </is>
      </c>
      <c r="C485" s="3" t="inlineStr">
        <is>
          <t>FECHA REAL</t>
        </is>
      </c>
      <c r="D485" s="3" t="inlineStr">
        <is>
          <t>Day of Week</t>
        </is>
      </c>
      <c r="E485" s="3" t="inlineStr">
        <is>
          <t>Flight No</t>
        </is>
      </c>
      <c r="F485" s="3" t="inlineStr">
        <is>
          <t>Dep Stn</t>
        </is>
      </c>
      <c r="G485" s="3" t="inlineStr">
        <is>
          <t>Arr Stn</t>
        </is>
      </c>
      <c r="H485" s="3" t="inlineStr">
        <is>
          <t>STD</t>
        </is>
      </c>
      <c r="I485" s="3" t="inlineStr">
        <is>
          <t>STA</t>
        </is>
      </c>
      <c r="J485" s="3" t="inlineStr">
        <is>
          <t>subflota</t>
        </is>
      </c>
      <c r="K485" s="3" t="inlineStr">
        <is>
          <t>Conexion</t>
        </is>
      </c>
      <c r="L485" s="3" t="inlineStr">
        <is>
          <t>HBT</t>
        </is>
      </c>
    </row>
    <row r="486">
      <c r="B486" s="4" t="n">
        <v>559</v>
      </c>
      <c r="C486" s="4" t="inlineStr">
        <is>
          <t>06/09/2026</t>
        </is>
      </c>
      <c r="D486" s="4" t="inlineStr">
        <is>
          <t>domingo</t>
        </is>
      </c>
      <c r="E486" s="4" t="n">
        <v>2023</v>
      </c>
      <c r="F486" s="4" t="inlineStr">
        <is>
          <t>LIM</t>
        </is>
      </c>
      <c r="G486" s="4" t="inlineStr">
        <is>
          <t>PEM</t>
        </is>
      </c>
      <c r="H486" s="4" t="inlineStr">
        <is>
          <t>12:15:00</t>
        </is>
      </c>
      <c r="I486" s="4" t="inlineStr">
        <is>
          <t>13:55:00</t>
        </is>
      </c>
      <c r="J486" s="4" t="n">
        <v>320</v>
      </c>
      <c r="L486" s="4" t="inlineStr">
        <is>
          <t>01:40:00</t>
        </is>
      </c>
      <c r="M486" s="5" t="n"/>
      <c r="N486" s="6" t="n"/>
      <c r="O486" s="5" t="n"/>
      <c r="Q486" s="4">
        <f>B486</f>
        <v/>
      </c>
      <c r="R486" s="4">
        <f>C486</f>
        <v/>
      </c>
      <c r="S486" s="4">
        <f>D486</f>
        <v/>
      </c>
      <c r="T486" s="4">
        <f>E486&amp;"/"&amp;E487</f>
        <v/>
      </c>
      <c r="U486" s="4">
        <f>F486&amp;"-"&amp;G486&amp;"-"&amp;F486</f>
        <v/>
      </c>
      <c r="V486" s="4">
        <f>IF($M$486="","",$M$486)</f>
        <v/>
      </c>
      <c r="W486" s="4">
        <f>IF($O$486="","",$O$486)</f>
        <v/>
      </c>
      <c r="X486" s="4">
        <f>J486</f>
        <v/>
      </c>
    </row>
    <row r="487">
      <c r="B487" s="4" t="n">
        <v>559</v>
      </c>
      <c r="C487" s="4" t="inlineStr">
        <is>
          <t>06/09/2026</t>
        </is>
      </c>
      <c r="D487" s="4" t="inlineStr">
        <is>
          <t>domingo</t>
        </is>
      </c>
      <c r="E487" s="4" t="n">
        <v>2024</v>
      </c>
      <c r="F487" s="4" t="inlineStr">
        <is>
          <t>PEM</t>
        </is>
      </c>
      <c r="G487" s="4" t="inlineStr">
        <is>
          <t>LIM</t>
        </is>
      </c>
      <c r="H487" s="4" t="inlineStr">
        <is>
          <t>14:35:00</t>
        </is>
      </c>
      <c r="I487" s="4" t="inlineStr">
        <is>
          <t>16:10:00</t>
        </is>
      </c>
      <c r="J487" s="4" t="n">
        <v>320</v>
      </c>
      <c r="K487">
        <f>TEXT(TIMEVALUE(H487)-TIMEVALUE(I486)+(TIMEVALUE(H487)&lt;TIMEVALUE(I486)),"[h]:mm")</f>
        <v/>
      </c>
      <c r="L487" s="4" t="inlineStr">
        <is>
          <t>01:35:00</t>
        </is>
      </c>
      <c r="O487">
        <f>"LIM-"&amp;G486&amp;"-LIM   LA "&amp;E486&amp;" ("&amp;LEFT(H486,5)&amp;"-"&amp;LEFT(I486,5)&amp;" hrs)  /  LA "&amp;E487&amp;" ("&amp;LEFT(H487,5)&amp;"-"&amp;LEFT(I487,5)&amp;" hrs)"</f>
        <v/>
      </c>
    </row>
    <row r="488">
      <c r="J488" s="8" t="inlineStr">
        <is>
          <t>PSV total:</t>
        </is>
      </c>
      <c r="K488" s="9">
        <f>TEXT(TIMEVALUE(I487)-TIMEVALUE(H486)+(I487&lt;H486),"[h]:mm")</f>
        <v/>
      </c>
    </row>
    <row r="490">
      <c r="B490" s="3" t="inlineStr">
        <is>
          <t>Pairing ID</t>
        </is>
      </c>
      <c r="C490" s="3" t="inlineStr">
        <is>
          <t>FECHA REAL</t>
        </is>
      </c>
      <c r="D490" s="3" t="inlineStr">
        <is>
          <t>Day of Week</t>
        </is>
      </c>
      <c r="E490" s="3" t="inlineStr">
        <is>
          <t>Flight No</t>
        </is>
      </c>
      <c r="F490" s="3" t="inlineStr">
        <is>
          <t>Dep Stn</t>
        </is>
      </c>
      <c r="G490" s="3" t="inlineStr">
        <is>
          <t>Arr Stn</t>
        </is>
      </c>
      <c r="H490" s="3" t="inlineStr">
        <is>
          <t>STD</t>
        </is>
      </c>
      <c r="I490" s="3" t="inlineStr">
        <is>
          <t>STA</t>
        </is>
      </c>
      <c r="J490" s="3" t="inlineStr">
        <is>
          <t>subflota</t>
        </is>
      </c>
      <c r="K490" s="3" t="inlineStr">
        <is>
          <t>Conexion</t>
        </is>
      </c>
      <c r="L490" s="3" t="inlineStr">
        <is>
          <t>HBT</t>
        </is>
      </c>
    </row>
    <row r="491">
      <c r="B491" s="4" t="n">
        <v>565</v>
      </c>
      <c r="C491" s="4" t="inlineStr">
        <is>
          <t>06/09/2026</t>
        </is>
      </c>
      <c r="D491" s="4" t="inlineStr">
        <is>
          <t>domingo</t>
        </is>
      </c>
      <c r="E491" s="4" t="n">
        <v>2028</v>
      </c>
      <c r="F491" s="4" t="inlineStr">
        <is>
          <t>LIM</t>
        </is>
      </c>
      <c r="G491" s="4" t="inlineStr">
        <is>
          <t>CUZ</t>
        </is>
      </c>
      <c r="H491" s="4" t="inlineStr">
        <is>
          <t>13:25:00</t>
        </is>
      </c>
      <c r="I491" s="4" t="inlineStr">
        <is>
          <t>14:45:00</t>
        </is>
      </c>
      <c r="J491" s="4" t="n">
        <v>320</v>
      </c>
      <c r="L491" s="4" t="inlineStr">
        <is>
          <t>01:20:00</t>
        </is>
      </c>
      <c r="M491" s="5" t="n"/>
      <c r="N491" s="6" t="n"/>
      <c r="O491" s="5" t="n"/>
      <c r="Q491" s="4">
        <f>B491</f>
        <v/>
      </c>
      <c r="R491" s="4">
        <f>C491</f>
        <v/>
      </c>
      <c r="S491" s="4">
        <f>D491</f>
        <v/>
      </c>
      <c r="T491" s="4">
        <f>E491&amp;"/"&amp;E492</f>
        <v/>
      </c>
      <c r="U491" s="4">
        <f>F491&amp;"-"&amp;G491&amp;"-"&amp;F491</f>
        <v/>
      </c>
      <c r="V491" s="4">
        <f>IF($M$491="","",$M$491)</f>
        <v/>
      </c>
      <c r="W491" s="4">
        <f>IF($O$491="","",$O$491)</f>
        <v/>
      </c>
      <c r="X491" s="4">
        <f>J491</f>
        <v/>
      </c>
    </row>
    <row r="492">
      <c r="B492" s="4" t="n">
        <v>565</v>
      </c>
      <c r="C492" s="4" t="inlineStr">
        <is>
          <t>06/09/2026</t>
        </is>
      </c>
      <c r="D492" s="4" t="inlineStr">
        <is>
          <t>domingo</t>
        </is>
      </c>
      <c r="E492" s="4" t="n">
        <v>2029</v>
      </c>
      <c r="F492" s="4" t="inlineStr">
        <is>
          <t>CUZ</t>
        </is>
      </c>
      <c r="G492" s="4" t="inlineStr">
        <is>
          <t>LIM</t>
        </is>
      </c>
      <c r="H492" s="4" t="inlineStr">
        <is>
          <t>15:30:00</t>
        </is>
      </c>
      <c r="I492" s="4" t="inlineStr">
        <is>
          <t>17:05:00</t>
        </is>
      </c>
      <c r="J492" s="4" t="n">
        <v>320</v>
      </c>
      <c r="K492">
        <f>TEXT(TIMEVALUE(H492)-TIMEVALUE(I491)+(TIMEVALUE(H492)&lt;TIMEVALUE(I491)),"[h]:mm")</f>
        <v/>
      </c>
      <c r="L492" s="4" t="inlineStr">
        <is>
          <t>01:35:00</t>
        </is>
      </c>
      <c r="O492">
        <f>"LIM-"&amp;G491&amp;"-LIM   LA "&amp;E491&amp;" ("&amp;LEFT(H491,5)&amp;"-"&amp;LEFT(I491,5)&amp;" hrs)  /  LA "&amp;E492&amp;" ("&amp;LEFT(H492,5)&amp;"-"&amp;LEFT(I492,5)&amp;" hrs)"</f>
        <v/>
      </c>
    </row>
    <row r="493">
      <c r="B493" s="4" t="n">
        <v>584</v>
      </c>
      <c r="C493" s="4" t="inlineStr">
        <is>
          <t>06/09/2026</t>
        </is>
      </c>
      <c r="D493" s="4" t="inlineStr">
        <is>
          <t>domingo</t>
        </is>
      </c>
      <c r="E493" s="4" t="n">
        <v>2039</v>
      </c>
      <c r="F493" s="4" t="inlineStr">
        <is>
          <t>LIM</t>
        </is>
      </c>
      <c r="G493" s="4" t="inlineStr">
        <is>
          <t>PCL</t>
        </is>
      </c>
      <c r="H493" s="4" t="inlineStr">
        <is>
          <t>18:15:00</t>
        </is>
      </c>
      <c r="I493" s="4" t="inlineStr">
        <is>
          <t>19:30:00</t>
        </is>
      </c>
      <c r="J493" s="4" t="n">
        <v>320</v>
      </c>
      <c r="K493" s="7">
        <f>TEXT(TIMEVALUE(H493)-TIMEVALUE(I492)+(TIMEVALUE(H493)&lt;TIMEVALUE(I492)),"[h]:mm")</f>
        <v/>
      </c>
      <c r="L493" s="4" t="inlineStr">
        <is>
          <t>01:15:00</t>
        </is>
      </c>
      <c r="M493">
        <f>IF($M$491="","",$M$491)</f>
        <v/>
      </c>
      <c r="O493">
        <f>IF($O$491="","",$O$491)</f>
        <v/>
      </c>
      <c r="Q493" s="4">
        <f>B493</f>
        <v/>
      </c>
      <c r="R493" s="4">
        <f>C493</f>
        <v/>
      </c>
      <c r="S493" s="4">
        <f>D493</f>
        <v/>
      </c>
      <c r="T493" s="4">
        <f>E493&amp;"/"&amp;E494</f>
        <v/>
      </c>
      <c r="U493" s="4">
        <f>F493&amp;"-"&amp;G493&amp;"-"&amp;F493</f>
        <v/>
      </c>
      <c r="V493" s="4">
        <f>IF($M$491="","",$M$491)</f>
        <v/>
      </c>
      <c r="W493" s="4">
        <f>IF($O$491="","",$O$491)</f>
        <v/>
      </c>
      <c r="X493" s="4">
        <f>J493</f>
        <v/>
      </c>
    </row>
    <row r="494">
      <c r="B494" s="4" t="n">
        <v>584</v>
      </c>
      <c r="C494" s="4" t="inlineStr">
        <is>
          <t>06/09/2026</t>
        </is>
      </c>
      <c r="D494" s="4" t="inlineStr">
        <is>
          <t>domingo</t>
        </is>
      </c>
      <c r="E494" s="4" t="n">
        <v>2040</v>
      </c>
      <c r="F494" s="4" t="inlineStr">
        <is>
          <t>PCL</t>
        </is>
      </c>
      <c r="G494" s="4" t="inlineStr">
        <is>
          <t>LIM</t>
        </is>
      </c>
      <c r="H494" s="4" t="inlineStr">
        <is>
          <t>20:15:00</t>
        </is>
      </c>
      <c r="I494" s="4" t="inlineStr">
        <is>
          <t>21:30:00</t>
        </is>
      </c>
      <c r="J494" s="4" t="n">
        <v>320</v>
      </c>
      <c r="K494">
        <f>TEXT(TIMEVALUE(H494)-TIMEVALUE(I493)+(TIMEVALUE(H494)&lt;TIMEVALUE(I493)),"[h]:mm")</f>
        <v/>
      </c>
      <c r="L494" s="4" t="inlineStr">
        <is>
          <t>01:15:00</t>
        </is>
      </c>
      <c r="O494">
        <f>"LIM-"&amp;G493&amp;"-LIM   LA "&amp;E493&amp;" ("&amp;LEFT(H493,5)&amp;"-"&amp;LEFT(I493,5)&amp;" hrs)  /  LA "&amp;E494&amp;" ("&amp;LEFT(H494,5)&amp;"-"&amp;LEFT(I494,5)&amp;" hrs)"</f>
        <v/>
      </c>
    </row>
    <row r="495">
      <c r="J495" s="8" t="inlineStr">
        <is>
          <t>PSV total:</t>
        </is>
      </c>
      <c r="K495" s="9">
        <f>TEXT(TIMEVALUE(I494)-TIMEVALUE(H491)+(I494&lt;H491),"[h]:mm")</f>
        <v/>
      </c>
    </row>
    <row r="497">
      <c r="B497" s="3" t="inlineStr">
        <is>
          <t>Pairing ID</t>
        </is>
      </c>
      <c r="C497" s="3" t="inlineStr">
        <is>
          <t>FECHA REAL</t>
        </is>
      </c>
      <c r="D497" s="3" t="inlineStr">
        <is>
          <t>Day of Week</t>
        </is>
      </c>
      <c r="E497" s="3" t="inlineStr">
        <is>
          <t>Flight No</t>
        </is>
      </c>
      <c r="F497" s="3" t="inlineStr">
        <is>
          <t>Dep Stn</t>
        </is>
      </c>
      <c r="G497" s="3" t="inlineStr">
        <is>
          <t>Arr Stn</t>
        </is>
      </c>
      <c r="H497" s="3" t="inlineStr">
        <is>
          <t>STD</t>
        </is>
      </c>
      <c r="I497" s="3" t="inlineStr">
        <is>
          <t>STA</t>
        </is>
      </c>
      <c r="J497" s="3" t="inlineStr">
        <is>
          <t>subflota</t>
        </is>
      </c>
      <c r="K497" s="3" t="inlineStr">
        <is>
          <t>Conexion</t>
        </is>
      </c>
      <c r="L497" s="3" t="inlineStr">
        <is>
          <t>HBT</t>
        </is>
      </c>
    </row>
    <row r="498">
      <c r="B498" s="4" t="n">
        <v>566</v>
      </c>
      <c r="C498" s="4" t="inlineStr">
        <is>
          <t>06/09/2026</t>
        </is>
      </c>
      <c r="D498" s="4" t="inlineStr">
        <is>
          <t>domingo</t>
        </is>
      </c>
      <c r="E498" s="4" t="n">
        <v>2232</v>
      </c>
      <c r="F498" s="4" t="inlineStr">
        <is>
          <t>LIM</t>
        </is>
      </c>
      <c r="G498" s="4" t="inlineStr">
        <is>
          <t>CUZ</t>
        </is>
      </c>
      <c r="H498" s="4" t="inlineStr">
        <is>
          <t>13:55:00</t>
        </is>
      </c>
      <c r="I498" s="4" t="inlineStr">
        <is>
          <t>15:15:00</t>
        </is>
      </c>
      <c r="J498" s="4" t="n">
        <v>320</v>
      </c>
      <c r="L498" s="4" t="inlineStr">
        <is>
          <t>01:20:00</t>
        </is>
      </c>
      <c r="M498" s="5" t="n"/>
      <c r="N498" s="6" t="n"/>
      <c r="O498" s="5" t="n"/>
      <c r="Q498" s="4">
        <f>B498</f>
        <v/>
      </c>
      <c r="R498" s="4">
        <f>C498</f>
        <v/>
      </c>
      <c r="S498" s="4">
        <f>D498</f>
        <v/>
      </c>
      <c r="T498" s="4">
        <f>E498&amp;"/"&amp;E499</f>
        <v/>
      </c>
      <c r="U498" s="4">
        <f>F498&amp;"-"&amp;G498&amp;"-"&amp;F498</f>
        <v/>
      </c>
      <c r="V498" s="4">
        <f>IF($M$498="","",$M$498)</f>
        <v/>
      </c>
      <c r="W498" s="4">
        <f>IF($O$498="","",$O$498)</f>
        <v/>
      </c>
      <c r="X498" s="4">
        <f>J498</f>
        <v/>
      </c>
    </row>
    <row r="499">
      <c r="B499" s="4" t="n">
        <v>566</v>
      </c>
      <c r="C499" s="4" t="inlineStr">
        <is>
          <t>06/09/2026</t>
        </is>
      </c>
      <c r="D499" s="4" t="inlineStr">
        <is>
          <t>domingo</t>
        </is>
      </c>
      <c r="E499" s="4" t="n">
        <v>2233</v>
      </c>
      <c r="F499" s="4" t="inlineStr">
        <is>
          <t>CUZ</t>
        </is>
      </c>
      <c r="G499" s="4" t="inlineStr">
        <is>
          <t>LIM</t>
        </is>
      </c>
      <c r="H499" s="4" t="inlineStr">
        <is>
          <t>15:55:00</t>
        </is>
      </c>
      <c r="I499" s="4" t="inlineStr">
        <is>
          <t>17:35:00</t>
        </is>
      </c>
      <c r="J499" s="4" t="n">
        <v>320</v>
      </c>
      <c r="K499">
        <f>TEXT(TIMEVALUE(H499)-TIMEVALUE(I498)+(TIMEVALUE(H499)&lt;TIMEVALUE(I498)),"[h]:mm")</f>
        <v/>
      </c>
      <c r="L499" s="4" t="inlineStr">
        <is>
          <t>01:40:00</t>
        </is>
      </c>
      <c r="O499">
        <f>"LIM-"&amp;G498&amp;"-LIM   LA "&amp;E498&amp;" ("&amp;LEFT(H498,5)&amp;"-"&amp;LEFT(I498,5)&amp;" hrs)  /  LA "&amp;E499&amp;" ("&amp;LEFT(H499,5)&amp;"-"&amp;LEFT(I499,5)&amp;" hrs)"</f>
        <v/>
      </c>
    </row>
    <row r="500">
      <c r="B500" s="4" t="n">
        <v>585</v>
      </c>
      <c r="C500" s="4" t="inlineStr">
        <is>
          <t>06/09/2026</t>
        </is>
      </c>
      <c r="D500" s="4" t="inlineStr">
        <is>
          <t>domingo</t>
        </is>
      </c>
      <c r="E500" s="4" t="n">
        <v>2117</v>
      </c>
      <c r="F500" s="4" t="inlineStr">
        <is>
          <t>LIM</t>
        </is>
      </c>
      <c r="G500" s="4" t="inlineStr">
        <is>
          <t>AQP</t>
        </is>
      </c>
      <c r="H500" s="4" t="inlineStr">
        <is>
          <t>18:35:00</t>
        </is>
      </c>
      <c r="I500" s="4" t="inlineStr">
        <is>
          <t>20:05:00</t>
        </is>
      </c>
      <c r="J500" s="4" t="n">
        <v>320</v>
      </c>
      <c r="K500" s="7">
        <f>TEXT(TIMEVALUE(H500)-TIMEVALUE(I499)+(TIMEVALUE(H500)&lt;TIMEVALUE(I499)),"[h]:mm")</f>
        <v/>
      </c>
      <c r="L500" s="4" t="inlineStr">
        <is>
          <t>01:30:00</t>
        </is>
      </c>
      <c r="M500">
        <f>IF($M$498="","",$M$498)</f>
        <v/>
      </c>
      <c r="O500">
        <f>IF($O$498="","",$O$498)</f>
        <v/>
      </c>
      <c r="Q500" s="4">
        <f>B500</f>
        <v/>
      </c>
      <c r="R500" s="4">
        <f>C500</f>
        <v/>
      </c>
      <c r="S500" s="4">
        <f>D500</f>
        <v/>
      </c>
      <c r="T500" s="4">
        <f>E500&amp;"/"&amp;E501</f>
        <v/>
      </c>
      <c r="U500" s="4">
        <f>F500&amp;"-"&amp;G500&amp;"-"&amp;F500</f>
        <v/>
      </c>
      <c r="V500" s="4">
        <f>IF($M$498="","",$M$498)</f>
        <v/>
      </c>
      <c r="W500" s="4">
        <f>IF($O$498="","",$O$498)</f>
        <v/>
      </c>
      <c r="X500" s="4">
        <f>J500</f>
        <v/>
      </c>
    </row>
    <row r="501">
      <c r="B501" s="4" t="n">
        <v>585</v>
      </c>
      <c r="C501" s="4" t="inlineStr">
        <is>
          <t>06/09/2026</t>
        </is>
      </c>
      <c r="D501" s="4" t="inlineStr">
        <is>
          <t>domingo</t>
        </is>
      </c>
      <c r="E501" s="4" t="n">
        <v>2116</v>
      </c>
      <c r="F501" s="4" t="inlineStr">
        <is>
          <t>AQP</t>
        </is>
      </c>
      <c r="G501" s="4" t="inlineStr">
        <is>
          <t>LIM</t>
        </is>
      </c>
      <c r="H501" s="4" t="inlineStr">
        <is>
          <t>20:40:00</t>
        </is>
      </c>
      <c r="I501" s="4" t="inlineStr">
        <is>
          <t>22:20:00</t>
        </is>
      </c>
      <c r="J501" s="4" t="n">
        <v>320</v>
      </c>
      <c r="K501">
        <f>TEXT(TIMEVALUE(H501)-TIMEVALUE(I500)+(TIMEVALUE(H501)&lt;TIMEVALUE(I500)),"[h]:mm")</f>
        <v/>
      </c>
      <c r="L501" s="4" t="inlineStr">
        <is>
          <t>01:40:00</t>
        </is>
      </c>
      <c r="O501">
        <f>"LIM-"&amp;G500&amp;"-LIM   LA "&amp;E500&amp;" ("&amp;LEFT(H500,5)&amp;"-"&amp;LEFT(I500,5)&amp;" hrs)  /  LA "&amp;E501&amp;" ("&amp;LEFT(H501,5)&amp;"-"&amp;LEFT(I501,5)&amp;" hrs)"</f>
        <v/>
      </c>
    </row>
    <row r="502">
      <c r="J502" s="8" t="inlineStr">
        <is>
          <t>PSV total:</t>
        </is>
      </c>
      <c r="K502" s="9">
        <f>TEXT(TIMEVALUE(I501)-TIMEVALUE(H498)+(I501&lt;H498),"[h]:mm")</f>
        <v/>
      </c>
    </row>
    <row r="504">
      <c r="B504" s="3" t="inlineStr">
        <is>
          <t>Pairing ID</t>
        </is>
      </c>
      <c r="C504" s="3" t="inlineStr">
        <is>
          <t>FECHA REAL</t>
        </is>
      </c>
      <c r="D504" s="3" t="inlineStr">
        <is>
          <t>Day of Week</t>
        </is>
      </c>
      <c r="E504" s="3" t="inlineStr">
        <is>
          <t>Flight No</t>
        </is>
      </c>
      <c r="F504" s="3" t="inlineStr">
        <is>
          <t>Dep Stn</t>
        </is>
      </c>
      <c r="G504" s="3" t="inlineStr">
        <is>
          <t>Arr Stn</t>
        </is>
      </c>
      <c r="H504" s="3" t="inlineStr">
        <is>
          <t>STD</t>
        </is>
      </c>
      <c r="I504" s="3" t="inlineStr">
        <is>
          <t>STA</t>
        </is>
      </c>
      <c r="J504" s="3" t="inlineStr">
        <is>
          <t>subflota</t>
        </is>
      </c>
      <c r="K504" s="3" t="inlineStr">
        <is>
          <t>Conexion</t>
        </is>
      </c>
      <c r="L504" s="3" t="inlineStr">
        <is>
          <t>HBT</t>
        </is>
      </c>
    </row>
    <row r="505">
      <c r="B505" s="4" t="n">
        <v>568</v>
      </c>
      <c r="C505" s="4" t="inlineStr">
        <is>
          <t>06/09/2026</t>
        </is>
      </c>
      <c r="D505" s="4" t="inlineStr">
        <is>
          <t>domingo</t>
        </is>
      </c>
      <c r="E505" s="4" t="n">
        <v>2295</v>
      </c>
      <c r="F505" s="4" t="inlineStr">
        <is>
          <t>LIM</t>
        </is>
      </c>
      <c r="G505" s="4" t="inlineStr">
        <is>
          <t>CJA</t>
        </is>
      </c>
      <c r="H505" s="4" t="inlineStr">
        <is>
          <t>14:10:00</t>
        </is>
      </c>
      <c r="I505" s="4" t="inlineStr">
        <is>
          <t>15:30:00</t>
        </is>
      </c>
      <c r="J505" s="4" t="n">
        <v>320</v>
      </c>
      <c r="L505" s="4" t="inlineStr">
        <is>
          <t>01:20:00</t>
        </is>
      </c>
      <c r="M505" s="5" t="n"/>
      <c r="N505" s="6" t="n"/>
      <c r="O505" s="5" t="n"/>
      <c r="Q505" s="4">
        <f>B505</f>
        <v/>
      </c>
      <c r="R505" s="4">
        <f>C505</f>
        <v/>
      </c>
      <c r="S505" s="4">
        <f>D505</f>
        <v/>
      </c>
      <c r="T505" s="4">
        <f>E505&amp;"/"&amp;E506</f>
        <v/>
      </c>
      <c r="U505" s="4">
        <f>F505&amp;"-"&amp;G505&amp;"-"&amp;F505</f>
        <v/>
      </c>
      <c r="V505" s="4">
        <f>IF($M$505="","",$M$505)</f>
        <v/>
      </c>
      <c r="W505" s="4">
        <f>IF($O$505="","",$O$505)</f>
        <v/>
      </c>
      <c r="X505" s="4">
        <f>J505</f>
        <v/>
      </c>
    </row>
    <row r="506">
      <c r="B506" s="4" t="n">
        <v>568</v>
      </c>
      <c r="C506" s="4" t="inlineStr">
        <is>
          <t>06/09/2026</t>
        </is>
      </c>
      <c r="D506" s="4" t="inlineStr">
        <is>
          <t>domingo</t>
        </is>
      </c>
      <c r="E506" s="4" t="n">
        <v>2294</v>
      </c>
      <c r="F506" s="4" t="inlineStr">
        <is>
          <t>CJA</t>
        </is>
      </c>
      <c r="G506" s="4" t="inlineStr">
        <is>
          <t>LIM</t>
        </is>
      </c>
      <c r="H506" s="4" t="inlineStr">
        <is>
          <t>16:10:00</t>
        </is>
      </c>
      <c r="I506" s="4" t="inlineStr">
        <is>
          <t>17:15:00</t>
        </is>
      </c>
      <c r="J506" s="4" t="n">
        <v>320</v>
      </c>
      <c r="K506">
        <f>TEXT(TIMEVALUE(H506)-TIMEVALUE(I505)+(TIMEVALUE(H506)&lt;TIMEVALUE(I505)),"[h]:mm")</f>
        <v/>
      </c>
      <c r="L506" s="4" t="inlineStr">
        <is>
          <t>01:05:00</t>
        </is>
      </c>
      <c r="O506">
        <f>"LIM-"&amp;G505&amp;"-LIM   LA "&amp;E505&amp;" ("&amp;LEFT(H505,5)&amp;"-"&amp;LEFT(I505,5)&amp;" hrs)  /  LA "&amp;E506&amp;" ("&amp;LEFT(H506,5)&amp;"-"&amp;LEFT(I506,5)&amp;" hrs)"</f>
        <v/>
      </c>
    </row>
    <row r="507">
      <c r="B507" s="4" t="n">
        <v>586</v>
      </c>
      <c r="C507" s="4" t="inlineStr">
        <is>
          <t>06/09/2026</t>
        </is>
      </c>
      <c r="D507" s="4" t="inlineStr">
        <is>
          <t>domingo</t>
        </is>
      </c>
      <c r="E507" s="4" t="n">
        <v>2091</v>
      </c>
      <c r="F507" s="4" t="inlineStr">
        <is>
          <t>LIM</t>
        </is>
      </c>
      <c r="G507" s="4" t="inlineStr">
        <is>
          <t>TPP</t>
        </is>
      </c>
      <c r="H507" s="4" t="inlineStr">
        <is>
          <t>18:35:00</t>
        </is>
      </c>
      <c r="I507" s="4" t="inlineStr">
        <is>
          <t>20:00:00</t>
        </is>
      </c>
      <c r="J507" s="4" t="n">
        <v>320</v>
      </c>
      <c r="K507" s="7">
        <f>TEXT(TIMEVALUE(H507)-TIMEVALUE(I506)+(TIMEVALUE(H507)&lt;TIMEVALUE(I506)),"[h]:mm")</f>
        <v/>
      </c>
      <c r="L507" s="4" t="inlineStr">
        <is>
          <t>01:25:00</t>
        </is>
      </c>
      <c r="M507">
        <f>IF($M$505="","",$M$505)</f>
        <v/>
      </c>
      <c r="O507">
        <f>IF($O$505="","",$O$505)</f>
        <v/>
      </c>
      <c r="Q507" s="4">
        <f>B507</f>
        <v/>
      </c>
      <c r="R507" s="4">
        <f>C507</f>
        <v/>
      </c>
      <c r="S507" s="4">
        <f>D507</f>
        <v/>
      </c>
      <c r="T507" s="4">
        <f>E507&amp;"/"&amp;E508</f>
        <v/>
      </c>
      <c r="U507" s="4">
        <f>F507&amp;"-"&amp;G507&amp;"-"&amp;F507</f>
        <v/>
      </c>
      <c r="V507" s="4">
        <f>IF($M$505="","",$M$505)</f>
        <v/>
      </c>
      <c r="W507" s="4">
        <f>IF($O$505="","",$O$505)</f>
        <v/>
      </c>
      <c r="X507" s="4">
        <f>J507</f>
        <v/>
      </c>
    </row>
    <row r="508">
      <c r="B508" s="4" t="n">
        <v>586</v>
      </c>
      <c r="C508" s="4" t="inlineStr">
        <is>
          <t>06/09/2026</t>
        </is>
      </c>
      <c r="D508" s="4" t="inlineStr">
        <is>
          <t>domingo</t>
        </is>
      </c>
      <c r="E508" s="4" t="n">
        <v>2092</v>
      </c>
      <c r="F508" s="4" t="inlineStr">
        <is>
          <t>TPP</t>
        </is>
      </c>
      <c r="G508" s="4" t="inlineStr">
        <is>
          <t>LIM</t>
        </is>
      </c>
      <c r="H508" s="4" t="inlineStr">
        <is>
          <t>20:40:00</t>
        </is>
      </c>
      <c r="I508" s="4" t="inlineStr">
        <is>
          <t>22:05:00</t>
        </is>
      </c>
      <c r="J508" s="4" t="n">
        <v>320</v>
      </c>
      <c r="K508">
        <f>TEXT(TIMEVALUE(H508)-TIMEVALUE(I507)+(TIMEVALUE(H508)&lt;TIMEVALUE(I507)),"[h]:mm")</f>
        <v/>
      </c>
      <c r="L508" s="4" t="inlineStr">
        <is>
          <t>01:25:00</t>
        </is>
      </c>
      <c r="O508">
        <f>"LIM-"&amp;G507&amp;"-LIM   LA "&amp;E507&amp;" ("&amp;LEFT(H507,5)&amp;"-"&amp;LEFT(I507,5)&amp;" hrs)  /  LA "&amp;E508&amp;" ("&amp;LEFT(H508,5)&amp;"-"&amp;LEFT(I508,5)&amp;" hrs)"</f>
        <v/>
      </c>
    </row>
    <row r="509">
      <c r="J509" s="8" t="inlineStr">
        <is>
          <t>PSV total:</t>
        </is>
      </c>
      <c r="K509" s="9">
        <f>TEXT(TIMEVALUE(I508)-TIMEVALUE(H505)+(I508&lt;H505),"[h]:mm")</f>
        <v/>
      </c>
    </row>
    <row r="511">
      <c r="B511" s="3" t="inlineStr">
        <is>
          <t>Pairing ID</t>
        </is>
      </c>
      <c r="C511" s="3" t="inlineStr">
        <is>
          <t>FECHA REAL</t>
        </is>
      </c>
      <c r="D511" s="3" t="inlineStr">
        <is>
          <t>Day of Week</t>
        </is>
      </c>
      <c r="E511" s="3" t="inlineStr">
        <is>
          <t>Flight No</t>
        </is>
      </c>
      <c r="F511" s="3" t="inlineStr">
        <is>
          <t>Dep Stn</t>
        </is>
      </c>
      <c r="G511" s="3" t="inlineStr">
        <is>
          <t>Arr Stn</t>
        </is>
      </c>
      <c r="H511" s="3" t="inlineStr">
        <is>
          <t>STD</t>
        </is>
      </c>
      <c r="I511" s="3" t="inlineStr">
        <is>
          <t>STA</t>
        </is>
      </c>
      <c r="J511" s="3" t="inlineStr">
        <is>
          <t>subflota</t>
        </is>
      </c>
      <c r="K511" s="3" t="inlineStr">
        <is>
          <t>Conexion</t>
        </is>
      </c>
      <c r="L511" s="3" t="inlineStr">
        <is>
          <t>HBT</t>
        </is>
      </c>
    </row>
    <row r="512">
      <c r="B512" s="4" t="n">
        <v>569</v>
      </c>
      <c r="C512" s="4" t="inlineStr">
        <is>
          <t>06/09/2026</t>
        </is>
      </c>
      <c r="D512" s="4" t="inlineStr">
        <is>
          <t>domingo</t>
        </is>
      </c>
      <c r="E512" s="4" t="n">
        <v>2282</v>
      </c>
      <c r="F512" s="4" t="inlineStr">
        <is>
          <t>LIM</t>
        </is>
      </c>
      <c r="G512" s="4" t="inlineStr">
        <is>
          <t>CIX</t>
        </is>
      </c>
      <c r="H512" s="4" t="inlineStr">
        <is>
          <t>14:35:00</t>
        </is>
      </c>
      <c r="I512" s="4" t="inlineStr">
        <is>
          <t>16:05:00</t>
        </is>
      </c>
      <c r="J512" s="4" t="n">
        <v>320</v>
      </c>
      <c r="L512" s="4" t="inlineStr">
        <is>
          <t>01:30:00</t>
        </is>
      </c>
      <c r="M512" s="5" t="n"/>
      <c r="N512" s="6" t="n"/>
      <c r="O512" s="5" t="n"/>
      <c r="Q512" s="4">
        <f>B512</f>
        <v/>
      </c>
      <c r="R512" s="4">
        <f>C512</f>
        <v/>
      </c>
      <c r="S512" s="4">
        <f>D512</f>
        <v/>
      </c>
      <c r="T512" s="4">
        <f>E512&amp;"/"&amp;E513</f>
        <v/>
      </c>
      <c r="U512" s="4">
        <f>F512&amp;"-"&amp;G512&amp;"-"&amp;F512</f>
        <v/>
      </c>
      <c r="V512" s="4">
        <f>IF($M$512="","",$M$512)</f>
        <v/>
      </c>
      <c r="W512" s="4">
        <f>IF($O$512="","",$O$512)</f>
        <v/>
      </c>
      <c r="X512" s="4">
        <f>J512</f>
        <v/>
      </c>
    </row>
    <row r="513">
      <c r="B513" s="4" t="n">
        <v>569</v>
      </c>
      <c r="C513" s="4" t="inlineStr">
        <is>
          <t>06/09/2026</t>
        </is>
      </c>
      <c r="D513" s="4" t="inlineStr">
        <is>
          <t>domingo</t>
        </is>
      </c>
      <c r="E513" s="4" t="n">
        <v>2283</v>
      </c>
      <c r="F513" s="4" t="inlineStr">
        <is>
          <t>CIX</t>
        </is>
      </c>
      <c r="G513" s="4" t="inlineStr">
        <is>
          <t>LIM</t>
        </is>
      </c>
      <c r="H513" s="4" t="inlineStr">
        <is>
          <t>16:50:00</t>
        </is>
      </c>
      <c r="I513" s="4" t="inlineStr">
        <is>
          <t>18:10:00</t>
        </is>
      </c>
      <c r="J513" s="4" t="n">
        <v>320</v>
      </c>
      <c r="K513">
        <f>TEXT(TIMEVALUE(H513)-TIMEVALUE(I512)+(TIMEVALUE(H513)&lt;TIMEVALUE(I512)),"[h]:mm")</f>
        <v/>
      </c>
      <c r="L513" s="4" t="inlineStr">
        <is>
          <t>01:20:00</t>
        </is>
      </c>
      <c r="O513">
        <f>"LIM-"&amp;G512&amp;"-LIM   LA "&amp;E512&amp;" ("&amp;LEFT(H512,5)&amp;"-"&amp;LEFT(I512,5)&amp;" hrs)  /  LA "&amp;E513&amp;" ("&amp;LEFT(H513,5)&amp;"-"&amp;LEFT(I513,5)&amp;" hrs)"</f>
        <v/>
      </c>
    </row>
    <row r="514">
      <c r="J514" s="8" t="inlineStr">
        <is>
          <t>PSV total:</t>
        </is>
      </c>
      <c r="K514" s="9">
        <f>TEXT(TIMEVALUE(I513)-TIMEVALUE(H512)+(I513&lt;H512),"[h]:mm")</f>
        <v/>
      </c>
    </row>
    <row r="516">
      <c r="B516" s="3" t="inlineStr">
        <is>
          <t>Pairing ID</t>
        </is>
      </c>
      <c r="C516" s="3" t="inlineStr">
        <is>
          <t>FECHA REAL</t>
        </is>
      </c>
      <c r="D516" s="3" t="inlineStr">
        <is>
          <t>Day of Week</t>
        </is>
      </c>
      <c r="E516" s="3" t="inlineStr">
        <is>
          <t>Flight No</t>
        </is>
      </c>
      <c r="F516" s="3" t="inlineStr">
        <is>
          <t>Dep Stn</t>
        </is>
      </c>
      <c r="G516" s="3" t="inlineStr">
        <is>
          <t>Arr Stn</t>
        </is>
      </c>
      <c r="H516" s="3" t="inlineStr">
        <is>
          <t>STD</t>
        </is>
      </c>
      <c r="I516" s="3" t="inlineStr">
        <is>
          <t>STA</t>
        </is>
      </c>
      <c r="J516" s="3" t="inlineStr">
        <is>
          <t>subflota</t>
        </is>
      </c>
      <c r="K516" s="3" t="inlineStr">
        <is>
          <t>Conexion</t>
        </is>
      </c>
      <c r="L516" s="3" t="inlineStr">
        <is>
          <t>HBT</t>
        </is>
      </c>
    </row>
    <row r="517">
      <c r="B517" s="4" t="n">
        <v>570</v>
      </c>
      <c r="C517" s="4" t="inlineStr">
        <is>
          <t>06/09/2026</t>
        </is>
      </c>
      <c r="D517" s="4" t="inlineStr">
        <is>
          <t>domingo</t>
        </is>
      </c>
      <c r="E517" s="4" t="n">
        <v>2022</v>
      </c>
      <c r="F517" s="4" t="inlineStr">
        <is>
          <t>LIM</t>
        </is>
      </c>
      <c r="G517" s="4" t="inlineStr">
        <is>
          <t>CUZ</t>
        </is>
      </c>
      <c r="H517" s="4" t="inlineStr">
        <is>
          <t>14:50:00</t>
        </is>
      </c>
      <c r="I517" s="4" t="inlineStr">
        <is>
          <t>16:10:00</t>
        </is>
      </c>
      <c r="J517" s="4" t="n">
        <v>320</v>
      </c>
      <c r="L517" s="4" t="inlineStr">
        <is>
          <t>01:20:00</t>
        </is>
      </c>
      <c r="M517" s="5" t="n"/>
      <c r="N517" s="6" t="n"/>
      <c r="O517" s="5" t="n"/>
      <c r="Q517" s="4">
        <f>B517</f>
        <v/>
      </c>
      <c r="R517" s="4">
        <f>C517</f>
        <v/>
      </c>
      <c r="S517" s="4">
        <f>D517</f>
        <v/>
      </c>
      <c r="T517" s="4">
        <f>E517&amp;"/"&amp;E518</f>
        <v/>
      </c>
      <c r="U517" s="4">
        <f>F517&amp;"-"&amp;G517&amp;"-"&amp;F517</f>
        <v/>
      </c>
      <c r="V517" s="4">
        <f>IF($M$517="","",$M$517)</f>
        <v/>
      </c>
      <c r="W517" s="4">
        <f>IF($O$517="","",$O$517)</f>
        <v/>
      </c>
      <c r="X517" s="4">
        <f>J517</f>
        <v/>
      </c>
    </row>
    <row r="518">
      <c r="B518" s="4" t="n">
        <v>570</v>
      </c>
      <c r="C518" s="4" t="inlineStr">
        <is>
          <t>06/09/2026</t>
        </is>
      </c>
      <c r="D518" s="4" t="inlineStr">
        <is>
          <t>domingo</t>
        </is>
      </c>
      <c r="E518" s="4" t="n">
        <v>2249</v>
      </c>
      <c r="F518" s="4" t="inlineStr">
        <is>
          <t>CUZ</t>
        </is>
      </c>
      <c r="G518" s="4" t="inlineStr">
        <is>
          <t>LIM</t>
        </is>
      </c>
      <c r="H518" s="4" t="inlineStr">
        <is>
          <t>17:00:00</t>
        </is>
      </c>
      <c r="I518" s="4" t="inlineStr">
        <is>
          <t>18:35:00</t>
        </is>
      </c>
      <c r="J518" s="4" t="n">
        <v>320</v>
      </c>
      <c r="K518">
        <f>TEXT(TIMEVALUE(H518)-TIMEVALUE(I517)+(TIMEVALUE(H518)&lt;TIMEVALUE(I517)),"[h]:mm")</f>
        <v/>
      </c>
      <c r="L518" s="4" t="inlineStr">
        <is>
          <t>01:35:00</t>
        </is>
      </c>
      <c r="O518">
        <f>"LIM-"&amp;G517&amp;"-LIM   LA "&amp;E517&amp;" ("&amp;LEFT(H517,5)&amp;"-"&amp;LEFT(I517,5)&amp;" hrs)  /  LA "&amp;E518&amp;" ("&amp;LEFT(H518,5)&amp;"-"&amp;LEFT(I518,5)&amp;" hrs)"</f>
        <v/>
      </c>
    </row>
    <row r="519">
      <c r="J519" s="8" t="inlineStr">
        <is>
          <t>PSV total:</t>
        </is>
      </c>
      <c r="K519" s="9">
        <f>TEXT(TIMEVALUE(I518)-TIMEVALUE(H517)+(I518&lt;H517),"[h]:mm")</f>
        <v/>
      </c>
    </row>
    <row r="521">
      <c r="B521" s="3" t="inlineStr">
        <is>
          <t>Pairing ID</t>
        </is>
      </c>
      <c r="C521" s="3" t="inlineStr">
        <is>
          <t>FECHA REAL</t>
        </is>
      </c>
      <c r="D521" s="3" t="inlineStr">
        <is>
          <t>Day of Week</t>
        </is>
      </c>
      <c r="E521" s="3" t="inlineStr">
        <is>
          <t>Flight No</t>
        </is>
      </c>
      <c r="F521" s="3" t="inlineStr">
        <is>
          <t>Dep Stn</t>
        </is>
      </c>
      <c r="G521" s="3" t="inlineStr">
        <is>
          <t>Arr Stn</t>
        </is>
      </c>
      <c r="H521" s="3" t="inlineStr">
        <is>
          <t>STD</t>
        </is>
      </c>
      <c r="I521" s="3" t="inlineStr">
        <is>
          <t>STA</t>
        </is>
      </c>
      <c r="J521" s="3" t="inlineStr">
        <is>
          <t>subflota</t>
        </is>
      </c>
      <c r="K521" s="3" t="inlineStr">
        <is>
          <t>Conexion</t>
        </is>
      </c>
      <c r="L521" s="3" t="inlineStr">
        <is>
          <t>HBT</t>
        </is>
      </c>
    </row>
    <row r="522">
      <c r="B522" s="4" t="n">
        <v>572</v>
      </c>
      <c r="C522" s="4" t="inlineStr">
        <is>
          <t>06/09/2026</t>
        </is>
      </c>
      <c r="D522" s="4" t="inlineStr">
        <is>
          <t>domingo</t>
        </is>
      </c>
      <c r="E522" s="4" t="n">
        <v>2338</v>
      </c>
      <c r="F522" s="4" t="inlineStr">
        <is>
          <t>LIM</t>
        </is>
      </c>
      <c r="G522" s="4" t="inlineStr">
        <is>
          <t>PIU</t>
        </is>
      </c>
      <c r="H522" s="4" t="inlineStr">
        <is>
          <t>15:00:00</t>
        </is>
      </c>
      <c r="I522" s="4" t="inlineStr">
        <is>
          <t>16:45:00</t>
        </is>
      </c>
      <c r="J522" s="4" t="n">
        <v>319</v>
      </c>
      <c r="L522" s="4" t="inlineStr">
        <is>
          <t>01:45:00</t>
        </is>
      </c>
      <c r="M522" s="5" t="n"/>
      <c r="N522" s="6" t="n"/>
      <c r="O522" s="5" t="n"/>
      <c r="Q522" s="4">
        <f>B522</f>
        <v/>
      </c>
      <c r="R522" s="4">
        <f>C522</f>
        <v/>
      </c>
      <c r="S522" s="4">
        <f>D522</f>
        <v/>
      </c>
      <c r="T522" s="4">
        <f>E522&amp;"/"&amp;E523</f>
        <v/>
      </c>
      <c r="U522" s="4">
        <f>F522&amp;"-"&amp;G522&amp;"-"&amp;F522</f>
        <v/>
      </c>
      <c r="V522" s="4">
        <f>IF($M$522="","",$M$522)</f>
        <v/>
      </c>
      <c r="W522" s="4">
        <f>IF($O$522="","",$O$522)</f>
        <v/>
      </c>
      <c r="X522" s="4">
        <f>J522</f>
        <v/>
      </c>
    </row>
    <row r="523">
      <c r="B523" s="4" t="n">
        <v>572</v>
      </c>
      <c r="C523" s="4" t="inlineStr">
        <is>
          <t>06/09/2026</t>
        </is>
      </c>
      <c r="D523" s="4" t="inlineStr">
        <is>
          <t>domingo</t>
        </is>
      </c>
      <c r="E523" s="4" t="n">
        <v>2339</v>
      </c>
      <c r="F523" s="4" t="inlineStr">
        <is>
          <t>PIU</t>
        </is>
      </c>
      <c r="G523" s="4" t="inlineStr">
        <is>
          <t>LIM</t>
        </is>
      </c>
      <c r="H523" s="4" t="inlineStr">
        <is>
          <t>17:20:00</t>
        </is>
      </c>
      <c r="I523" s="4" t="inlineStr">
        <is>
          <t>18:50:00</t>
        </is>
      </c>
      <c r="J523" s="4" t="n">
        <v>319</v>
      </c>
      <c r="K523">
        <f>TEXT(TIMEVALUE(H523)-TIMEVALUE(I522)+(TIMEVALUE(H523)&lt;TIMEVALUE(I522)),"[h]:mm")</f>
        <v/>
      </c>
      <c r="L523" s="4" t="inlineStr">
        <is>
          <t>01:30:00</t>
        </is>
      </c>
      <c r="O523">
        <f>"LIM-"&amp;G522&amp;"-LIM   LA "&amp;E522&amp;" ("&amp;LEFT(H522,5)&amp;"-"&amp;LEFT(I522,5)&amp;" hrs)  /  LA "&amp;E523&amp;" ("&amp;LEFT(H523,5)&amp;"-"&amp;LEFT(I523,5)&amp;" hrs)"</f>
        <v/>
      </c>
    </row>
    <row r="524">
      <c r="J524" s="8" t="inlineStr">
        <is>
          <t>PSV total:</t>
        </is>
      </c>
      <c r="K524" s="9">
        <f>TEXT(TIMEVALUE(I523)-TIMEVALUE(H522)+(I523&lt;H522),"[h]:mm")</f>
        <v/>
      </c>
    </row>
    <row r="526">
      <c r="B526" s="3" t="inlineStr">
        <is>
          <t>Pairing ID</t>
        </is>
      </c>
      <c r="C526" s="3" t="inlineStr">
        <is>
          <t>FECHA REAL</t>
        </is>
      </c>
      <c r="D526" s="3" t="inlineStr">
        <is>
          <t>Day of Week</t>
        </is>
      </c>
      <c r="E526" s="3" t="inlineStr">
        <is>
          <t>Flight No</t>
        </is>
      </c>
      <c r="F526" s="3" t="inlineStr">
        <is>
          <t>Dep Stn</t>
        </is>
      </c>
      <c r="G526" s="3" t="inlineStr">
        <is>
          <t>Arr Stn</t>
        </is>
      </c>
      <c r="H526" s="3" t="inlineStr">
        <is>
          <t>STD</t>
        </is>
      </c>
      <c r="I526" s="3" t="inlineStr">
        <is>
          <t>STA</t>
        </is>
      </c>
      <c r="J526" s="3" t="inlineStr">
        <is>
          <t>subflota</t>
        </is>
      </c>
      <c r="K526" s="3" t="inlineStr">
        <is>
          <t>Conexion</t>
        </is>
      </c>
      <c r="L526" s="3" t="inlineStr">
        <is>
          <t>HBT</t>
        </is>
      </c>
    </row>
    <row r="527">
      <c r="B527" s="4" t="n">
        <v>573</v>
      </c>
      <c r="C527" s="4" t="inlineStr">
        <is>
          <t>06/09/2026</t>
        </is>
      </c>
      <c r="D527" s="4" t="inlineStr">
        <is>
          <t>domingo</t>
        </is>
      </c>
      <c r="E527" s="4" t="n">
        <v>2113</v>
      </c>
      <c r="F527" s="4" t="inlineStr">
        <is>
          <t>LIM</t>
        </is>
      </c>
      <c r="G527" s="4" t="inlineStr">
        <is>
          <t>AQP</t>
        </is>
      </c>
      <c r="H527" s="4" t="inlineStr">
        <is>
          <t>15:05:00</t>
        </is>
      </c>
      <c r="I527" s="4" t="inlineStr">
        <is>
          <t>16:35:00</t>
        </is>
      </c>
      <c r="J527" s="4" t="n">
        <v>320</v>
      </c>
      <c r="L527" s="4" t="inlineStr">
        <is>
          <t>01:30:00</t>
        </is>
      </c>
      <c r="M527" s="5" t="n"/>
      <c r="N527" s="6" t="n"/>
      <c r="O527" s="5" t="n"/>
      <c r="Q527" s="4">
        <f>B527</f>
        <v/>
      </c>
      <c r="R527" s="4">
        <f>C527</f>
        <v/>
      </c>
      <c r="S527" s="4">
        <f>D527</f>
        <v/>
      </c>
      <c r="T527" s="4">
        <f>E527&amp;"/"&amp;E528</f>
        <v/>
      </c>
      <c r="U527" s="4">
        <f>F527&amp;"-"&amp;G527&amp;"-"&amp;F527</f>
        <v/>
      </c>
      <c r="V527" s="4">
        <f>IF($M$527="","",$M$527)</f>
        <v/>
      </c>
      <c r="W527" s="4">
        <f>IF($O$527="","",$O$527)</f>
        <v/>
      </c>
      <c r="X527" s="4">
        <f>J527</f>
        <v/>
      </c>
    </row>
    <row r="528">
      <c r="B528" s="4" t="n">
        <v>573</v>
      </c>
      <c r="C528" s="4" t="inlineStr">
        <is>
          <t>06/09/2026</t>
        </is>
      </c>
      <c r="D528" s="4" t="inlineStr">
        <is>
          <t>domingo</t>
        </is>
      </c>
      <c r="E528" s="4" t="n">
        <v>2112</v>
      </c>
      <c r="F528" s="4" t="inlineStr">
        <is>
          <t>AQP</t>
        </is>
      </c>
      <c r="G528" s="4" t="inlineStr">
        <is>
          <t>LIM</t>
        </is>
      </c>
      <c r="H528" s="4" t="inlineStr">
        <is>
          <t>17:15:00</t>
        </is>
      </c>
      <c r="I528" s="4" t="inlineStr">
        <is>
          <t>18:55:00</t>
        </is>
      </c>
      <c r="J528" s="4" t="n">
        <v>320</v>
      </c>
      <c r="K528">
        <f>TEXT(TIMEVALUE(H528)-TIMEVALUE(I527)+(TIMEVALUE(H528)&lt;TIMEVALUE(I527)),"[h]:mm")</f>
        <v/>
      </c>
      <c r="L528" s="4" t="inlineStr">
        <is>
          <t>01:40:00</t>
        </is>
      </c>
      <c r="O528">
        <f>"LIM-"&amp;G527&amp;"-LIM   LA "&amp;E527&amp;" ("&amp;LEFT(H527,5)&amp;"-"&amp;LEFT(I527,5)&amp;" hrs)  /  LA "&amp;E528&amp;" ("&amp;LEFT(H528,5)&amp;"-"&amp;LEFT(I528,5)&amp;" hrs)"</f>
        <v/>
      </c>
    </row>
    <row r="529">
      <c r="J529" s="8" t="inlineStr">
        <is>
          <t>PSV total:</t>
        </is>
      </c>
      <c r="K529" s="9">
        <f>TEXT(TIMEVALUE(I528)-TIMEVALUE(H527)+(I528&lt;H527),"[h]:mm")</f>
        <v/>
      </c>
    </row>
    <row r="531">
      <c r="B531" s="3" t="inlineStr">
        <is>
          <t>Pairing ID</t>
        </is>
      </c>
      <c r="C531" s="3" t="inlineStr">
        <is>
          <t>FECHA REAL</t>
        </is>
      </c>
      <c r="D531" s="3" t="inlineStr">
        <is>
          <t>Day of Week</t>
        </is>
      </c>
      <c r="E531" s="3" t="inlineStr">
        <is>
          <t>Flight No</t>
        </is>
      </c>
      <c r="F531" s="3" t="inlineStr">
        <is>
          <t>Dep Stn</t>
        </is>
      </c>
      <c r="G531" s="3" t="inlineStr">
        <is>
          <t>Arr Stn</t>
        </is>
      </c>
      <c r="H531" s="3" t="inlineStr">
        <is>
          <t>STD</t>
        </is>
      </c>
      <c r="I531" s="3" t="inlineStr">
        <is>
          <t>STA</t>
        </is>
      </c>
      <c r="J531" s="3" t="inlineStr">
        <is>
          <t>subflota</t>
        </is>
      </c>
      <c r="K531" s="3" t="inlineStr">
        <is>
          <t>Conexion</t>
        </is>
      </c>
      <c r="L531" s="3" t="inlineStr">
        <is>
          <t>HBT</t>
        </is>
      </c>
    </row>
    <row r="532">
      <c r="B532" s="4" t="n">
        <v>575</v>
      </c>
      <c r="C532" s="4" t="inlineStr">
        <is>
          <t>06/09/2026</t>
        </is>
      </c>
      <c r="D532" s="4" t="inlineStr">
        <is>
          <t>domingo</t>
        </is>
      </c>
      <c r="E532" s="4" t="n">
        <v>2297</v>
      </c>
      <c r="F532" s="4" t="inlineStr">
        <is>
          <t>LIM</t>
        </is>
      </c>
      <c r="G532" s="4" t="inlineStr">
        <is>
          <t>CJA</t>
        </is>
      </c>
      <c r="H532" s="4" t="inlineStr">
        <is>
          <t>15:15:00</t>
        </is>
      </c>
      <c r="I532" s="4" t="inlineStr">
        <is>
          <t>16:35:00</t>
        </is>
      </c>
      <c r="J532" s="4" t="n">
        <v>319</v>
      </c>
      <c r="L532" s="4" t="inlineStr">
        <is>
          <t>01:20:00</t>
        </is>
      </c>
      <c r="M532" s="5" t="n"/>
      <c r="N532" s="6" t="n"/>
      <c r="O532" s="5" t="n"/>
      <c r="Q532" s="4">
        <f>B532</f>
        <v/>
      </c>
      <c r="R532" s="4">
        <f>C532</f>
        <v/>
      </c>
      <c r="S532" s="4">
        <f>D532</f>
        <v/>
      </c>
      <c r="T532" s="4">
        <f>E532&amp;"/"&amp;E533</f>
        <v/>
      </c>
      <c r="U532" s="4">
        <f>F532&amp;"-"&amp;G532&amp;"-"&amp;F532</f>
        <v/>
      </c>
      <c r="V532" s="4">
        <f>IF($M$532="","",$M$532)</f>
        <v/>
      </c>
      <c r="W532" s="4">
        <f>IF($O$532="","",$O$532)</f>
        <v/>
      </c>
      <c r="X532" s="4">
        <f>J532</f>
        <v/>
      </c>
    </row>
    <row r="533">
      <c r="B533" s="4" t="n">
        <v>575</v>
      </c>
      <c r="C533" s="4" t="inlineStr">
        <is>
          <t>06/09/2026</t>
        </is>
      </c>
      <c r="D533" s="4" t="inlineStr">
        <is>
          <t>domingo</t>
        </is>
      </c>
      <c r="E533" s="4" t="n">
        <v>2296</v>
      </c>
      <c r="F533" s="4" t="inlineStr">
        <is>
          <t>CJA</t>
        </is>
      </c>
      <c r="G533" s="4" t="inlineStr">
        <is>
          <t>LIM</t>
        </is>
      </c>
      <c r="H533" s="4" t="inlineStr">
        <is>
          <t>17:20:00</t>
        </is>
      </c>
      <c r="I533" s="4" t="inlineStr">
        <is>
          <t>18:25:00</t>
        </is>
      </c>
      <c r="J533" s="4" t="n">
        <v>319</v>
      </c>
      <c r="K533">
        <f>TEXT(TIMEVALUE(H533)-TIMEVALUE(I532)+(TIMEVALUE(H533)&lt;TIMEVALUE(I532)),"[h]:mm")</f>
        <v/>
      </c>
      <c r="L533" s="4" t="inlineStr">
        <is>
          <t>01:05:00</t>
        </is>
      </c>
      <c r="O533">
        <f>"LIM-"&amp;G532&amp;"-LIM   LA "&amp;E532&amp;" ("&amp;LEFT(H532,5)&amp;"-"&amp;LEFT(I532,5)&amp;" hrs)  /  LA "&amp;E533&amp;" ("&amp;LEFT(H533,5)&amp;"-"&amp;LEFT(I533,5)&amp;" hrs)"</f>
        <v/>
      </c>
    </row>
    <row r="534">
      <c r="J534" s="8" t="inlineStr">
        <is>
          <t>PSV total:</t>
        </is>
      </c>
      <c r="K534" s="9">
        <f>TEXT(TIMEVALUE(I533)-TIMEVALUE(H532)+(I533&lt;H532),"[h]:mm")</f>
        <v/>
      </c>
    </row>
    <row r="536">
      <c r="B536" s="3" t="inlineStr">
        <is>
          <t>Pairing ID</t>
        </is>
      </c>
      <c r="C536" s="3" t="inlineStr">
        <is>
          <t>FECHA REAL</t>
        </is>
      </c>
      <c r="D536" s="3" t="inlineStr">
        <is>
          <t>Day of Week</t>
        </is>
      </c>
      <c r="E536" s="3" t="inlineStr">
        <is>
          <t>Flight No</t>
        </is>
      </c>
      <c r="F536" s="3" t="inlineStr">
        <is>
          <t>Dep Stn</t>
        </is>
      </c>
      <c r="G536" s="3" t="inlineStr">
        <is>
          <t>Arr Stn</t>
        </is>
      </c>
      <c r="H536" s="3" t="inlineStr">
        <is>
          <t>STD</t>
        </is>
      </c>
      <c r="I536" s="3" t="inlineStr">
        <is>
          <t>STA</t>
        </is>
      </c>
      <c r="J536" s="3" t="inlineStr">
        <is>
          <t>subflota</t>
        </is>
      </c>
      <c r="K536" s="3" t="inlineStr">
        <is>
          <t>Conexion</t>
        </is>
      </c>
      <c r="L536" s="3" t="inlineStr">
        <is>
          <t>HBT</t>
        </is>
      </c>
    </row>
    <row r="537">
      <c r="B537" s="4" t="n">
        <v>576</v>
      </c>
      <c r="C537" s="4" t="inlineStr">
        <is>
          <t>06/09/2026</t>
        </is>
      </c>
      <c r="D537" s="4" t="inlineStr">
        <is>
          <t>domingo</t>
        </is>
      </c>
      <c r="E537" s="4" t="n">
        <v>2312</v>
      </c>
      <c r="F537" s="4" t="inlineStr">
        <is>
          <t>LIM</t>
        </is>
      </c>
      <c r="G537" s="4" t="inlineStr">
        <is>
          <t>CIX</t>
        </is>
      </c>
      <c r="H537" s="4" t="inlineStr">
        <is>
          <t>15:35:00</t>
        </is>
      </c>
      <c r="I537" s="4" t="inlineStr">
        <is>
          <t>17:05:00</t>
        </is>
      </c>
      <c r="J537" s="4" t="n">
        <v>319</v>
      </c>
      <c r="L537" s="4" t="inlineStr">
        <is>
          <t>01:30:00</t>
        </is>
      </c>
      <c r="M537" s="5" t="n"/>
      <c r="N537" s="6" t="n"/>
      <c r="O537" s="5" t="n"/>
      <c r="Q537" s="4">
        <f>B537</f>
        <v/>
      </c>
      <c r="R537" s="4">
        <f>C537</f>
        <v/>
      </c>
      <c r="S537" s="4">
        <f>D537</f>
        <v/>
      </c>
      <c r="T537" s="4">
        <f>E537&amp;"/"&amp;E538</f>
        <v/>
      </c>
      <c r="U537" s="4">
        <f>F537&amp;"-"&amp;G537&amp;"-"&amp;F537</f>
        <v/>
      </c>
      <c r="V537" s="4">
        <f>IF($M$537="","",$M$537)</f>
        <v/>
      </c>
      <c r="W537" s="4">
        <f>IF($O$537="","",$O$537)</f>
        <v/>
      </c>
      <c r="X537" s="4">
        <f>J537</f>
        <v/>
      </c>
    </row>
    <row r="538">
      <c r="B538" s="4" t="n">
        <v>576</v>
      </c>
      <c r="C538" s="4" t="inlineStr">
        <is>
          <t>06/09/2026</t>
        </is>
      </c>
      <c r="D538" s="4" t="inlineStr">
        <is>
          <t>domingo</t>
        </is>
      </c>
      <c r="E538" s="4" t="n">
        <v>2313</v>
      </c>
      <c r="F538" s="4" t="inlineStr">
        <is>
          <t>CIX</t>
        </is>
      </c>
      <c r="G538" s="4" t="inlineStr">
        <is>
          <t>LIM</t>
        </is>
      </c>
      <c r="H538" s="4" t="inlineStr">
        <is>
          <t>17:50:00</t>
        </is>
      </c>
      <c r="I538" s="4" t="inlineStr">
        <is>
          <t>19:10:00</t>
        </is>
      </c>
      <c r="J538" s="4" t="n">
        <v>319</v>
      </c>
      <c r="K538">
        <f>TEXT(TIMEVALUE(H538)-TIMEVALUE(I537)+(TIMEVALUE(H538)&lt;TIMEVALUE(I537)),"[h]:mm")</f>
        <v/>
      </c>
      <c r="L538" s="4" t="inlineStr">
        <is>
          <t>01:20:00</t>
        </is>
      </c>
      <c r="O538">
        <f>"LIM-"&amp;G537&amp;"-LIM   LA "&amp;E537&amp;" ("&amp;LEFT(H537,5)&amp;"-"&amp;LEFT(I537,5)&amp;" hrs)  /  LA "&amp;E538&amp;" ("&amp;LEFT(H538,5)&amp;"-"&amp;LEFT(I538,5)&amp;" hrs)"</f>
        <v/>
      </c>
    </row>
    <row r="539">
      <c r="J539" s="8" t="inlineStr">
        <is>
          <t>PSV total:</t>
        </is>
      </c>
      <c r="K539" s="9">
        <f>TEXT(TIMEVALUE(I538)-TIMEVALUE(H537)+(I538&lt;H537),"[h]:mm")</f>
        <v/>
      </c>
    </row>
    <row r="541">
      <c r="B541" s="3" t="inlineStr">
        <is>
          <t>Pairing ID</t>
        </is>
      </c>
      <c r="C541" s="3" t="inlineStr">
        <is>
          <t>FECHA REAL</t>
        </is>
      </c>
      <c r="D541" s="3" t="inlineStr">
        <is>
          <t>Day of Week</t>
        </is>
      </c>
      <c r="E541" s="3" t="inlineStr">
        <is>
          <t>Flight No</t>
        </is>
      </c>
      <c r="F541" s="3" t="inlineStr">
        <is>
          <t>Dep Stn</t>
        </is>
      </c>
      <c r="G541" s="3" t="inlineStr">
        <is>
          <t>Arr Stn</t>
        </is>
      </c>
      <c r="H541" s="3" t="inlineStr">
        <is>
          <t>STD</t>
        </is>
      </c>
      <c r="I541" s="3" t="inlineStr">
        <is>
          <t>STA</t>
        </is>
      </c>
      <c r="J541" s="3" t="inlineStr">
        <is>
          <t>subflota</t>
        </is>
      </c>
      <c r="K541" s="3" t="inlineStr">
        <is>
          <t>Conexion</t>
        </is>
      </c>
      <c r="L541" s="3" t="inlineStr">
        <is>
          <t>HBT</t>
        </is>
      </c>
    </row>
    <row r="542">
      <c r="B542" s="4" t="n">
        <v>577</v>
      </c>
      <c r="C542" s="4" t="inlineStr">
        <is>
          <t>06/09/2026</t>
        </is>
      </c>
      <c r="D542" s="4" t="inlineStr">
        <is>
          <t>domingo</t>
        </is>
      </c>
      <c r="E542" s="4" t="n">
        <v>2301</v>
      </c>
      <c r="F542" s="4" t="inlineStr">
        <is>
          <t>LIM</t>
        </is>
      </c>
      <c r="G542" s="4" t="inlineStr">
        <is>
          <t>TPP</t>
        </is>
      </c>
      <c r="H542" s="4" t="inlineStr">
        <is>
          <t>15:40:00</t>
        </is>
      </c>
      <c r="I542" s="4" t="inlineStr">
        <is>
          <t>17:05:00</t>
        </is>
      </c>
      <c r="J542" s="4" t="n">
        <v>320</v>
      </c>
      <c r="L542" s="4" t="inlineStr">
        <is>
          <t>01:25:00</t>
        </is>
      </c>
      <c r="M542" s="5" t="n"/>
      <c r="N542" s="6" t="n"/>
      <c r="O542" s="5" t="n"/>
      <c r="Q542" s="4">
        <f>B542</f>
        <v/>
      </c>
      <c r="R542" s="4">
        <f>C542</f>
        <v/>
      </c>
      <c r="S542" s="4">
        <f>D542</f>
        <v/>
      </c>
      <c r="T542" s="4">
        <f>E542&amp;"/"&amp;E543</f>
        <v/>
      </c>
      <c r="U542" s="4">
        <f>F542&amp;"-"&amp;G542&amp;"-"&amp;F542</f>
        <v/>
      </c>
      <c r="V542" s="4">
        <f>IF($M$542="","",$M$542)</f>
        <v/>
      </c>
      <c r="W542" s="4">
        <f>IF($O$542="","",$O$542)</f>
        <v/>
      </c>
      <c r="X542" s="4">
        <f>J542</f>
        <v/>
      </c>
    </row>
    <row r="543">
      <c r="B543" s="4" t="n">
        <v>577</v>
      </c>
      <c r="C543" s="4" t="inlineStr">
        <is>
          <t>06/09/2026</t>
        </is>
      </c>
      <c r="D543" s="4" t="inlineStr">
        <is>
          <t>domingo</t>
        </is>
      </c>
      <c r="E543" s="4" t="n">
        <v>2300</v>
      </c>
      <c r="F543" s="4" t="inlineStr">
        <is>
          <t>TPP</t>
        </is>
      </c>
      <c r="G543" s="4" t="inlineStr">
        <is>
          <t>LIM</t>
        </is>
      </c>
      <c r="H543" s="4" t="inlineStr">
        <is>
          <t>17:50:00</t>
        </is>
      </c>
      <c r="I543" s="4" t="inlineStr">
        <is>
          <t>19:20:00</t>
        </is>
      </c>
      <c r="J543" s="4" t="n">
        <v>320</v>
      </c>
      <c r="K543">
        <f>TEXT(TIMEVALUE(H543)-TIMEVALUE(I542)+(TIMEVALUE(H543)&lt;TIMEVALUE(I542)),"[h]:mm")</f>
        <v/>
      </c>
      <c r="L543" s="4" t="inlineStr">
        <is>
          <t>01:30:00</t>
        </is>
      </c>
      <c r="O543">
        <f>"LIM-"&amp;G542&amp;"-LIM   LA "&amp;E542&amp;" ("&amp;LEFT(H542,5)&amp;"-"&amp;LEFT(I542,5)&amp;" hrs)  /  LA "&amp;E543&amp;" ("&amp;LEFT(H543,5)&amp;"-"&amp;LEFT(I543,5)&amp;" hrs)"</f>
        <v/>
      </c>
    </row>
    <row r="544">
      <c r="J544" s="8" t="inlineStr">
        <is>
          <t>PSV total:</t>
        </is>
      </c>
      <c r="K544" s="9">
        <f>TEXT(TIMEVALUE(I543)-TIMEVALUE(H542)+(I543&lt;H542),"[h]:mm")</f>
        <v/>
      </c>
    </row>
    <row r="546">
      <c r="B546" s="3" t="inlineStr">
        <is>
          <t>Pairing ID</t>
        </is>
      </c>
      <c r="C546" s="3" t="inlineStr">
        <is>
          <t>FECHA REAL</t>
        </is>
      </c>
      <c r="D546" s="3" t="inlineStr">
        <is>
          <t>Day of Week</t>
        </is>
      </c>
      <c r="E546" s="3" t="inlineStr">
        <is>
          <t>Flight No</t>
        </is>
      </c>
      <c r="F546" s="3" t="inlineStr">
        <is>
          <t>Dep Stn</t>
        </is>
      </c>
      <c r="G546" s="3" t="inlineStr">
        <is>
          <t>Arr Stn</t>
        </is>
      </c>
      <c r="H546" s="3" t="inlineStr">
        <is>
          <t>STD</t>
        </is>
      </c>
      <c r="I546" s="3" t="inlineStr">
        <is>
          <t>STA</t>
        </is>
      </c>
      <c r="J546" s="3" t="inlineStr">
        <is>
          <t>subflota</t>
        </is>
      </c>
      <c r="K546" s="3" t="inlineStr">
        <is>
          <t>Conexion</t>
        </is>
      </c>
      <c r="L546" s="3" t="inlineStr">
        <is>
          <t>HBT</t>
        </is>
      </c>
    </row>
    <row r="547">
      <c r="B547" s="4" t="n">
        <v>579</v>
      </c>
      <c r="C547" s="4" t="inlineStr">
        <is>
          <t>06/09/2026</t>
        </is>
      </c>
      <c r="D547" s="4" t="inlineStr">
        <is>
          <t>domingo</t>
        </is>
      </c>
      <c r="E547" s="4" t="n">
        <v>2127</v>
      </c>
      <c r="F547" s="4" t="inlineStr">
        <is>
          <t>LIM</t>
        </is>
      </c>
      <c r="G547" s="4" t="inlineStr">
        <is>
          <t>CUZ</t>
        </is>
      </c>
      <c r="H547" s="4" t="inlineStr">
        <is>
          <t>16:10:00</t>
        </is>
      </c>
      <c r="I547" s="4" t="inlineStr">
        <is>
          <t>17:30:00</t>
        </is>
      </c>
      <c r="J547" s="4" t="n">
        <v>320</v>
      </c>
      <c r="L547" s="4" t="inlineStr">
        <is>
          <t>01:20:00</t>
        </is>
      </c>
      <c r="M547" s="5" t="n"/>
      <c r="N547" s="6" t="n"/>
      <c r="O547" s="5" t="n"/>
      <c r="Q547" s="4">
        <f>B547</f>
        <v/>
      </c>
      <c r="R547" s="4">
        <f>C547</f>
        <v/>
      </c>
      <c r="S547" s="4">
        <f>D547</f>
        <v/>
      </c>
      <c r="T547" s="4">
        <f>E547&amp;"/"&amp;E548</f>
        <v/>
      </c>
      <c r="U547" s="4">
        <f>F547&amp;"-"&amp;G547&amp;"-"&amp;F547</f>
        <v/>
      </c>
      <c r="V547" s="4">
        <f>IF($M$547="","",$M$547)</f>
        <v/>
      </c>
      <c r="W547" s="4">
        <f>IF($O$547="","",$O$547)</f>
        <v/>
      </c>
      <c r="X547" s="4">
        <f>J547</f>
        <v/>
      </c>
    </row>
    <row r="548">
      <c r="B548" s="4" t="n">
        <v>579</v>
      </c>
      <c r="C548" s="4" t="inlineStr">
        <is>
          <t>06/09/2026</t>
        </is>
      </c>
      <c r="D548" s="4" t="inlineStr">
        <is>
          <t>domingo</t>
        </is>
      </c>
      <c r="E548" s="4" t="n">
        <v>2026</v>
      </c>
      <c r="F548" s="4" t="inlineStr">
        <is>
          <t>CUZ</t>
        </is>
      </c>
      <c r="G548" s="4" t="inlineStr">
        <is>
          <t>LIM</t>
        </is>
      </c>
      <c r="H548" s="4" t="inlineStr">
        <is>
          <t>18:10:00</t>
        </is>
      </c>
      <c r="I548" s="4" t="inlineStr">
        <is>
          <t>19:50:00</t>
        </is>
      </c>
      <c r="J548" s="4" t="n">
        <v>320</v>
      </c>
      <c r="K548">
        <f>TEXT(TIMEVALUE(H548)-TIMEVALUE(I547)+(TIMEVALUE(H548)&lt;TIMEVALUE(I547)),"[h]:mm")</f>
        <v/>
      </c>
      <c r="L548" s="4" t="inlineStr">
        <is>
          <t>01:40:00</t>
        </is>
      </c>
      <c r="O548">
        <f>"LIM-"&amp;G547&amp;"-LIM   LA "&amp;E547&amp;" ("&amp;LEFT(H547,5)&amp;"-"&amp;LEFT(I547,5)&amp;" hrs)  /  LA "&amp;E548&amp;" ("&amp;LEFT(H548,5)&amp;"-"&amp;LEFT(I548,5)&amp;" hrs)"</f>
        <v/>
      </c>
    </row>
    <row r="549">
      <c r="J549" s="8" t="inlineStr">
        <is>
          <t>PSV total:</t>
        </is>
      </c>
      <c r="K549" s="9">
        <f>TEXT(TIMEVALUE(I548)-TIMEVALUE(H547)+(I548&lt;H547),"[h]:mm")</f>
        <v/>
      </c>
    </row>
    <row r="551">
      <c r="B551" s="3" t="inlineStr">
        <is>
          <t>Pairing ID</t>
        </is>
      </c>
      <c r="C551" s="3" t="inlineStr">
        <is>
          <t>FECHA REAL</t>
        </is>
      </c>
      <c r="D551" s="3" t="inlineStr">
        <is>
          <t>Day of Week</t>
        </is>
      </c>
      <c r="E551" s="3" t="inlineStr">
        <is>
          <t>Flight No</t>
        </is>
      </c>
      <c r="F551" s="3" t="inlineStr">
        <is>
          <t>Dep Stn</t>
        </is>
      </c>
      <c r="G551" s="3" t="inlineStr">
        <is>
          <t>Arr Stn</t>
        </is>
      </c>
      <c r="H551" s="3" t="inlineStr">
        <is>
          <t>STD</t>
        </is>
      </c>
      <c r="I551" s="3" t="inlineStr">
        <is>
          <t>STA</t>
        </is>
      </c>
      <c r="J551" s="3" t="inlineStr">
        <is>
          <t>subflota</t>
        </is>
      </c>
      <c r="K551" s="3" t="inlineStr">
        <is>
          <t>Conexion</t>
        </is>
      </c>
      <c r="L551" s="3" t="inlineStr">
        <is>
          <t>HBT</t>
        </is>
      </c>
    </row>
    <row r="552">
      <c r="B552" s="4" t="n">
        <v>580</v>
      </c>
      <c r="C552" s="4" t="inlineStr">
        <is>
          <t>06/09/2026</t>
        </is>
      </c>
      <c r="D552" s="4" t="inlineStr">
        <is>
          <t>domingo</t>
        </is>
      </c>
      <c r="E552" s="4" t="n">
        <v>2276</v>
      </c>
      <c r="F552" s="4" t="inlineStr">
        <is>
          <t>LIM</t>
        </is>
      </c>
      <c r="G552" s="4" t="inlineStr">
        <is>
          <t>CUZ</t>
        </is>
      </c>
      <c r="H552" s="4" t="inlineStr">
        <is>
          <t>16:35:00</t>
        </is>
      </c>
      <c r="I552" s="4" t="inlineStr">
        <is>
          <t>17:55:00</t>
        </is>
      </c>
      <c r="J552" s="4" t="n">
        <v>320</v>
      </c>
      <c r="L552" s="4" t="inlineStr">
        <is>
          <t>01:20:00</t>
        </is>
      </c>
      <c r="M552" s="5" t="n"/>
      <c r="N552" s="6" t="n"/>
      <c r="O552" s="5" t="n"/>
      <c r="Q552" s="4">
        <f>B552</f>
        <v/>
      </c>
      <c r="R552" s="4">
        <f>C552</f>
        <v/>
      </c>
      <c r="S552" s="4">
        <f>D552</f>
        <v/>
      </c>
      <c r="T552" s="4">
        <f>E552&amp;"/"&amp;E553</f>
        <v/>
      </c>
      <c r="U552" s="4">
        <f>F552&amp;"-"&amp;G552&amp;"-"&amp;F552</f>
        <v/>
      </c>
      <c r="V552" s="4">
        <f>IF($M$552="","",$M$552)</f>
        <v/>
      </c>
      <c r="W552" s="4">
        <f>IF($O$552="","",$O$552)</f>
        <v/>
      </c>
      <c r="X552" s="4">
        <f>J552</f>
        <v/>
      </c>
    </row>
    <row r="553">
      <c r="B553" s="4" t="n">
        <v>580</v>
      </c>
      <c r="C553" s="4" t="inlineStr">
        <is>
          <t>06/09/2026</t>
        </is>
      </c>
      <c r="D553" s="4" t="inlineStr">
        <is>
          <t>domingo</t>
        </is>
      </c>
      <c r="E553" s="4" t="n">
        <v>2277</v>
      </c>
      <c r="F553" s="4" t="inlineStr">
        <is>
          <t>CUZ</t>
        </is>
      </c>
      <c r="G553" s="4" t="inlineStr">
        <is>
          <t>LIM</t>
        </is>
      </c>
      <c r="H553" s="4" t="inlineStr">
        <is>
          <t>18:50:00</t>
        </is>
      </c>
      <c r="I553" s="4" t="inlineStr">
        <is>
          <t>20:25:00</t>
        </is>
      </c>
      <c r="J553" s="4" t="n">
        <v>320</v>
      </c>
      <c r="K553">
        <f>TEXT(TIMEVALUE(H553)-TIMEVALUE(I552)+(TIMEVALUE(H553)&lt;TIMEVALUE(I552)),"[h]:mm")</f>
        <v/>
      </c>
      <c r="L553" s="4" t="inlineStr">
        <is>
          <t>01:35:00</t>
        </is>
      </c>
      <c r="O553">
        <f>"LIM-"&amp;G552&amp;"-LIM   LA "&amp;E552&amp;" ("&amp;LEFT(H552,5)&amp;"-"&amp;LEFT(I552,5)&amp;" hrs)  /  LA "&amp;E553&amp;" ("&amp;LEFT(H553,5)&amp;"-"&amp;LEFT(I553,5)&amp;" hrs)"</f>
        <v/>
      </c>
    </row>
    <row r="554">
      <c r="J554" s="8" t="inlineStr">
        <is>
          <t>PSV total:</t>
        </is>
      </c>
      <c r="K554" s="9">
        <f>TEXT(TIMEVALUE(I553)-TIMEVALUE(H552)+(I553&lt;H552),"[h]:mm")</f>
        <v/>
      </c>
    </row>
    <row r="556">
      <c r="B556" s="3" t="inlineStr">
        <is>
          <t>Pairing ID</t>
        </is>
      </c>
      <c r="C556" s="3" t="inlineStr">
        <is>
          <t>FECHA REAL</t>
        </is>
      </c>
      <c r="D556" s="3" t="inlineStr">
        <is>
          <t>Day of Week</t>
        </is>
      </c>
      <c r="E556" s="3" t="inlineStr">
        <is>
          <t>Flight No</t>
        </is>
      </c>
      <c r="F556" s="3" t="inlineStr">
        <is>
          <t>Dep Stn</t>
        </is>
      </c>
      <c r="G556" s="3" t="inlineStr">
        <is>
          <t>Arr Stn</t>
        </is>
      </c>
      <c r="H556" s="3" t="inlineStr">
        <is>
          <t>STD</t>
        </is>
      </c>
      <c r="I556" s="3" t="inlineStr">
        <is>
          <t>STA</t>
        </is>
      </c>
      <c r="J556" s="3" t="inlineStr">
        <is>
          <t>subflota</t>
        </is>
      </c>
      <c r="K556" s="3" t="inlineStr">
        <is>
          <t>Conexion</t>
        </is>
      </c>
      <c r="L556" s="3" t="inlineStr">
        <is>
          <t>HBT</t>
        </is>
      </c>
    </row>
    <row r="557">
      <c r="B557" s="4" t="n">
        <v>581</v>
      </c>
      <c r="C557" s="4" t="inlineStr">
        <is>
          <t>06/09/2026</t>
        </is>
      </c>
      <c r="D557" s="4" t="inlineStr">
        <is>
          <t>domingo</t>
        </is>
      </c>
      <c r="E557" s="4" t="n">
        <v>2276</v>
      </c>
      <c r="F557" s="4" t="inlineStr">
        <is>
          <t>LIM</t>
        </is>
      </c>
      <c r="G557" s="4" t="inlineStr">
        <is>
          <t>CUZ</t>
        </is>
      </c>
      <c r="H557" s="4" t="inlineStr">
        <is>
          <t>16:35:00</t>
        </is>
      </c>
      <c r="I557" s="4" t="inlineStr">
        <is>
          <t>17:55:00</t>
        </is>
      </c>
      <c r="J557" s="4" t="n">
        <v>320</v>
      </c>
      <c r="L557" s="4" t="inlineStr">
        <is>
          <t>01:20:00</t>
        </is>
      </c>
      <c r="M557" s="5" t="n"/>
      <c r="N557" s="6" t="n"/>
      <c r="O557" s="5" t="n"/>
      <c r="Q557" s="4">
        <f>B557</f>
        <v/>
      </c>
      <c r="R557" s="4">
        <f>C557</f>
        <v/>
      </c>
      <c r="S557" s="4">
        <f>D557</f>
        <v/>
      </c>
      <c r="T557" s="4">
        <f>E557&amp;"/"&amp;E558</f>
        <v/>
      </c>
      <c r="U557" s="4">
        <f>F557&amp;"-"&amp;G557&amp;"-"&amp;F557</f>
        <v/>
      </c>
      <c r="V557" s="4">
        <f>IF($M$557="","",$M$557)</f>
        <v/>
      </c>
      <c r="W557" s="4">
        <f>IF($O$557="","",$O$557)</f>
        <v/>
      </c>
      <c r="X557" s="4">
        <f>J557</f>
        <v/>
      </c>
    </row>
    <row r="558">
      <c r="B558" s="4" t="n">
        <v>581</v>
      </c>
      <c r="C558" s="4" t="inlineStr">
        <is>
          <t>06/09/2026</t>
        </is>
      </c>
      <c r="D558" s="4" t="inlineStr">
        <is>
          <t>domingo</t>
        </is>
      </c>
      <c r="E558" s="4" t="n">
        <v>2277</v>
      </c>
      <c r="F558" s="4" t="inlineStr">
        <is>
          <t>CUZ</t>
        </is>
      </c>
      <c r="G558" s="4" t="inlineStr">
        <is>
          <t>LIM</t>
        </is>
      </c>
      <c r="H558" s="4" t="inlineStr">
        <is>
          <t>18:50:00</t>
        </is>
      </c>
      <c r="I558" s="4" t="inlineStr">
        <is>
          <t>20:25:00</t>
        </is>
      </c>
      <c r="J558" s="4" t="n">
        <v>320</v>
      </c>
      <c r="K558">
        <f>TEXT(TIMEVALUE(H558)-TIMEVALUE(I557)+(TIMEVALUE(H558)&lt;TIMEVALUE(I557)),"[h]:mm")</f>
        <v/>
      </c>
      <c r="L558" s="4" t="inlineStr">
        <is>
          <t>01:35:00</t>
        </is>
      </c>
      <c r="O558">
        <f>"LIM-"&amp;G557&amp;"-LIM   LA "&amp;E557&amp;" ("&amp;LEFT(H557,5)&amp;"-"&amp;LEFT(I557,5)&amp;" hrs)  /  LA "&amp;E558&amp;" ("&amp;LEFT(H558,5)&amp;"-"&amp;LEFT(I558,5)&amp;" hrs)"</f>
        <v/>
      </c>
    </row>
    <row r="559">
      <c r="J559" s="8" t="inlineStr">
        <is>
          <t>PSV total:</t>
        </is>
      </c>
      <c r="K559" s="9">
        <f>TEXT(TIMEVALUE(I558)-TIMEVALUE(H557)+(I558&lt;H557),"[h]:mm")</f>
        <v/>
      </c>
    </row>
    <row r="561">
      <c r="B561" s="3" t="inlineStr">
        <is>
          <t>Pairing ID</t>
        </is>
      </c>
      <c r="C561" s="3" t="inlineStr">
        <is>
          <t>FECHA REAL</t>
        </is>
      </c>
      <c r="D561" s="3" t="inlineStr">
        <is>
          <t>Day of Week</t>
        </is>
      </c>
      <c r="E561" s="3" t="inlineStr">
        <is>
          <t>Flight No</t>
        </is>
      </c>
      <c r="F561" s="3" t="inlineStr">
        <is>
          <t>Dep Stn</t>
        </is>
      </c>
      <c r="G561" s="3" t="inlineStr">
        <is>
          <t>Arr Stn</t>
        </is>
      </c>
      <c r="H561" s="3" t="inlineStr">
        <is>
          <t>STD</t>
        </is>
      </c>
      <c r="I561" s="3" t="inlineStr">
        <is>
          <t>STA</t>
        </is>
      </c>
      <c r="J561" s="3" t="inlineStr">
        <is>
          <t>subflota</t>
        </is>
      </c>
      <c r="K561" s="3" t="inlineStr">
        <is>
          <t>Conexion</t>
        </is>
      </c>
      <c r="L561" s="3" t="inlineStr">
        <is>
          <t>HBT</t>
        </is>
      </c>
    </row>
    <row r="562">
      <c r="B562" s="4" t="n">
        <v>587</v>
      </c>
      <c r="C562" s="4" t="inlineStr">
        <is>
          <t>06/09/2026</t>
        </is>
      </c>
      <c r="D562" s="4" t="inlineStr">
        <is>
          <t>domingo</t>
        </is>
      </c>
      <c r="E562" s="4" t="n">
        <v>2091</v>
      </c>
      <c r="F562" s="4" t="inlineStr">
        <is>
          <t>LIM</t>
        </is>
      </c>
      <c r="G562" s="4" t="inlineStr">
        <is>
          <t>TPP</t>
        </is>
      </c>
      <c r="H562" s="4" t="inlineStr">
        <is>
          <t>18:35:00</t>
        </is>
      </c>
      <c r="I562" s="4" t="inlineStr">
        <is>
          <t>20:00:00</t>
        </is>
      </c>
      <c r="J562" s="4" t="n">
        <v>320</v>
      </c>
      <c r="L562" s="4" t="inlineStr">
        <is>
          <t>01:25:00</t>
        </is>
      </c>
      <c r="M562" s="5" t="n"/>
      <c r="N562" s="6" t="n"/>
      <c r="O562" s="5" t="n"/>
      <c r="Q562" s="4">
        <f>B562</f>
        <v/>
      </c>
      <c r="R562" s="4">
        <f>C562</f>
        <v/>
      </c>
      <c r="S562" s="4">
        <f>D562</f>
        <v/>
      </c>
      <c r="T562" s="4">
        <f>E562&amp;"/"&amp;E563</f>
        <v/>
      </c>
      <c r="U562" s="4">
        <f>F562&amp;"-"&amp;G562&amp;"-"&amp;F562</f>
        <v/>
      </c>
      <c r="V562" s="4">
        <f>IF($M$562="","",$M$562)</f>
        <v/>
      </c>
      <c r="W562" s="4">
        <f>IF($O$562="","",$O$562)</f>
        <v/>
      </c>
      <c r="X562" s="4">
        <f>J562</f>
        <v/>
      </c>
    </row>
    <row r="563">
      <c r="B563" s="4" t="n">
        <v>587</v>
      </c>
      <c r="C563" s="4" t="inlineStr">
        <is>
          <t>06/09/2026</t>
        </is>
      </c>
      <c r="D563" s="4" t="inlineStr">
        <is>
          <t>domingo</t>
        </is>
      </c>
      <c r="E563" s="4" t="n">
        <v>2092</v>
      </c>
      <c r="F563" s="4" t="inlineStr">
        <is>
          <t>TPP</t>
        </is>
      </c>
      <c r="G563" s="4" t="inlineStr">
        <is>
          <t>LIM</t>
        </is>
      </c>
      <c r="H563" s="4" t="inlineStr">
        <is>
          <t>20:40:00</t>
        </is>
      </c>
      <c r="I563" s="4" t="inlineStr">
        <is>
          <t>22:05:00</t>
        </is>
      </c>
      <c r="J563" s="4" t="n">
        <v>320</v>
      </c>
      <c r="K563">
        <f>TEXT(TIMEVALUE(H563)-TIMEVALUE(I562)+(TIMEVALUE(H563)&lt;TIMEVALUE(I562)),"[h]:mm")</f>
        <v/>
      </c>
      <c r="L563" s="4" t="inlineStr">
        <is>
          <t>01:25:00</t>
        </is>
      </c>
      <c r="O563">
        <f>"LIM-"&amp;G562&amp;"-LIM   LA "&amp;E562&amp;" ("&amp;LEFT(H562,5)&amp;"-"&amp;LEFT(I562,5)&amp;" hrs)  /  LA "&amp;E563&amp;" ("&amp;LEFT(H563,5)&amp;"-"&amp;LEFT(I563,5)&amp;" hrs)"</f>
        <v/>
      </c>
    </row>
    <row r="564">
      <c r="J564" s="8" t="inlineStr">
        <is>
          <t>PSV total:</t>
        </is>
      </c>
      <c r="K564" s="9">
        <f>TEXT(TIMEVALUE(I563)-TIMEVALUE(H562)+(I563&lt;H562),"[h]:mm")</f>
        <v/>
      </c>
    </row>
    <row r="566">
      <c r="B566" s="3" t="inlineStr">
        <is>
          <t>Pairing ID</t>
        </is>
      </c>
      <c r="C566" s="3" t="inlineStr">
        <is>
          <t>FECHA REAL</t>
        </is>
      </c>
      <c r="D566" s="3" t="inlineStr">
        <is>
          <t>Day of Week</t>
        </is>
      </c>
      <c r="E566" s="3" t="inlineStr">
        <is>
          <t>Flight No</t>
        </is>
      </c>
      <c r="F566" s="3" t="inlineStr">
        <is>
          <t>Dep Stn</t>
        </is>
      </c>
      <c r="G566" s="3" t="inlineStr">
        <is>
          <t>Arr Stn</t>
        </is>
      </c>
      <c r="H566" s="3" t="inlineStr">
        <is>
          <t>STD</t>
        </is>
      </c>
      <c r="I566" s="3" t="inlineStr">
        <is>
          <t>STA</t>
        </is>
      </c>
      <c r="J566" s="3" t="inlineStr">
        <is>
          <t>subflota</t>
        </is>
      </c>
      <c r="K566" s="3" t="inlineStr">
        <is>
          <t>Conexion</t>
        </is>
      </c>
      <c r="L566" s="3" t="inlineStr">
        <is>
          <t>HBT</t>
        </is>
      </c>
    </row>
    <row r="567">
      <c r="B567" s="4" t="n">
        <v>644</v>
      </c>
      <c r="C567" s="4" t="inlineStr">
        <is>
          <t>07/09/2026</t>
        </is>
      </c>
      <c r="D567" s="4" t="inlineStr">
        <is>
          <t>lunes</t>
        </is>
      </c>
      <c r="E567" s="4" t="n">
        <v>2299</v>
      </c>
      <c r="F567" s="4" t="inlineStr">
        <is>
          <t>LIM</t>
        </is>
      </c>
      <c r="G567" s="4" t="inlineStr">
        <is>
          <t>CJA</t>
        </is>
      </c>
      <c r="H567" s="4" t="inlineStr">
        <is>
          <t>11:35:00</t>
        </is>
      </c>
      <c r="I567" s="4" t="inlineStr">
        <is>
          <t>12:55:00</t>
        </is>
      </c>
      <c r="J567" s="4" t="n">
        <v>320</v>
      </c>
      <c r="L567" s="4" t="inlineStr">
        <is>
          <t>01:20:00</t>
        </is>
      </c>
      <c r="M567" s="5" t="n"/>
      <c r="N567" s="6" t="n"/>
      <c r="O567" s="5" t="n"/>
      <c r="Q567" s="4">
        <f>B567</f>
        <v/>
      </c>
      <c r="R567" s="4">
        <f>C567</f>
        <v/>
      </c>
      <c r="S567" s="4">
        <f>D567</f>
        <v/>
      </c>
      <c r="T567" s="4">
        <f>E567&amp;"/"&amp;E568</f>
        <v/>
      </c>
      <c r="U567" s="4">
        <f>F567&amp;"-"&amp;G567&amp;"-"&amp;F567</f>
        <v/>
      </c>
      <c r="V567" s="4">
        <f>IF($M$567="","",$M$567)</f>
        <v/>
      </c>
      <c r="W567" s="4">
        <f>IF($O$567="","",$O$567)</f>
        <v/>
      </c>
      <c r="X567" s="4">
        <f>J567</f>
        <v/>
      </c>
    </row>
    <row r="568">
      <c r="B568" s="4" t="n">
        <v>644</v>
      </c>
      <c r="C568" s="4" t="inlineStr">
        <is>
          <t>07/09/2026</t>
        </is>
      </c>
      <c r="D568" s="4" t="inlineStr">
        <is>
          <t>lunes</t>
        </is>
      </c>
      <c r="E568" s="4" t="n">
        <v>2298</v>
      </c>
      <c r="F568" s="4" t="inlineStr">
        <is>
          <t>CJA</t>
        </is>
      </c>
      <c r="G568" s="4" t="inlineStr">
        <is>
          <t>LIM</t>
        </is>
      </c>
      <c r="H568" s="4" t="inlineStr">
        <is>
          <t>13:45:00</t>
        </is>
      </c>
      <c r="I568" s="4" t="inlineStr">
        <is>
          <t>14:55:00</t>
        </is>
      </c>
      <c r="J568" s="4" t="n">
        <v>320</v>
      </c>
      <c r="K568">
        <f>TEXT(TIMEVALUE(H568)-TIMEVALUE(I567)+(TIMEVALUE(H568)&lt;TIMEVALUE(I567)),"[h]:mm")</f>
        <v/>
      </c>
      <c r="L568" s="4" t="inlineStr">
        <is>
          <t>01:10:00</t>
        </is>
      </c>
      <c r="O568">
        <f>"LIM-"&amp;G567&amp;"-LIM   LA "&amp;E567&amp;" ("&amp;LEFT(H567,5)&amp;"-"&amp;LEFT(I567,5)&amp;" hrs)  /  LA "&amp;E568&amp;" ("&amp;LEFT(H568,5)&amp;"-"&amp;LEFT(I568,5)&amp;" hrs)"</f>
        <v/>
      </c>
    </row>
    <row r="569">
      <c r="J569" s="8" t="inlineStr">
        <is>
          <t>PSV total:</t>
        </is>
      </c>
      <c r="K569" s="9">
        <f>TEXT(TIMEVALUE(I568)-TIMEVALUE(H567)+(I568&lt;H567),"[h]:mm")</f>
        <v/>
      </c>
    </row>
    <row r="571">
      <c r="B571" s="3" t="inlineStr">
        <is>
          <t>Pairing ID</t>
        </is>
      </c>
      <c r="C571" s="3" t="inlineStr">
        <is>
          <t>FECHA REAL</t>
        </is>
      </c>
      <c r="D571" s="3" t="inlineStr">
        <is>
          <t>Day of Week</t>
        </is>
      </c>
      <c r="E571" s="3" t="inlineStr">
        <is>
          <t>Flight No</t>
        </is>
      </c>
      <c r="F571" s="3" t="inlineStr">
        <is>
          <t>Dep Stn</t>
        </is>
      </c>
      <c r="G571" s="3" t="inlineStr">
        <is>
          <t>Arr Stn</t>
        </is>
      </c>
      <c r="H571" s="3" t="inlineStr">
        <is>
          <t>STD</t>
        </is>
      </c>
      <c r="I571" s="3" t="inlineStr">
        <is>
          <t>STA</t>
        </is>
      </c>
      <c r="J571" s="3" t="inlineStr">
        <is>
          <t>subflota</t>
        </is>
      </c>
      <c r="K571" s="3" t="inlineStr">
        <is>
          <t>Conexion</t>
        </is>
      </c>
      <c r="L571" s="3" t="inlineStr">
        <is>
          <t>HBT</t>
        </is>
      </c>
    </row>
    <row r="572">
      <c r="B572" s="4" t="n">
        <v>647</v>
      </c>
      <c r="C572" s="4" t="inlineStr">
        <is>
          <t>07/09/2026</t>
        </is>
      </c>
      <c r="D572" s="4" t="inlineStr">
        <is>
          <t>lunes</t>
        </is>
      </c>
      <c r="E572" s="4" t="n">
        <v>2316</v>
      </c>
      <c r="F572" s="4" t="inlineStr">
        <is>
          <t>LIM</t>
        </is>
      </c>
      <c r="G572" s="4" t="inlineStr">
        <is>
          <t>PIU</t>
        </is>
      </c>
      <c r="H572" s="4" t="inlineStr">
        <is>
          <t>11:40:00</t>
        </is>
      </c>
      <c r="I572" s="4" t="inlineStr">
        <is>
          <t>13:25:00</t>
        </is>
      </c>
      <c r="J572" s="4" t="n">
        <v>320</v>
      </c>
      <c r="L572" s="4" t="inlineStr">
        <is>
          <t>01:45:00</t>
        </is>
      </c>
      <c r="M572" s="5" t="n"/>
      <c r="N572" s="6" t="n"/>
      <c r="O572" s="5" t="n"/>
      <c r="Q572" s="4">
        <f>B572</f>
        <v/>
      </c>
      <c r="R572" s="4">
        <f>C572</f>
        <v/>
      </c>
      <c r="S572" s="4">
        <f>D572</f>
        <v/>
      </c>
      <c r="T572" s="4">
        <f>E572&amp;"/"&amp;E573</f>
        <v/>
      </c>
      <c r="U572" s="4">
        <f>F572&amp;"-"&amp;G572&amp;"-"&amp;F572</f>
        <v/>
      </c>
      <c r="V572" s="4">
        <f>IF($M$572="","",$M$572)</f>
        <v/>
      </c>
      <c r="W572" s="4">
        <f>IF($O$572="","",$O$572)</f>
        <v/>
      </c>
      <c r="X572" s="4">
        <f>J572</f>
        <v/>
      </c>
    </row>
    <row r="573">
      <c r="B573" s="4" t="n">
        <v>647</v>
      </c>
      <c r="C573" s="4" t="inlineStr">
        <is>
          <t>07/09/2026</t>
        </is>
      </c>
      <c r="D573" s="4" t="inlineStr">
        <is>
          <t>lunes</t>
        </is>
      </c>
      <c r="E573" s="4" t="n">
        <v>2317</v>
      </c>
      <c r="F573" s="4" t="inlineStr">
        <is>
          <t>PIU</t>
        </is>
      </c>
      <c r="G573" s="4" t="inlineStr">
        <is>
          <t>LIM</t>
        </is>
      </c>
      <c r="H573" s="4" t="inlineStr">
        <is>
          <t>14:05:00</t>
        </is>
      </c>
      <c r="I573" s="4" t="inlineStr">
        <is>
          <t>15:40:00</t>
        </is>
      </c>
      <c r="J573" s="4" t="n">
        <v>320</v>
      </c>
      <c r="K573">
        <f>TEXT(TIMEVALUE(H573)-TIMEVALUE(I572)+(TIMEVALUE(H573)&lt;TIMEVALUE(I572)),"[h]:mm")</f>
        <v/>
      </c>
      <c r="L573" s="4" t="inlineStr">
        <is>
          <t>01:35:00</t>
        </is>
      </c>
      <c r="O573">
        <f>"LIM-"&amp;G572&amp;"-LIM   LA "&amp;E572&amp;" ("&amp;LEFT(H572,5)&amp;"-"&amp;LEFT(I572,5)&amp;" hrs)  /  LA "&amp;E573&amp;" ("&amp;LEFT(H573,5)&amp;"-"&amp;LEFT(I573,5)&amp;" hrs)"</f>
        <v/>
      </c>
    </row>
    <row r="574">
      <c r="B574" s="4" t="n">
        <v>675</v>
      </c>
      <c r="C574" s="4" t="inlineStr">
        <is>
          <t>07/09/2026</t>
        </is>
      </c>
      <c r="D574" s="4" t="inlineStr">
        <is>
          <t>lunes</t>
        </is>
      </c>
      <c r="E574" s="4" t="n">
        <v>2276</v>
      </c>
      <c r="F574" s="4" t="inlineStr">
        <is>
          <t>LIM</t>
        </is>
      </c>
      <c r="G574" s="4" t="inlineStr">
        <is>
          <t>CUZ</t>
        </is>
      </c>
      <c r="H574" s="4" t="inlineStr">
        <is>
          <t>16:35:00</t>
        </is>
      </c>
      <c r="I574" s="4" t="inlineStr">
        <is>
          <t>17:55:00</t>
        </is>
      </c>
      <c r="J574" s="4" t="n">
        <v>320</v>
      </c>
      <c r="K574" s="7">
        <f>TEXT(TIMEVALUE(H574)-TIMEVALUE(I573)+(TIMEVALUE(H574)&lt;TIMEVALUE(I573)),"[h]:mm")</f>
        <v/>
      </c>
      <c r="L574" s="4" t="inlineStr">
        <is>
          <t>01:20:00</t>
        </is>
      </c>
      <c r="M574">
        <f>IF($M$572="","",$M$572)</f>
        <v/>
      </c>
      <c r="O574">
        <f>IF($O$572="","",$O$572)</f>
        <v/>
      </c>
      <c r="Q574" s="4">
        <f>B574</f>
        <v/>
      </c>
      <c r="R574" s="4">
        <f>C574</f>
        <v/>
      </c>
      <c r="S574" s="4">
        <f>D574</f>
        <v/>
      </c>
      <c r="T574" s="4">
        <f>E574&amp;"/"&amp;E575</f>
        <v/>
      </c>
      <c r="U574" s="4">
        <f>F574&amp;"-"&amp;G574&amp;"-"&amp;F574</f>
        <v/>
      </c>
      <c r="V574" s="4">
        <f>IF($M$572="","",$M$572)</f>
        <v/>
      </c>
      <c r="W574" s="4">
        <f>IF($O$572="","",$O$572)</f>
        <v/>
      </c>
      <c r="X574" s="4">
        <f>J574</f>
        <v/>
      </c>
    </row>
    <row r="575">
      <c r="B575" s="4" t="n">
        <v>675</v>
      </c>
      <c r="C575" s="4" t="inlineStr">
        <is>
          <t>07/09/2026</t>
        </is>
      </c>
      <c r="D575" s="4" t="inlineStr">
        <is>
          <t>lunes</t>
        </is>
      </c>
      <c r="E575" s="4" t="n">
        <v>2277</v>
      </c>
      <c r="F575" s="4" t="inlineStr">
        <is>
          <t>CUZ</t>
        </is>
      </c>
      <c r="G575" s="4" t="inlineStr">
        <is>
          <t>LIM</t>
        </is>
      </c>
      <c r="H575" s="4" t="inlineStr">
        <is>
          <t>18:50:00</t>
        </is>
      </c>
      <c r="I575" s="4" t="inlineStr">
        <is>
          <t>20:25:00</t>
        </is>
      </c>
      <c r="J575" s="4" t="n">
        <v>320</v>
      </c>
      <c r="K575">
        <f>TEXT(TIMEVALUE(H575)-TIMEVALUE(I574)+(TIMEVALUE(H575)&lt;TIMEVALUE(I574)),"[h]:mm")</f>
        <v/>
      </c>
      <c r="L575" s="4" t="inlineStr">
        <is>
          <t>01:35:00</t>
        </is>
      </c>
      <c r="O575">
        <f>"LIM-"&amp;G574&amp;"-LIM   LA "&amp;E574&amp;" ("&amp;LEFT(H574,5)&amp;"-"&amp;LEFT(I574,5)&amp;" hrs)  /  LA "&amp;E575&amp;" ("&amp;LEFT(H575,5)&amp;"-"&amp;LEFT(I575,5)&amp;" hrs)"</f>
        <v/>
      </c>
    </row>
    <row r="576">
      <c r="J576" s="8" t="inlineStr">
        <is>
          <t>PSV total:</t>
        </is>
      </c>
      <c r="K576" s="9">
        <f>TEXT(TIMEVALUE(I575)-TIMEVALUE(H572)+(I575&lt;H572),"[h]:mm")</f>
        <v/>
      </c>
    </row>
    <row r="578">
      <c r="B578" s="3" t="inlineStr">
        <is>
          <t>Pairing ID</t>
        </is>
      </c>
      <c r="C578" s="3" t="inlineStr">
        <is>
          <t>FECHA REAL</t>
        </is>
      </c>
      <c r="D578" s="3" t="inlineStr">
        <is>
          <t>Day of Week</t>
        </is>
      </c>
      <c r="E578" s="3" t="inlineStr">
        <is>
          <t>Flight No</t>
        </is>
      </c>
      <c r="F578" s="3" t="inlineStr">
        <is>
          <t>Dep Stn</t>
        </is>
      </c>
      <c r="G578" s="3" t="inlineStr">
        <is>
          <t>Arr Stn</t>
        </is>
      </c>
      <c r="H578" s="3" t="inlineStr">
        <is>
          <t>STD</t>
        </is>
      </c>
      <c r="I578" s="3" t="inlineStr">
        <is>
          <t>STA</t>
        </is>
      </c>
      <c r="J578" s="3" t="inlineStr">
        <is>
          <t>subflota</t>
        </is>
      </c>
      <c r="K578" s="3" t="inlineStr">
        <is>
          <t>Conexion</t>
        </is>
      </c>
      <c r="L578" s="3" t="inlineStr">
        <is>
          <t>HBT</t>
        </is>
      </c>
    </row>
    <row r="579">
      <c r="B579" s="4" t="n">
        <v>648</v>
      </c>
      <c r="C579" s="4" t="inlineStr">
        <is>
          <t>07/09/2026</t>
        </is>
      </c>
      <c r="D579" s="4" t="inlineStr">
        <is>
          <t>lunes</t>
        </is>
      </c>
      <c r="E579" s="4" t="n">
        <v>2061</v>
      </c>
      <c r="F579" s="4" t="inlineStr">
        <is>
          <t>LIM</t>
        </is>
      </c>
      <c r="G579" s="4" t="inlineStr">
        <is>
          <t>CUZ</t>
        </is>
      </c>
      <c r="H579" s="4" t="inlineStr">
        <is>
          <t>11:40:00</t>
        </is>
      </c>
      <c r="I579" s="4" t="inlineStr">
        <is>
          <t>13:00:00</t>
        </is>
      </c>
      <c r="J579" s="4" t="n">
        <v>320</v>
      </c>
      <c r="L579" s="4" t="inlineStr">
        <is>
          <t>01:20:00</t>
        </is>
      </c>
      <c r="M579" s="5" t="n"/>
      <c r="N579" s="6" t="n"/>
      <c r="O579" s="5" t="n"/>
      <c r="Q579" s="4">
        <f>B579</f>
        <v/>
      </c>
      <c r="R579" s="4">
        <f>C579</f>
        <v/>
      </c>
      <c r="S579" s="4">
        <f>D579</f>
        <v/>
      </c>
      <c r="T579" s="4">
        <f>E579&amp;"/"&amp;E580</f>
        <v/>
      </c>
      <c r="U579" s="4">
        <f>F579&amp;"-"&amp;G579&amp;"-"&amp;F579</f>
        <v/>
      </c>
      <c r="V579" s="4">
        <f>IF($M$579="","",$M$579)</f>
        <v/>
      </c>
      <c r="W579" s="4">
        <f>IF($O$579="","",$O$579)</f>
        <v/>
      </c>
      <c r="X579" s="4">
        <f>J579</f>
        <v/>
      </c>
    </row>
    <row r="580">
      <c r="B580" s="4" t="n">
        <v>648</v>
      </c>
      <c r="C580" s="4" t="inlineStr">
        <is>
          <t>07/09/2026</t>
        </is>
      </c>
      <c r="D580" s="4" t="inlineStr">
        <is>
          <t>lunes</t>
        </is>
      </c>
      <c r="E580" s="4" t="n">
        <v>2062</v>
      </c>
      <c r="F580" s="4" t="inlineStr">
        <is>
          <t>CUZ</t>
        </is>
      </c>
      <c r="G580" s="4" t="inlineStr">
        <is>
          <t>LIM</t>
        </is>
      </c>
      <c r="H580" s="4" t="inlineStr">
        <is>
          <t>13:40:00</t>
        </is>
      </c>
      <c r="I580" s="4" t="inlineStr">
        <is>
          <t>15:15:00</t>
        </is>
      </c>
      <c r="J580" s="4" t="n">
        <v>320</v>
      </c>
      <c r="K580">
        <f>TEXT(TIMEVALUE(H580)-TIMEVALUE(I579)+(TIMEVALUE(H580)&lt;TIMEVALUE(I579)),"[h]:mm")</f>
        <v/>
      </c>
      <c r="L580" s="4" t="inlineStr">
        <is>
          <t>01:35:00</t>
        </is>
      </c>
      <c r="O580">
        <f>"LIM-"&amp;G579&amp;"-LIM   LA "&amp;E579&amp;" ("&amp;LEFT(H579,5)&amp;"-"&amp;LEFT(I579,5)&amp;" hrs)  /  LA "&amp;E580&amp;" ("&amp;LEFT(H580,5)&amp;"-"&amp;LEFT(I580,5)&amp;" hrs)"</f>
        <v/>
      </c>
    </row>
    <row r="581">
      <c r="J581" s="8" t="inlineStr">
        <is>
          <t>PSV total:</t>
        </is>
      </c>
      <c r="K581" s="9">
        <f>TEXT(TIMEVALUE(I580)-TIMEVALUE(H579)+(I580&lt;H579),"[h]:mm")</f>
        <v/>
      </c>
    </row>
    <row r="583">
      <c r="B583" s="3" t="inlineStr">
        <is>
          <t>Pairing ID</t>
        </is>
      </c>
      <c r="C583" s="3" t="inlineStr">
        <is>
          <t>FECHA REAL</t>
        </is>
      </c>
      <c r="D583" s="3" t="inlineStr">
        <is>
          <t>Day of Week</t>
        </is>
      </c>
      <c r="E583" s="3" t="inlineStr">
        <is>
          <t>Flight No</t>
        </is>
      </c>
      <c r="F583" s="3" t="inlineStr">
        <is>
          <t>Dep Stn</t>
        </is>
      </c>
      <c r="G583" s="3" t="inlineStr">
        <is>
          <t>Arr Stn</t>
        </is>
      </c>
      <c r="H583" s="3" t="inlineStr">
        <is>
          <t>STD</t>
        </is>
      </c>
      <c r="I583" s="3" t="inlineStr">
        <is>
          <t>STA</t>
        </is>
      </c>
      <c r="J583" s="3" t="inlineStr">
        <is>
          <t>subflota</t>
        </is>
      </c>
      <c r="K583" s="3" t="inlineStr">
        <is>
          <t>Conexion</t>
        </is>
      </c>
      <c r="L583" s="3" t="inlineStr">
        <is>
          <t>HBT</t>
        </is>
      </c>
    </row>
    <row r="584">
      <c r="B584" s="4" t="n">
        <v>646</v>
      </c>
      <c r="C584" s="4" t="inlineStr">
        <is>
          <t>07/09/2026</t>
        </is>
      </c>
      <c r="D584" s="4" t="inlineStr">
        <is>
          <t>lunes</t>
        </is>
      </c>
      <c r="E584" s="4" t="n">
        <v>2111</v>
      </c>
      <c r="F584" s="4" t="inlineStr">
        <is>
          <t>LIM</t>
        </is>
      </c>
      <c r="G584" s="4" t="inlineStr">
        <is>
          <t>AQP</t>
        </is>
      </c>
      <c r="H584" s="4" t="inlineStr">
        <is>
          <t>11:40:00</t>
        </is>
      </c>
      <c r="I584" s="4" t="inlineStr">
        <is>
          <t>13:10:00</t>
        </is>
      </c>
      <c r="J584" s="4" t="n">
        <v>320</v>
      </c>
      <c r="L584" s="4" t="inlineStr">
        <is>
          <t>01:30:00</t>
        </is>
      </c>
      <c r="M584" s="5" t="n"/>
      <c r="N584" s="6" t="n"/>
      <c r="O584" s="5" t="n"/>
      <c r="Q584" s="4">
        <f>B584</f>
        <v/>
      </c>
      <c r="R584" s="4">
        <f>C584</f>
        <v/>
      </c>
      <c r="S584" s="4">
        <f>D584</f>
        <v/>
      </c>
      <c r="T584" s="4">
        <f>E584&amp;"/"&amp;E585</f>
        <v/>
      </c>
      <c r="U584" s="4">
        <f>F584&amp;"-"&amp;G584&amp;"-"&amp;F584</f>
        <v/>
      </c>
      <c r="V584" s="4">
        <f>IF($M$584="","",$M$584)</f>
        <v/>
      </c>
      <c r="W584" s="4">
        <f>IF($O$584="","",$O$584)</f>
        <v/>
      </c>
      <c r="X584" s="4">
        <f>J584</f>
        <v/>
      </c>
    </row>
    <row r="585">
      <c r="B585" s="4" t="n">
        <v>646</v>
      </c>
      <c r="C585" s="4" t="inlineStr">
        <is>
          <t>07/09/2026</t>
        </is>
      </c>
      <c r="D585" s="4" t="inlineStr">
        <is>
          <t>lunes</t>
        </is>
      </c>
      <c r="E585" s="4" t="n">
        <v>2110</v>
      </c>
      <c r="F585" s="4" t="inlineStr">
        <is>
          <t>AQP</t>
        </is>
      </c>
      <c r="G585" s="4" t="inlineStr">
        <is>
          <t>LIM</t>
        </is>
      </c>
      <c r="H585" s="4" t="inlineStr">
        <is>
          <t>17:50:00</t>
        </is>
      </c>
      <c r="I585" s="4" t="inlineStr">
        <is>
          <t>19:30:00</t>
        </is>
      </c>
      <c r="J585" s="4" t="n">
        <v>320</v>
      </c>
      <c r="K585">
        <f>TEXT(TIMEVALUE(H585)-TIMEVALUE(I584)+(TIMEVALUE(H585)&lt;TIMEVALUE(I584)),"[h]:mm")</f>
        <v/>
      </c>
      <c r="L585" s="4" t="inlineStr">
        <is>
          <t>01:40:00</t>
        </is>
      </c>
      <c r="O585">
        <f>"LIM-"&amp;G584&amp;"-LIM   LA "&amp;E584&amp;" ("&amp;LEFT(H584,5)&amp;"-"&amp;LEFT(I584,5)&amp;" hrs)  /  LA "&amp;E585&amp;" ("&amp;LEFT(H585,5)&amp;"-"&amp;LEFT(I585,5)&amp;" hrs)"</f>
        <v/>
      </c>
    </row>
    <row r="586">
      <c r="J586" s="8" t="inlineStr">
        <is>
          <t>PSV total:</t>
        </is>
      </c>
      <c r="K586" s="9">
        <f>TEXT(TIMEVALUE(I585)-TIMEVALUE(H584)+(I585&lt;H584),"[h]:mm")</f>
        <v/>
      </c>
    </row>
    <row r="588">
      <c r="B588" s="3" t="inlineStr">
        <is>
          <t>Pairing ID</t>
        </is>
      </c>
      <c r="C588" s="3" t="inlineStr">
        <is>
          <t>FECHA REAL</t>
        </is>
      </c>
      <c r="D588" s="3" t="inlineStr">
        <is>
          <t>Day of Week</t>
        </is>
      </c>
      <c r="E588" s="3" t="inlineStr">
        <is>
          <t>Flight No</t>
        </is>
      </c>
      <c r="F588" s="3" t="inlineStr">
        <is>
          <t>Dep Stn</t>
        </is>
      </c>
      <c r="G588" s="3" t="inlineStr">
        <is>
          <t>Arr Stn</t>
        </is>
      </c>
      <c r="H588" s="3" t="inlineStr">
        <is>
          <t>STD</t>
        </is>
      </c>
      <c r="I588" s="3" t="inlineStr">
        <is>
          <t>STA</t>
        </is>
      </c>
      <c r="J588" s="3" t="inlineStr">
        <is>
          <t>subflota</t>
        </is>
      </c>
      <c r="K588" s="3" t="inlineStr">
        <is>
          <t>Conexion</t>
        </is>
      </c>
      <c r="L588" s="3" t="inlineStr">
        <is>
          <t>HBT</t>
        </is>
      </c>
    </row>
    <row r="589">
      <c r="B589" s="4" t="n">
        <v>654</v>
      </c>
      <c r="C589" s="4" t="inlineStr">
        <is>
          <t>07/09/2026</t>
        </is>
      </c>
      <c r="D589" s="4" t="inlineStr">
        <is>
          <t>lunes</t>
        </is>
      </c>
      <c r="E589" s="4" t="n">
        <v>2270</v>
      </c>
      <c r="F589" s="4" t="inlineStr">
        <is>
          <t>LIM</t>
        </is>
      </c>
      <c r="G589" s="4" t="inlineStr">
        <is>
          <t>CIX</t>
        </is>
      </c>
      <c r="H589" s="4" t="inlineStr">
        <is>
          <t>13:00:00</t>
        </is>
      </c>
      <c r="I589" s="4" t="inlineStr">
        <is>
          <t>14:30:00</t>
        </is>
      </c>
      <c r="J589" s="4" t="n">
        <v>320</v>
      </c>
      <c r="L589" s="4" t="inlineStr">
        <is>
          <t>01:30:00</t>
        </is>
      </c>
      <c r="M589" s="5" t="n"/>
      <c r="N589" s="6" t="n"/>
      <c r="O589" s="5" t="n"/>
      <c r="Q589" s="4">
        <f>B589</f>
        <v/>
      </c>
      <c r="R589" s="4">
        <f>C589</f>
        <v/>
      </c>
      <c r="S589" s="4">
        <f>D589</f>
        <v/>
      </c>
      <c r="T589" s="4">
        <f>E589&amp;"/"&amp;E590</f>
        <v/>
      </c>
      <c r="U589" s="4">
        <f>F589&amp;"-"&amp;G589&amp;"-"&amp;F589</f>
        <v/>
      </c>
      <c r="V589" s="4">
        <f>IF($M$589="","",$M$589)</f>
        <v/>
      </c>
      <c r="W589" s="4">
        <f>IF($O$589="","",$O$589)</f>
        <v/>
      </c>
      <c r="X589" s="4">
        <f>J589</f>
        <v/>
      </c>
    </row>
    <row r="590">
      <c r="B590" s="4" t="n">
        <v>654</v>
      </c>
      <c r="C590" s="4" t="inlineStr">
        <is>
          <t>07/09/2026</t>
        </is>
      </c>
      <c r="D590" s="4" t="inlineStr">
        <is>
          <t>lunes</t>
        </is>
      </c>
      <c r="E590" s="4" t="n">
        <v>2271</v>
      </c>
      <c r="F590" s="4" t="inlineStr">
        <is>
          <t>CIX</t>
        </is>
      </c>
      <c r="G590" s="4" t="inlineStr">
        <is>
          <t>LIM</t>
        </is>
      </c>
      <c r="H590" s="4" t="inlineStr">
        <is>
          <t>15:05:00</t>
        </is>
      </c>
      <c r="I590" s="4" t="inlineStr">
        <is>
          <t>16:20:00</t>
        </is>
      </c>
      <c r="J590" s="4" t="n">
        <v>320</v>
      </c>
      <c r="K590">
        <f>TEXT(TIMEVALUE(H590)-TIMEVALUE(I589)+(TIMEVALUE(H590)&lt;TIMEVALUE(I589)),"[h]:mm")</f>
        <v/>
      </c>
      <c r="L590" s="4" t="inlineStr">
        <is>
          <t>01:15:00</t>
        </is>
      </c>
      <c r="O590">
        <f>"LIM-"&amp;G589&amp;"-LIM   LA "&amp;E589&amp;" ("&amp;LEFT(H589,5)&amp;"-"&amp;LEFT(I589,5)&amp;" hrs)  /  LA "&amp;E590&amp;" ("&amp;LEFT(H590,5)&amp;"-"&amp;LEFT(I590,5)&amp;" hrs)"</f>
        <v/>
      </c>
    </row>
    <row r="591">
      <c r="J591" s="8" t="inlineStr">
        <is>
          <t>PSV total:</t>
        </is>
      </c>
      <c r="K591" s="9">
        <f>TEXT(TIMEVALUE(I590)-TIMEVALUE(H589)+(I590&lt;H589),"[h]:mm")</f>
        <v/>
      </c>
    </row>
    <row r="593">
      <c r="B593" s="3" t="inlineStr">
        <is>
          <t>Pairing ID</t>
        </is>
      </c>
      <c r="C593" s="3" t="inlineStr">
        <is>
          <t>FECHA REAL</t>
        </is>
      </c>
      <c r="D593" s="3" t="inlineStr">
        <is>
          <t>Day of Week</t>
        </is>
      </c>
      <c r="E593" s="3" t="inlineStr">
        <is>
          <t>Flight No</t>
        </is>
      </c>
      <c r="F593" s="3" t="inlineStr">
        <is>
          <t>Dep Stn</t>
        </is>
      </c>
      <c r="G593" s="3" t="inlineStr">
        <is>
          <t>Arr Stn</t>
        </is>
      </c>
      <c r="H593" s="3" t="inlineStr">
        <is>
          <t>STD</t>
        </is>
      </c>
      <c r="I593" s="3" t="inlineStr">
        <is>
          <t>STA</t>
        </is>
      </c>
      <c r="J593" s="3" t="inlineStr">
        <is>
          <t>subflota</t>
        </is>
      </c>
      <c r="K593" s="3" t="inlineStr">
        <is>
          <t>Conexion</t>
        </is>
      </c>
      <c r="L593" s="3" t="inlineStr">
        <is>
          <t>HBT</t>
        </is>
      </c>
    </row>
    <row r="594">
      <c r="B594" s="4" t="n">
        <v>660</v>
      </c>
      <c r="C594" s="4" t="inlineStr">
        <is>
          <t>07/09/2026</t>
        </is>
      </c>
      <c r="D594" s="4" t="inlineStr">
        <is>
          <t>lunes</t>
        </is>
      </c>
      <c r="E594" s="4" t="n">
        <v>2087</v>
      </c>
      <c r="F594" s="4" t="inlineStr">
        <is>
          <t>LIM</t>
        </is>
      </c>
      <c r="G594" s="4" t="inlineStr">
        <is>
          <t>TPP</t>
        </is>
      </c>
      <c r="H594" s="4" t="inlineStr">
        <is>
          <t>14:05:00</t>
        </is>
      </c>
      <c r="I594" s="4" t="inlineStr">
        <is>
          <t>15:30:00</t>
        </is>
      </c>
      <c r="J594" s="4" t="n">
        <v>320</v>
      </c>
      <c r="L594" s="4" t="inlineStr">
        <is>
          <t>01:25:00</t>
        </is>
      </c>
      <c r="M594" s="5" t="n"/>
      <c r="N594" s="6" t="n"/>
      <c r="O594" s="5" t="n"/>
      <c r="Q594" s="4">
        <f>B594</f>
        <v/>
      </c>
      <c r="R594" s="4">
        <f>C594</f>
        <v/>
      </c>
      <c r="S594" s="4">
        <f>D594</f>
        <v/>
      </c>
      <c r="T594" s="4">
        <f>E594&amp;"/"&amp;E595</f>
        <v/>
      </c>
      <c r="U594" s="4">
        <f>F594&amp;"-"&amp;G594&amp;"-"&amp;F594</f>
        <v/>
      </c>
      <c r="V594" s="4">
        <f>IF($M$594="","",$M$594)</f>
        <v/>
      </c>
      <c r="W594" s="4">
        <f>IF($O$594="","",$O$594)</f>
        <v/>
      </c>
      <c r="X594" s="4">
        <f>J594</f>
        <v/>
      </c>
    </row>
    <row r="595">
      <c r="B595" s="4" t="n">
        <v>660</v>
      </c>
      <c r="C595" s="4" t="inlineStr">
        <is>
          <t>07/09/2026</t>
        </is>
      </c>
      <c r="D595" s="4" t="inlineStr">
        <is>
          <t>lunes</t>
        </is>
      </c>
      <c r="E595" s="4" t="n">
        <v>2088</v>
      </c>
      <c r="F595" s="4" t="inlineStr">
        <is>
          <t>TPP</t>
        </is>
      </c>
      <c r="G595" s="4" t="inlineStr">
        <is>
          <t>LIM</t>
        </is>
      </c>
      <c r="H595" s="4" t="inlineStr">
        <is>
          <t>16:05:00</t>
        </is>
      </c>
      <c r="I595" s="4" t="inlineStr">
        <is>
          <t>17:30:00</t>
        </is>
      </c>
      <c r="J595" s="4" t="n">
        <v>320</v>
      </c>
      <c r="K595">
        <f>TEXT(TIMEVALUE(H595)-TIMEVALUE(I594)+(TIMEVALUE(H595)&lt;TIMEVALUE(I594)),"[h]:mm")</f>
        <v/>
      </c>
      <c r="L595" s="4" t="inlineStr">
        <is>
          <t>01:25:00</t>
        </is>
      </c>
      <c r="O595">
        <f>"LIM-"&amp;G594&amp;"-LIM   LA "&amp;E594&amp;" ("&amp;LEFT(H594,5)&amp;"-"&amp;LEFT(I594,5)&amp;" hrs)  /  LA "&amp;E595&amp;" ("&amp;LEFT(H595,5)&amp;"-"&amp;LEFT(I595,5)&amp;" hrs)"</f>
        <v/>
      </c>
    </row>
    <row r="596">
      <c r="J596" s="8" t="inlineStr">
        <is>
          <t>PSV total:</t>
        </is>
      </c>
      <c r="K596" s="9">
        <f>TEXT(TIMEVALUE(I595)-TIMEVALUE(H594)+(I595&lt;H594),"[h]:mm")</f>
        <v/>
      </c>
    </row>
    <row r="598">
      <c r="B598" s="3" t="inlineStr">
        <is>
          <t>Pairing ID</t>
        </is>
      </c>
      <c r="C598" s="3" t="inlineStr">
        <is>
          <t>FECHA REAL</t>
        </is>
      </c>
      <c r="D598" s="3" t="inlineStr">
        <is>
          <t>Day of Week</t>
        </is>
      </c>
      <c r="E598" s="3" t="inlineStr">
        <is>
          <t>Flight No</t>
        </is>
      </c>
      <c r="F598" s="3" t="inlineStr">
        <is>
          <t>Dep Stn</t>
        </is>
      </c>
      <c r="G598" s="3" t="inlineStr">
        <is>
          <t>Arr Stn</t>
        </is>
      </c>
      <c r="H598" s="3" t="inlineStr">
        <is>
          <t>STD</t>
        </is>
      </c>
      <c r="I598" s="3" t="inlineStr">
        <is>
          <t>STA</t>
        </is>
      </c>
      <c r="J598" s="3" t="inlineStr">
        <is>
          <t>subflota</t>
        </is>
      </c>
      <c r="K598" s="3" t="inlineStr">
        <is>
          <t>Conexion</t>
        </is>
      </c>
      <c r="L598" s="3" t="inlineStr">
        <is>
          <t>HBT</t>
        </is>
      </c>
    </row>
    <row r="599">
      <c r="B599" s="4" t="n">
        <v>661</v>
      </c>
      <c r="C599" s="4" t="inlineStr">
        <is>
          <t>07/09/2026</t>
        </is>
      </c>
      <c r="D599" s="4" t="inlineStr">
        <is>
          <t>lunes</t>
        </is>
      </c>
      <c r="E599" s="4" t="n">
        <v>2295</v>
      </c>
      <c r="F599" s="4" t="inlineStr">
        <is>
          <t>LIM</t>
        </is>
      </c>
      <c r="G599" s="4" t="inlineStr">
        <is>
          <t>CJA</t>
        </is>
      </c>
      <c r="H599" s="4" t="inlineStr">
        <is>
          <t>14:10:00</t>
        </is>
      </c>
      <c r="I599" s="4" t="inlineStr">
        <is>
          <t>15:30:00</t>
        </is>
      </c>
      <c r="J599" s="4" t="n">
        <v>320</v>
      </c>
      <c r="L599" s="4" t="inlineStr">
        <is>
          <t>01:20:00</t>
        </is>
      </c>
      <c r="M599" s="5" t="n"/>
      <c r="N599" s="6" t="n"/>
      <c r="O599" s="5" t="n"/>
      <c r="Q599" s="4">
        <f>B599</f>
        <v/>
      </c>
      <c r="R599" s="4">
        <f>C599</f>
        <v/>
      </c>
      <c r="S599" s="4">
        <f>D599</f>
        <v/>
      </c>
      <c r="T599" s="4">
        <f>E599&amp;"/"&amp;E600</f>
        <v/>
      </c>
      <c r="U599" s="4">
        <f>F599&amp;"-"&amp;G599&amp;"-"&amp;F599</f>
        <v/>
      </c>
      <c r="V599" s="4">
        <f>IF($M$599="","",$M$599)</f>
        <v/>
      </c>
      <c r="W599" s="4">
        <f>IF($O$599="","",$O$599)</f>
        <v/>
      </c>
      <c r="X599" s="4">
        <f>J599</f>
        <v/>
      </c>
    </row>
    <row r="600">
      <c r="B600" s="4" t="n">
        <v>661</v>
      </c>
      <c r="C600" s="4" t="inlineStr">
        <is>
          <t>07/09/2026</t>
        </is>
      </c>
      <c r="D600" s="4" t="inlineStr">
        <is>
          <t>lunes</t>
        </is>
      </c>
      <c r="E600" s="4" t="n">
        <v>2294</v>
      </c>
      <c r="F600" s="4" t="inlineStr">
        <is>
          <t>CJA</t>
        </is>
      </c>
      <c r="G600" s="4" t="inlineStr">
        <is>
          <t>LIM</t>
        </is>
      </c>
      <c r="H600" s="4" t="inlineStr">
        <is>
          <t>16:10:00</t>
        </is>
      </c>
      <c r="I600" s="4" t="inlineStr">
        <is>
          <t>17:15:00</t>
        </is>
      </c>
      <c r="J600" s="4" t="n">
        <v>320</v>
      </c>
      <c r="K600">
        <f>TEXT(TIMEVALUE(H600)-TIMEVALUE(I599)+(TIMEVALUE(H600)&lt;TIMEVALUE(I599)),"[h]:mm")</f>
        <v/>
      </c>
      <c r="L600" s="4" t="inlineStr">
        <is>
          <t>01:05:00</t>
        </is>
      </c>
      <c r="O600">
        <f>"LIM-"&amp;G599&amp;"-LIM   LA "&amp;E599&amp;" ("&amp;LEFT(H599,5)&amp;"-"&amp;LEFT(I599,5)&amp;" hrs)  /  LA "&amp;E600&amp;" ("&amp;LEFT(H600,5)&amp;"-"&amp;LEFT(I600,5)&amp;" hrs)"</f>
        <v/>
      </c>
    </row>
    <row r="601">
      <c r="B601" s="4" t="n">
        <v>677</v>
      </c>
      <c r="C601" s="4" t="inlineStr">
        <is>
          <t>07/09/2026</t>
        </is>
      </c>
      <c r="D601" s="4" t="inlineStr">
        <is>
          <t>lunes</t>
        </is>
      </c>
      <c r="E601" s="4" t="n">
        <v>2223</v>
      </c>
      <c r="F601" s="4" t="inlineStr">
        <is>
          <t>LIM</t>
        </is>
      </c>
      <c r="G601" s="4" t="inlineStr">
        <is>
          <t>CUZ</t>
        </is>
      </c>
      <c r="H601" s="4" t="inlineStr">
        <is>
          <t>18:15:00</t>
        </is>
      </c>
      <c r="I601" s="4" t="inlineStr">
        <is>
          <t>19:40:00</t>
        </is>
      </c>
      <c r="J601" s="4" t="n">
        <v>320</v>
      </c>
      <c r="K601" s="7">
        <f>TEXT(TIMEVALUE(H601)-TIMEVALUE(I600)+(TIMEVALUE(H601)&lt;TIMEVALUE(I600)),"[h]:mm")</f>
        <v/>
      </c>
      <c r="L601" s="4" t="inlineStr">
        <is>
          <t>01:25:00</t>
        </is>
      </c>
      <c r="M601">
        <f>IF($M$599="","",$M$599)</f>
        <v/>
      </c>
      <c r="O601">
        <f>IF($O$599="","",$O$599)</f>
        <v/>
      </c>
      <c r="Q601" s="4">
        <f>B601</f>
        <v/>
      </c>
      <c r="R601" s="4">
        <f>C601</f>
        <v/>
      </c>
      <c r="S601" s="4">
        <f>D601</f>
        <v/>
      </c>
      <c r="T601" s="4">
        <f>E601&amp;"/"&amp;E602</f>
        <v/>
      </c>
      <c r="U601" s="4">
        <f>F601&amp;"-"&amp;G601&amp;"-"&amp;F601</f>
        <v/>
      </c>
      <c r="V601" s="4">
        <f>IF($M$599="","",$M$599)</f>
        <v/>
      </c>
      <c r="W601" s="4">
        <f>IF($O$599="","",$O$599)</f>
        <v/>
      </c>
      <c r="X601" s="4">
        <f>J601</f>
        <v/>
      </c>
    </row>
    <row r="602">
      <c r="B602" s="4" t="n">
        <v>677</v>
      </c>
      <c r="C602" s="4" t="inlineStr">
        <is>
          <t>07/09/2026</t>
        </is>
      </c>
      <c r="D602" s="4" t="inlineStr">
        <is>
          <t>lunes</t>
        </is>
      </c>
      <c r="E602" s="4" t="n">
        <v>2224</v>
      </c>
      <c r="F602" s="4" t="inlineStr">
        <is>
          <t>CUZ</t>
        </is>
      </c>
      <c r="G602" s="4" t="inlineStr">
        <is>
          <t>LIM</t>
        </is>
      </c>
      <c r="H602" s="4" t="inlineStr">
        <is>
          <t>21:20:00</t>
        </is>
      </c>
      <c r="I602" s="4" t="inlineStr">
        <is>
          <t>22:55:00</t>
        </is>
      </c>
      <c r="J602" s="4" t="n">
        <v>320</v>
      </c>
      <c r="K602">
        <f>TEXT(TIMEVALUE(H602)-TIMEVALUE(I601)+(TIMEVALUE(H602)&lt;TIMEVALUE(I601)),"[h]:mm")</f>
        <v/>
      </c>
      <c r="L602" s="4" t="inlineStr">
        <is>
          <t>01:35:00</t>
        </is>
      </c>
      <c r="O602">
        <f>"LIM-"&amp;G601&amp;"-LIM   LA "&amp;E601&amp;" ("&amp;LEFT(H601,5)&amp;"-"&amp;LEFT(I601,5)&amp;" hrs)  /  LA "&amp;E602&amp;" ("&amp;LEFT(H602,5)&amp;"-"&amp;LEFT(I602,5)&amp;" hrs)"</f>
        <v/>
      </c>
    </row>
    <row r="603">
      <c r="J603" s="8" t="inlineStr">
        <is>
          <t>PSV total:</t>
        </is>
      </c>
      <c r="K603" s="9">
        <f>TEXT(TIMEVALUE(I602)-TIMEVALUE(H599)+(I602&lt;H599),"[h]:mm")</f>
        <v/>
      </c>
    </row>
    <row r="605">
      <c r="B605" s="3" t="inlineStr">
        <is>
          <t>Pairing ID</t>
        </is>
      </c>
      <c r="C605" s="3" t="inlineStr">
        <is>
          <t>FECHA REAL</t>
        </is>
      </c>
      <c r="D605" s="3" t="inlineStr">
        <is>
          <t>Day of Week</t>
        </is>
      </c>
      <c r="E605" s="3" t="inlineStr">
        <is>
          <t>Flight No</t>
        </is>
      </c>
      <c r="F605" s="3" t="inlineStr">
        <is>
          <t>Dep Stn</t>
        </is>
      </c>
      <c r="G605" s="3" t="inlineStr">
        <is>
          <t>Arr Stn</t>
        </is>
      </c>
      <c r="H605" s="3" t="inlineStr">
        <is>
          <t>STD</t>
        </is>
      </c>
      <c r="I605" s="3" t="inlineStr">
        <is>
          <t>STA</t>
        </is>
      </c>
      <c r="J605" s="3" t="inlineStr">
        <is>
          <t>subflota</t>
        </is>
      </c>
      <c r="K605" s="3" t="inlineStr">
        <is>
          <t>Conexion</t>
        </is>
      </c>
      <c r="L605" s="3" t="inlineStr">
        <is>
          <t>HBT</t>
        </is>
      </c>
    </row>
    <row r="606">
      <c r="B606" s="4" t="n">
        <v>665</v>
      </c>
      <c r="C606" s="4" t="inlineStr">
        <is>
          <t>07/09/2026</t>
        </is>
      </c>
      <c r="D606" s="4" t="inlineStr">
        <is>
          <t>lunes</t>
        </is>
      </c>
      <c r="E606" s="4" t="n">
        <v>2264</v>
      </c>
      <c r="F606" s="4" t="inlineStr">
        <is>
          <t>LIM</t>
        </is>
      </c>
      <c r="G606" s="4" t="inlineStr">
        <is>
          <t>PEM</t>
        </is>
      </c>
      <c r="H606" s="4" t="inlineStr">
        <is>
          <t>14:55:00</t>
        </is>
      </c>
      <c r="I606" s="4" t="inlineStr">
        <is>
          <t>16:40:00</t>
        </is>
      </c>
      <c r="J606" s="4" t="n">
        <v>320</v>
      </c>
      <c r="L606" s="4" t="inlineStr">
        <is>
          <t>01:45:00</t>
        </is>
      </c>
      <c r="M606" s="5" t="n"/>
      <c r="N606" s="6" t="n"/>
      <c r="O606" s="5" t="n"/>
      <c r="Q606" s="4">
        <f>B606</f>
        <v/>
      </c>
      <c r="R606" s="4">
        <f>C606</f>
        <v/>
      </c>
      <c r="S606" s="4">
        <f>D606</f>
        <v/>
      </c>
      <c r="T606" s="4">
        <f>E606&amp;"/"&amp;E607</f>
        <v/>
      </c>
      <c r="U606" s="4">
        <f>F606&amp;"-"&amp;G606&amp;"-"&amp;F606</f>
        <v/>
      </c>
      <c r="V606" s="4">
        <f>IF($M$606="","",$M$606)</f>
        <v/>
      </c>
      <c r="W606" s="4">
        <f>IF($O$606="","",$O$606)</f>
        <v/>
      </c>
      <c r="X606" s="4">
        <f>J606</f>
        <v/>
      </c>
    </row>
    <row r="607">
      <c r="B607" s="4" t="n">
        <v>665</v>
      </c>
      <c r="C607" s="4" t="inlineStr">
        <is>
          <t>07/09/2026</t>
        </is>
      </c>
      <c r="D607" s="4" t="inlineStr">
        <is>
          <t>lunes</t>
        </is>
      </c>
      <c r="E607" s="4" t="n">
        <v>2265</v>
      </c>
      <c r="F607" s="4" t="inlineStr">
        <is>
          <t>PEM</t>
        </is>
      </c>
      <c r="G607" s="4" t="inlineStr">
        <is>
          <t>LIM</t>
        </is>
      </c>
      <c r="H607" s="4" t="inlineStr">
        <is>
          <t>17:20:00</t>
        </is>
      </c>
      <c r="I607" s="4" t="inlineStr">
        <is>
          <t>18:55:00</t>
        </is>
      </c>
      <c r="J607" s="4" t="n">
        <v>320</v>
      </c>
      <c r="K607">
        <f>TEXT(TIMEVALUE(H607)-TIMEVALUE(I606)+(TIMEVALUE(H607)&lt;TIMEVALUE(I606)),"[h]:mm")</f>
        <v/>
      </c>
      <c r="L607" s="4" t="inlineStr">
        <is>
          <t>01:35:00</t>
        </is>
      </c>
      <c r="O607">
        <f>"LIM-"&amp;G606&amp;"-LIM   LA "&amp;E606&amp;" ("&amp;LEFT(H606,5)&amp;"-"&amp;LEFT(I606,5)&amp;" hrs)  /  LA "&amp;E607&amp;" ("&amp;LEFT(H607,5)&amp;"-"&amp;LEFT(I607,5)&amp;" hrs)"</f>
        <v/>
      </c>
    </row>
    <row r="608">
      <c r="J608" s="8" t="inlineStr">
        <is>
          <t>PSV total:</t>
        </is>
      </c>
      <c r="K608" s="9">
        <f>TEXT(TIMEVALUE(I607)-TIMEVALUE(H606)+(I607&lt;H606),"[h]:mm")</f>
        <v/>
      </c>
    </row>
    <row r="610">
      <c r="B610" s="3" t="inlineStr">
        <is>
          <t>Pairing ID</t>
        </is>
      </c>
      <c r="C610" s="3" t="inlineStr">
        <is>
          <t>FECHA REAL</t>
        </is>
      </c>
      <c r="D610" s="3" t="inlineStr">
        <is>
          <t>Day of Week</t>
        </is>
      </c>
      <c r="E610" s="3" t="inlineStr">
        <is>
          <t>Flight No</t>
        </is>
      </c>
      <c r="F610" s="3" t="inlineStr">
        <is>
          <t>Dep Stn</t>
        </is>
      </c>
      <c r="G610" s="3" t="inlineStr">
        <is>
          <t>Arr Stn</t>
        </is>
      </c>
      <c r="H610" s="3" t="inlineStr">
        <is>
          <t>STD</t>
        </is>
      </c>
      <c r="I610" s="3" t="inlineStr">
        <is>
          <t>STA</t>
        </is>
      </c>
      <c r="J610" s="3" t="inlineStr">
        <is>
          <t>subflota</t>
        </is>
      </c>
      <c r="K610" s="3" t="inlineStr">
        <is>
          <t>Conexion</t>
        </is>
      </c>
      <c r="L610" s="3" t="inlineStr">
        <is>
          <t>HBT</t>
        </is>
      </c>
    </row>
    <row r="611">
      <c r="B611" s="4" t="n">
        <v>666</v>
      </c>
      <c r="C611" s="4" t="inlineStr">
        <is>
          <t>07/09/2026</t>
        </is>
      </c>
      <c r="D611" s="4" t="inlineStr">
        <is>
          <t>lunes</t>
        </is>
      </c>
      <c r="E611" s="4" t="n">
        <v>2248</v>
      </c>
      <c r="F611" s="4" t="inlineStr">
        <is>
          <t>LIM</t>
        </is>
      </c>
      <c r="G611" s="4" t="inlineStr">
        <is>
          <t>CUZ</t>
        </is>
      </c>
      <c r="H611" s="4" t="inlineStr">
        <is>
          <t>15:00:00</t>
        </is>
      </c>
      <c r="I611" s="4" t="inlineStr">
        <is>
          <t>16:20:00</t>
        </is>
      </c>
      <c r="J611" s="4" t="n">
        <v>320</v>
      </c>
      <c r="L611" s="4" t="inlineStr">
        <is>
          <t>01:20:00</t>
        </is>
      </c>
      <c r="M611" s="5" t="n"/>
      <c r="N611" s="6" t="n"/>
      <c r="O611" s="5" t="n"/>
      <c r="Q611" s="4">
        <f>B611</f>
        <v/>
      </c>
      <c r="R611" s="4">
        <f>C611</f>
        <v/>
      </c>
      <c r="S611" s="4">
        <f>D611</f>
        <v/>
      </c>
      <c r="T611" s="4">
        <f>E611&amp;"/"&amp;E612</f>
        <v/>
      </c>
      <c r="U611" s="4">
        <f>F611&amp;"-"&amp;G611&amp;"-"&amp;F611</f>
        <v/>
      </c>
      <c r="V611" s="4">
        <f>IF($M$611="","",$M$611)</f>
        <v/>
      </c>
      <c r="W611" s="4">
        <f>IF($O$611="","",$O$611)</f>
        <v/>
      </c>
      <c r="X611" s="4">
        <f>J611</f>
        <v/>
      </c>
    </row>
    <row r="612">
      <c r="B612" s="4" t="n">
        <v>666</v>
      </c>
      <c r="C612" s="4" t="inlineStr">
        <is>
          <t>07/09/2026</t>
        </is>
      </c>
      <c r="D612" s="4" t="inlineStr">
        <is>
          <t>lunes</t>
        </is>
      </c>
      <c r="E612" s="4" t="n">
        <v>2249</v>
      </c>
      <c r="F612" s="4" t="inlineStr">
        <is>
          <t>CUZ</t>
        </is>
      </c>
      <c r="G612" s="4" t="inlineStr">
        <is>
          <t>LIM</t>
        </is>
      </c>
      <c r="H612" s="4" t="inlineStr">
        <is>
          <t>17:00:00</t>
        </is>
      </c>
      <c r="I612" s="4" t="inlineStr">
        <is>
          <t>18:35:00</t>
        </is>
      </c>
      <c r="J612" s="4" t="n">
        <v>320</v>
      </c>
      <c r="K612">
        <f>TEXT(TIMEVALUE(H612)-TIMEVALUE(I611)+(TIMEVALUE(H612)&lt;TIMEVALUE(I611)),"[h]:mm")</f>
        <v/>
      </c>
      <c r="L612" s="4" t="inlineStr">
        <is>
          <t>01:35:00</t>
        </is>
      </c>
      <c r="O612">
        <f>"LIM-"&amp;G611&amp;"-LIM   LA "&amp;E611&amp;" ("&amp;LEFT(H611,5)&amp;"-"&amp;LEFT(I611,5)&amp;" hrs)  /  LA "&amp;E612&amp;" ("&amp;LEFT(H612,5)&amp;"-"&amp;LEFT(I612,5)&amp;" hrs)"</f>
        <v/>
      </c>
    </row>
    <row r="613">
      <c r="J613" s="8" t="inlineStr">
        <is>
          <t>PSV total:</t>
        </is>
      </c>
      <c r="K613" s="9">
        <f>TEXT(TIMEVALUE(I612)-TIMEVALUE(H611)+(I612&lt;H611),"[h]:mm")</f>
        <v/>
      </c>
    </row>
    <row r="615">
      <c r="B615" s="3" t="inlineStr">
        <is>
          <t>Pairing ID</t>
        </is>
      </c>
      <c r="C615" s="3" t="inlineStr">
        <is>
          <t>FECHA REAL</t>
        </is>
      </c>
      <c r="D615" s="3" t="inlineStr">
        <is>
          <t>Day of Week</t>
        </is>
      </c>
      <c r="E615" s="3" t="inlineStr">
        <is>
          <t>Flight No</t>
        </is>
      </c>
      <c r="F615" s="3" t="inlineStr">
        <is>
          <t>Dep Stn</t>
        </is>
      </c>
      <c r="G615" s="3" t="inlineStr">
        <is>
          <t>Arr Stn</t>
        </is>
      </c>
      <c r="H615" s="3" t="inlineStr">
        <is>
          <t>STD</t>
        </is>
      </c>
      <c r="I615" s="3" t="inlineStr">
        <is>
          <t>STA</t>
        </is>
      </c>
      <c r="J615" s="3" t="inlineStr">
        <is>
          <t>subflota</t>
        </is>
      </c>
      <c r="K615" s="3" t="inlineStr">
        <is>
          <t>Conexion</t>
        </is>
      </c>
      <c r="L615" s="3" t="inlineStr">
        <is>
          <t>HBT</t>
        </is>
      </c>
    </row>
    <row r="616">
      <c r="B616" s="4" t="n">
        <v>667</v>
      </c>
      <c r="C616" s="4" t="inlineStr">
        <is>
          <t>07/09/2026</t>
        </is>
      </c>
      <c r="D616" s="4" t="inlineStr">
        <is>
          <t>lunes</t>
        </is>
      </c>
      <c r="E616" s="4" t="n">
        <v>2113</v>
      </c>
      <c r="F616" s="4" t="inlineStr">
        <is>
          <t>LIM</t>
        </is>
      </c>
      <c r="G616" s="4" t="inlineStr">
        <is>
          <t>AQP</t>
        </is>
      </c>
      <c r="H616" s="4" t="inlineStr">
        <is>
          <t>15:05:00</t>
        </is>
      </c>
      <c r="I616" s="4" t="inlineStr">
        <is>
          <t>16:35:00</t>
        </is>
      </c>
      <c r="J616" s="4" t="n">
        <v>320</v>
      </c>
      <c r="L616" s="4" t="inlineStr">
        <is>
          <t>01:30:00</t>
        </is>
      </c>
      <c r="M616" s="5" t="n"/>
      <c r="N616" s="6" t="n"/>
      <c r="O616" s="5" t="n"/>
      <c r="Q616" s="4">
        <f>B616</f>
        <v/>
      </c>
      <c r="R616" s="4">
        <f>C616</f>
        <v/>
      </c>
      <c r="S616" s="4">
        <f>D616</f>
        <v/>
      </c>
      <c r="T616" s="4">
        <f>E616&amp;"/"&amp;E617</f>
        <v/>
      </c>
      <c r="U616" s="4">
        <f>F616&amp;"-"&amp;G616&amp;"-"&amp;F616</f>
        <v/>
      </c>
      <c r="V616" s="4">
        <f>IF($M$616="","",$M$616)</f>
        <v/>
      </c>
      <c r="W616" s="4">
        <f>IF($O$616="","",$O$616)</f>
        <v/>
      </c>
      <c r="X616" s="4">
        <f>J616</f>
        <v/>
      </c>
    </row>
    <row r="617">
      <c r="B617" s="4" t="n">
        <v>667</v>
      </c>
      <c r="C617" s="4" t="inlineStr">
        <is>
          <t>07/09/2026</t>
        </is>
      </c>
      <c r="D617" s="4" t="inlineStr">
        <is>
          <t>lunes</t>
        </is>
      </c>
      <c r="E617" s="4" t="n">
        <v>2112</v>
      </c>
      <c r="F617" s="4" t="inlineStr">
        <is>
          <t>AQP</t>
        </is>
      </c>
      <c r="G617" s="4" t="inlineStr">
        <is>
          <t>LIM</t>
        </is>
      </c>
      <c r="H617" s="4" t="inlineStr">
        <is>
          <t>17:15:00</t>
        </is>
      </c>
      <c r="I617" s="4" t="inlineStr">
        <is>
          <t>18:55:00</t>
        </is>
      </c>
      <c r="J617" s="4" t="n">
        <v>320</v>
      </c>
      <c r="K617">
        <f>TEXT(TIMEVALUE(H617)-TIMEVALUE(I616)+(TIMEVALUE(H617)&lt;TIMEVALUE(I616)),"[h]:mm")</f>
        <v/>
      </c>
      <c r="L617" s="4" t="inlineStr">
        <is>
          <t>01:40:00</t>
        </is>
      </c>
      <c r="O617">
        <f>"LIM-"&amp;G616&amp;"-LIM   LA "&amp;E616&amp;" ("&amp;LEFT(H616,5)&amp;"-"&amp;LEFT(I616,5)&amp;" hrs)  /  LA "&amp;E617&amp;" ("&amp;LEFT(H617,5)&amp;"-"&amp;LEFT(I617,5)&amp;" hrs)"</f>
        <v/>
      </c>
    </row>
    <row r="618">
      <c r="J618" s="8" t="inlineStr">
        <is>
          <t>PSV total:</t>
        </is>
      </c>
      <c r="K618" s="9">
        <f>TEXT(TIMEVALUE(I617)-TIMEVALUE(H616)+(I617&lt;H616),"[h]:mm")</f>
        <v/>
      </c>
    </row>
    <row r="620">
      <c r="B620" s="3" t="inlineStr">
        <is>
          <t>Pairing ID</t>
        </is>
      </c>
      <c r="C620" s="3" t="inlineStr">
        <is>
          <t>FECHA REAL</t>
        </is>
      </c>
      <c r="D620" s="3" t="inlineStr">
        <is>
          <t>Day of Week</t>
        </is>
      </c>
      <c r="E620" s="3" t="inlineStr">
        <is>
          <t>Flight No</t>
        </is>
      </c>
      <c r="F620" s="3" t="inlineStr">
        <is>
          <t>Dep Stn</t>
        </is>
      </c>
      <c r="G620" s="3" t="inlineStr">
        <is>
          <t>Arr Stn</t>
        </is>
      </c>
      <c r="H620" s="3" t="inlineStr">
        <is>
          <t>STD</t>
        </is>
      </c>
      <c r="I620" s="3" t="inlineStr">
        <is>
          <t>STA</t>
        </is>
      </c>
      <c r="J620" s="3" t="inlineStr">
        <is>
          <t>subflota</t>
        </is>
      </c>
      <c r="K620" s="3" t="inlineStr">
        <is>
          <t>Conexion</t>
        </is>
      </c>
      <c r="L620" s="3" t="inlineStr">
        <is>
          <t>HBT</t>
        </is>
      </c>
    </row>
    <row r="621">
      <c r="B621" s="4" t="n">
        <v>668</v>
      </c>
      <c r="C621" s="4" t="inlineStr">
        <is>
          <t>07/09/2026</t>
        </is>
      </c>
      <c r="D621" s="4" t="inlineStr">
        <is>
          <t>lunes</t>
        </is>
      </c>
      <c r="E621" s="4" t="n">
        <v>2113</v>
      </c>
      <c r="F621" s="4" t="inlineStr">
        <is>
          <t>LIM</t>
        </is>
      </c>
      <c r="G621" s="4" t="inlineStr">
        <is>
          <t>AQP</t>
        </is>
      </c>
      <c r="H621" s="4" t="inlineStr">
        <is>
          <t>15:05:00</t>
        </is>
      </c>
      <c r="I621" s="4" t="inlineStr">
        <is>
          <t>16:35:00</t>
        </is>
      </c>
      <c r="J621" s="4" t="n">
        <v>320</v>
      </c>
      <c r="L621" s="4" t="inlineStr">
        <is>
          <t>01:30:00</t>
        </is>
      </c>
      <c r="M621" s="5" t="n"/>
      <c r="N621" s="6" t="n"/>
      <c r="O621" s="5" t="n"/>
      <c r="Q621" s="4">
        <f>B621</f>
        <v/>
      </c>
      <c r="R621" s="4">
        <f>C621</f>
        <v/>
      </c>
      <c r="S621" s="4">
        <f>D621</f>
        <v/>
      </c>
      <c r="T621" s="4">
        <f>E621&amp;"/"&amp;E622</f>
        <v/>
      </c>
      <c r="U621" s="4">
        <f>F621&amp;"-"&amp;G621&amp;"-"&amp;F621</f>
        <v/>
      </c>
      <c r="V621" s="4">
        <f>IF($M$621="","",$M$621)</f>
        <v/>
      </c>
      <c r="W621" s="4">
        <f>IF($O$621="","",$O$621)</f>
        <v/>
      </c>
      <c r="X621" s="4">
        <f>J621</f>
        <v/>
      </c>
    </row>
    <row r="622">
      <c r="B622" s="4" t="n">
        <v>668</v>
      </c>
      <c r="C622" s="4" t="inlineStr">
        <is>
          <t>07/09/2026</t>
        </is>
      </c>
      <c r="D622" s="4" t="inlineStr">
        <is>
          <t>lunes</t>
        </is>
      </c>
      <c r="E622" s="4" t="n">
        <v>2112</v>
      </c>
      <c r="F622" s="4" t="inlineStr">
        <is>
          <t>AQP</t>
        </is>
      </c>
      <c r="G622" s="4" t="inlineStr">
        <is>
          <t>LIM</t>
        </is>
      </c>
      <c r="H622" s="4" t="inlineStr">
        <is>
          <t>17:15:00</t>
        </is>
      </c>
      <c r="I622" s="4" t="inlineStr">
        <is>
          <t>18:55:00</t>
        </is>
      </c>
      <c r="J622" s="4" t="n">
        <v>320</v>
      </c>
      <c r="K622">
        <f>TEXT(TIMEVALUE(H622)-TIMEVALUE(I621)+(TIMEVALUE(H622)&lt;TIMEVALUE(I621)),"[h]:mm")</f>
        <v/>
      </c>
      <c r="L622" s="4" t="inlineStr">
        <is>
          <t>01:40:00</t>
        </is>
      </c>
      <c r="O622">
        <f>"LIM-"&amp;G621&amp;"-LIM   LA "&amp;E621&amp;" ("&amp;LEFT(H621,5)&amp;"-"&amp;LEFT(I621,5)&amp;" hrs)  /  LA "&amp;E622&amp;" ("&amp;LEFT(H622,5)&amp;"-"&amp;LEFT(I622,5)&amp;" hrs)"</f>
        <v/>
      </c>
    </row>
    <row r="623">
      <c r="J623" s="8" t="inlineStr">
        <is>
          <t>PSV total:</t>
        </is>
      </c>
      <c r="K623" s="9">
        <f>TEXT(TIMEVALUE(I622)-TIMEVALUE(H621)+(I622&lt;H621),"[h]:mm")</f>
        <v/>
      </c>
    </row>
    <row r="625">
      <c r="B625" s="3" t="inlineStr">
        <is>
          <t>Pairing ID</t>
        </is>
      </c>
      <c r="C625" s="3" t="inlineStr">
        <is>
          <t>FECHA REAL</t>
        </is>
      </c>
      <c r="D625" s="3" t="inlineStr">
        <is>
          <t>Day of Week</t>
        </is>
      </c>
      <c r="E625" s="3" t="inlineStr">
        <is>
          <t>Flight No</t>
        </is>
      </c>
      <c r="F625" s="3" t="inlineStr">
        <is>
          <t>Dep Stn</t>
        </is>
      </c>
      <c r="G625" s="3" t="inlineStr">
        <is>
          <t>Arr Stn</t>
        </is>
      </c>
      <c r="H625" s="3" t="inlineStr">
        <is>
          <t>STD</t>
        </is>
      </c>
      <c r="I625" s="3" t="inlineStr">
        <is>
          <t>STA</t>
        </is>
      </c>
      <c r="J625" s="3" t="inlineStr">
        <is>
          <t>subflota</t>
        </is>
      </c>
      <c r="K625" s="3" t="inlineStr">
        <is>
          <t>Conexion</t>
        </is>
      </c>
      <c r="L625" s="3" t="inlineStr">
        <is>
          <t>HBT</t>
        </is>
      </c>
    </row>
    <row r="626">
      <c r="B626" s="4" t="n">
        <v>670</v>
      </c>
      <c r="C626" s="4" t="inlineStr">
        <is>
          <t>07/09/2026</t>
        </is>
      </c>
      <c r="D626" s="4" t="inlineStr">
        <is>
          <t>lunes</t>
        </is>
      </c>
      <c r="E626" s="4" t="n">
        <v>2297</v>
      </c>
      <c r="F626" s="4" t="inlineStr">
        <is>
          <t>LIM</t>
        </is>
      </c>
      <c r="G626" s="4" t="inlineStr">
        <is>
          <t>CJA</t>
        </is>
      </c>
      <c r="H626" s="4" t="inlineStr">
        <is>
          <t>15:15:00</t>
        </is>
      </c>
      <c r="I626" s="4" t="inlineStr">
        <is>
          <t>16:35:00</t>
        </is>
      </c>
      <c r="J626" s="4" t="n">
        <v>320</v>
      </c>
      <c r="L626" s="4" t="inlineStr">
        <is>
          <t>01:20:00</t>
        </is>
      </c>
      <c r="M626" s="5" t="n"/>
      <c r="N626" s="6" t="n"/>
      <c r="O626" s="5" t="n"/>
      <c r="Q626" s="4">
        <f>B626</f>
        <v/>
      </c>
      <c r="R626" s="4">
        <f>C626</f>
        <v/>
      </c>
      <c r="S626" s="4">
        <f>D626</f>
        <v/>
      </c>
      <c r="T626" s="4">
        <f>E626&amp;"/"&amp;E627</f>
        <v/>
      </c>
      <c r="U626" s="4">
        <f>F626&amp;"-"&amp;G626&amp;"-"&amp;F626</f>
        <v/>
      </c>
      <c r="V626" s="4">
        <f>IF($M$626="","",$M$626)</f>
        <v/>
      </c>
      <c r="W626" s="4">
        <f>IF($O$626="","",$O$626)</f>
        <v/>
      </c>
      <c r="X626" s="4">
        <f>J626</f>
        <v/>
      </c>
    </row>
    <row r="627">
      <c r="B627" s="4" t="n">
        <v>670</v>
      </c>
      <c r="C627" s="4" t="inlineStr">
        <is>
          <t>07/09/2026</t>
        </is>
      </c>
      <c r="D627" s="4" t="inlineStr">
        <is>
          <t>lunes</t>
        </is>
      </c>
      <c r="E627" s="4" t="n">
        <v>2296</v>
      </c>
      <c r="F627" s="4" t="inlineStr">
        <is>
          <t>CJA</t>
        </is>
      </c>
      <c r="G627" s="4" t="inlineStr">
        <is>
          <t>LIM</t>
        </is>
      </c>
      <c r="H627" s="4" t="inlineStr">
        <is>
          <t>17:20:00</t>
        </is>
      </c>
      <c r="I627" s="4" t="inlineStr">
        <is>
          <t>18:25:00</t>
        </is>
      </c>
      <c r="J627" s="4" t="n">
        <v>320</v>
      </c>
      <c r="K627">
        <f>TEXT(TIMEVALUE(H627)-TIMEVALUE(I626)+(TIMEVALUE(H627)&lt;TIMEVALUE(I626)),"[h]:mm")</f>
        <v/>
      </c>
      <c r="L627" s="4" t="inlineStr">
        <is>
          <t>01:05:00</t>
        </is>
      </c>
      <c r="O627">
        <f>"LIM-"&amp;G626&amp;"-LIM   LA "&amp;E626&amp;" ("&amp;LEFT(H626,5)&amp;"-"&amp;LEFT(I626,5)&amp;" hrs)  /  LA "&amp;E627&amp;" ("&amp;LEFT(H627,5)&amp;"-"&amp;LEFT(I627,5)&amp;" hrs)"</f>
        <v/>
      </c>
    </row>
    <row r="628">
      <c r="J628" s="8" t="inlineStr">
        <is>
          <t>PSV total:</t>
        </is>
      </c>
      <c r="K628" s="9">
        <f>TEXT(TIMEVALUE(I627)-TIMEVALUE(H626)+(I627&lt;H626),"[h]:mm")</f>
        <v/>
      </c>
    </row>
    <row r="630">
      <c r="B630" s="3" t="inlineStr">
        <is>
          <t>Pairing ID</t>
        </is>
      </c>
      <c r="C630" s="3" t="inlineStr">
        <is>
          <t>FECHA REAL</t>
        </is>
      </c>
      <c r="D630" s="3" t="inlineStr">
        <is>
          <t>Day of Week</t>
        </is>
      </c>
      <c r="E630" s="3" t="inlineStr">
        <is>
          <t>Flight No</t>
        </is>
      </c>
      <c r="F630" s="3" t="inlineStr">
        <is>
          <t>Dep Stn</t>
        </is>
      </c>
      <c r="G630" s="3" t="inlineStr">
        <is>
          <t>Arr Stn</t>
        </is>
      </c>
      <c r="H630" s="3" t="inlineStr">
        <is>
          <t>STD</t>
        </is>
      </c>
      <c r="I630" s="3" t="inlineStr">
        <is>
          <t>STA</t>
        </is>
      </c>
      <c r="J630" s="3" t="inlineStr">
        <is>
          <t>subflota</t>
        </is>
      </c>
      <c r="K630" s="3" t="inlineStr">
        <is>
          <t>Conexion</t>
        </is>
      </c>
      <c r="L630" s="3" t="inlineStr">
        <is>
          <t>HBT</t>
        </is>
      </c>
    </row>
    <row r="631">
      <c r="B631" s="4" t="n">
        <v>671</v>
      </c>
      <c r="C631" s="4" t="inlineStr">
        <is>
          <t>07/09/2026</t>
        </is>
      </c>
      <c r="D631" s="4" t="inlineStr">
        <is>
          <t>lunes</t>
        </is>
      </c>
      <c r="E631" s="4" t="n">
        <v>2360</v>
      </c>
      <c r="F631" s="4" t="inlineStr">
        <is>
          <t>LIM</t>
        </is>
      </c>
      <c r="G631" s="4" t="inlineStr">
        <is>
          <t>PCL</t>
        </is>
      </c>
      <c r="H631" s="4" t="inlineStr">
        <is>
          <t>15:25:00</t>
        </is>
      </c>
      <c r="I631" s="4" t="inlineStr">
        <is>
          <t>16:40:00</t>
        </is>
      </c>
      <c r="J631" s="4" t="n">
        <v>320</v>
      </c>
      <c r="L631" s="4" t="inlineStr">
        <is>
          <t>01:15:00</t>
        </is>
      </c>
      <c r="M631" s="5" t="n"/>
      <c r="N631" s="6" t="n"/>
      <c r="O631" s="5" t="n"/>
      <c r="Q631" s="4">
        <f>B631</f>
        <v/>
      </c>
      <c r="R631" s="4">
        <f>C631</f>
        <v/>
      </c>
      <c r="S631" s="4">
        <f>D631</f>
        <v/>
      </c>
      <c r="T631" s="4">
        <f>E631&amp;"/"&amp;E632</f>
        <v/>
      </c>
      <c r="U631" s="4">
        <f>F631&amp;"-"&amp;G631&amp;"-"&amp;F631</f>
        <v/>
      </c>
      <c r="V631" s="4">
        <f>IF($M$631="","",$M$631)</f>
        <v/>
      </c>
      <c r="W631" s="4">
        <f>IF($O$631="","",$O$631)</f>
        <v/>
      </c>
      <c r="X631" s="4">
        <f>J631</f>
        <v/>
      </c>
    </row>
    <row r="632">
      <c r="B632" s="4" t="n">
        <v>671</v>
      </c>
      <c r="C632" s="4" t="inlineStr">
        <is>
          <t>07/09/2026</t>
        </is>
      </c>
      <c r="D632" s="4" t="inlineStr">
        <is>
          <t>lunes</t>
        </is>
      </c>
      <c r="E632" s="4" t="n">
        <v>2361</v>
      </c>
      <c r="F632" s="4" t="inlineStr">
        <is>
          <t>PCL</t>
        </is>
      </c>
      <c r="G632" s="4" t="inlineStr">
        <is>
          <t>LIM</t>
        </is>
      </c>
      <c r="H632" s="4" t="inlineStr">
        <is>
          <t>17:20:00</t>
        </is>
      </c>
      <c r="I632" s="4" t="inlineStr">
        <is>
          <t>18:35:00</t>
        </is>
      </c>
      <c r="J632" s="4" t="n">
        <v>320</v>
      </c>
      <c r="K632">
        <f>TEXT(TIMEVALUE(H632)-TIMEVALUE(I631)+(TIMEVALUE(H632)&lt;TIMEVALUE(I631)),"[h]:mm")</f>
        <v/>
      </c>
      <c r="L632" s="4" t="inlineStr">
        <is>
          <t>01:15:00</t>
        </is>
      </c>
      <c r="O632">
        <f>"LIM-"&amp;G631&amp;"-LIM   LA "&amp;E631&amp;" ("&amp;LEFT(H631,5)&amp;"-"&amp;LEFT(I631,5)&amp;" hrs)  /  LA "&amp;E632&amp;" ("&amp;LEFT(H632,5)&amp;"-"&amp;LEFT(I632,5)&amp;" hrs)"</f>
        <v/>
      </c>
    </row>
    <row r="633">
      <c r="J633" s="8" t="inlineStr">
        <is>
          <t>PSV total:</t>
        </is>
      </c>
      <c r="K633" s="9">
        <f>TEXT(TIMEVALUE(I632)-TIMEVALUE(H631)+(I632&lt;H631),"[h]:mm")</f>
        <v/>
      </c>
    </row>
    <row r="635">
      <c r="B635" s="3" t="inlineStr">
        <is>
          <t>Pairing ID</t>
        </is>
      </c>
      <c r="C635" s="3" t="inlineStr">
        <is>
          <t>FECHA REAL</t>
        </is>
      </c>
      <c r="D635" s="3" t="inlineStr">
        <is>
          <t>Day of Week</t>
        </is>
      </c>
      <c r="E635" s="3" t="inlineStr">
        <is>
          <t>Flight No</t>
        </is>
      </c>
      <c r="F635" s="3" t="inlineStr">
        <is>
          <t>Dep Stn</t>
        </is>
      </c>
      <c r="G635" s="3" t="inlineStr">
        <is>
          <t>Arr Stn</t>
        </is>
      </c>
      <c r="H635" s="3" t="inlineStr">
        <is>
          <t>STD</t>
        </is>
      </c>
      <c r="I635" s="3" t="inlineStr">
        <is>
          <t>STA</t>
        </is>
      </c>
      <c r="J635" s="3" t="inlineStr">
        <is>
          <t>subflota</t>
        </is>
      </c>
      <c r="K635" s="3" t="inlineStr">
        <is>
          <t>Conexion</t>
        </is>
      </c>
      <c r="L635" s="3" t="inlineStr">
        <is>
          <t>HBT</t>
        </is>
      </c>
    </row>
    <row r="636">
      <c r="B636" s="4" t="n">
        <v>672</v>
      </c>
      <c r="C636" s="4" t="inlineStr">
        <is>
          <t>07/09/2026</t>
        </is>
      </c>
      <c r="D636" s="4" t="inlineStr">
        <is>
          <t>lunes</t>
        </is>
      </c>
      <c r="E636" s="4" t="n">
        <v>2312</v>
      </c>
      <c r="F636" s="4" t="inlineStr">
        <is>
          <t>LIM</t>
        </is>
      </c>
      <c r="G636" s="4" t="inlineStr">
        <is>
          <t>CIX</t>
        </is>
      </c>
      <c r="H636" s="4" t="inlineStr">
        <is>
          <t>15:35:00</t>
        </is>
      </c>
      <c r="I636" s="4" t="inlineStr">
        <is>
          <t>17:05:00</t>
        </is>
      </c>
      <c r="J636" s="4" t="n">
        <v>319</v>
      </c>
      <c r="L636" s="4" t="inlineStr">
        <is>
          <t>01:30:00</t>
        </is>
      </c>
      <c r="M636" s="5" t="n"/>
      <c r="N636" s="6" t="n"/>
      <c r="O636" s="5" t="n"/>
      <c r="Q636" s="4">
        <f>B636</f>
        <v/>
      </c>
      <c r="R636" s="4">
        <f>C636</f>
        <v/>
      </c>
      <c r="S636" s="4">
        <f>D636</f>
        <v/>
      </c>
      <c r="T636" s="4">
        <f>E636&amp;"/"&amp;E637</f>
        <v/>
      </c>
      <c r="U636" s="4">
        <f>F636&amp;"-"&amp;G636&amp;"-"&amp;F636</f>
        <v/>
      </c>
      <c r="V636" s="4">
        <f>IF($M$636="","",$M$636)</f>
        <v/>
      </c>
      <c r="W636" s="4">
        <f>IF($O$636="","",$O$636)</f>
        <v/>
      </c>
      <c r="X636" s="4">
        <f>J636</f>
        <v/>
      </c>
    </row>
    <row r="637">
      <c r="B637" s="4" t="n">
        <v>672</v>
      </c>
      <c r="C637" s="4" t="inlineStr">
        <is>
          <t>07/09/2026</t>
        </is>
      </c>
      <c r="D637" s="4" t="inlineStr">
        <is>
          <t>lunes</t>
        </is>
      </c>
      <c r="E637" s="4" t="n">
        <v>2313</v>
      </c>
      <c r="F637" s="4" t="inlineStr">
        <is>
          <t>CIX</t>
        </is>
      </c>
      <c r="G637" s="4" t="inlineStr">
        <is>
          <t>LIM</t>
        </is>
      </c>
      <c r="H637" s="4" t="inlineStr">
        <is>
          <t>17:50:00</t>
        </is>
      </c>
      <c r="I637" s="4" t="inlineStr">
        <is>
          <t>19:10:00</t>
        </is>
      </c>
      <c r="J637" s="4" t="n">
        <v>319</v>
      </c>
      <c r="K637">
        <f>TEXT(TIMEVALUE(H637)-TIMEVALUE(I636)+(TIMEVALUE(H637)&lt;TIMEVALUE(I636)),"[h]:mm")</f>
        <v/>
      </c>
      <c r="L637" s="4" t="inlineStr">
        <is>
          <t>01:20:00</t>
        </is>
      </c>
      <c r="O637">
        <f>"LIM-"&amp;G636&amp;"-LIM   LA "&amp;E636&amp;" ("&amp;LEFT(H636,5)&amp;"-"&amp;LEFT(I636,5)&amp;" hrs)  /  LA "&amp;E637&amp;" ("&amp;LEFT(H637,5)&amp;"-"&amp;LEFT(I637,5)&amp;" hrs)"</f>
        <v/>
      </c>
    </row>
    <row r="638">
      <c r="J638" s="8" t="inlineStr">
        <is>
          <t>PSV total:</t>
        </is>
      </c>
      <c r="K638" s="9">
        <f>TEXT(TIMEVALUE(I637)-TIMEVALUE(H636)+(I637&lt;H636),"[h]:mm")</f>
        <v/>
      </c>
    </row>
    <row r="640">
      <c r="B640" s="3" t="inlineStr">
        <is>
          <t>Pairing ID</t>
        </is>
      </c>
      <c r="C640" s="3" t="inlineStr">
        <is>
          <t>FECHA REAL</t>
        </is>
      </c>
      <c r="D640" s="3" t="inlineStr">
        <is>
          <t>Day of Week</t>
        </is>
      </c>
      <c r="E640" s="3" t="inlineStr">
        <is>
          <t>Flight No</t>
        </is>
      </c>
      <c r="F640" s="3" t="inlineStr">
        <is>
          <t>Dep Stn</t>
        </is>
      </c>
      <c r="G640" s="3" t="inlineStr">
        <is>
          <t>Arr Stn</t>
        </is>
      </c>
      <c r="H640" s="3" t="inlineStr">
        <is>
          <t>STD</t>
        </is>
      </c>
      <c r="I640" s="3" t="inlineStr">
        <is>
          <t>STA</t>
        </is>
      </c>
      <c r="J640" s="3" t="inlineStr">
        <is>
          <t>subflota</t>
        </is>
      </c>
      <c r="K640" s="3" t="inlineStr">
        <is>
          <t>Conexion</t>
        </is>
      </c>
      <c r="L640" s="3" t="inlineStr">
        <is>
          <t>HBT</t>
        </is>
      </c>
    </row>
    <row r="641">
      <c r="B641" s="4" t="n">
        <v>676</v>
      </c>
      <c r="C641" s="4" t="inlineStr">
        <is>
          <t>07/09/2026</t>
        </is>
      </c>
      <c r="D641" s="4" t="inlineStr">
        <is>
          <t>lunes</t>
        </is>
      </c>
      <c r="E641" s="4" t="n">
        <v>2304</v>
      </c>
      <c r="F641" s="4" t="inlineStr">
        <is>
          <t>LIM</t>
        </is>
      </c>
      <c r="G641" s="4" t="inlineStr">
        <is>
          <t>PIU</t>
        </is>
      </c>
      <c r="H641" s="4" t="inlineStr">
        <is>
          <t>16:55:00</t>
        </is>
      </c>
      <c r="I641" s="4" t="inlineStr">
        <is>
          <t>18:35:00</t>
        </is>
      </c>
      <c r="J641" s="4" t="n">
        <v>320</v>
      </c>
      <c r="L641" s="4" t="inlineStr">
        <is>
          <t>01:40:00</t>
        </is>
      </c>
      <c r="M641" s="5" t="n"/>
      <c r="N641" s="6" t="n"/>
      <c r="O641" s="5" t="n"/>
      <c r="Q641" s="4">
        <f>B641</f>
        <v/>
      </c>
      <c r="R641" s="4">
        <f>C641</f>
        <v/>
      </c>
      <c r="S641" s="4">
        <f>D641</f>
        <v/>
      </c>
      <c r="T641" s="4">
        <f>E641&amp;"/"&amp;E642</f>
        <v/>
      </c>
      <c r="U641" s="4">
        <f>F641&amp;"-"&amp;G641&amp;"-"&amp;F641</f>
        <v/>
      </c>
      <c r="V641" s="4">
        <f>IF($M$641="","",$M$641)</f>
        <v/>
      </c>
      <c r="W641" s="4">
        <f>IF($O$641="","",$O$641)</f>
        <v/>
      </c>
      <c r="X641" s="4">
        <f>J641</f>
        <v/>
      </c>
    </row>
    <row r="642">
      <c r="B642" s="4" t="n">
        <v>676</v>
      </c>
      <c r="C642" s="4" t="inlineStr">
        <is>
          <t>07/09/2026</t>
        </is>
      </c>
      <c r="D642" s="4" t="inlineStr">
        <is>
          <t>lunes</t>
        </is>
      </c>
      <c r="E642" s="4" t="n">
        <v>2305</v>
      </c>
      <c r="F642" s="4" t="inlineStr">
        <is>
          <t>PIU</t>
        </is>
      </c>
      <c r="G642" s="4" t="inlineStr">
        <is>
          <t>LIM</t>
        </is>
      </c>
      <c r="H642" s="4" t="inlineStr">
        <is>
          <t>19:10:00</t>
        </is>
      </c>
      <c r="I642" s="4" t="inlineStr">
        <is>
          <t>20:40:00</t>
        </is>
      </c>
      <c r="J642" s="4" t="n">
        <v>320</v>
      </c>
      <c r="K642">
        <f>TEXT(TIMEVALUE(H642)-TIMEVALUE(I641)+(TIMEVALUE(H642)&lt;TIMEVALUE(I641)),"[h]:mm")</f>
        <v/>
      </c>
      <c r="L642" s="4" t="inlineStr">
        <is>
          <t>01:30:00</t>
        </is>
      </c>
      <c r="O642">
        <f>"LIM-"&amp;G641&amp;"-LIM   LA "&amp;E641&amp;" ("&amp;LEFT(H641,5)&amp;"-"&amp;LEFT(I641,5)&amp;" hrs)  /  LA "&amp;E642&amp;" ("&amp;LEFT(H642,5)&amp;"-"&amp;LEFT(I642,5)&amp;" hrs)"</f>
        <v/>
      </c>
    </row>
    <row r="643">
      <c r="J643" s="8" t="inlineStr">
        <is>
          <t>PSV total:</t>
        </is>
      </c>
      <c r="K643" s="9">
        <f>TEXT(TIMEVALUE(I642)-TIMEVALUE(H641)+(I642&lt;H641),"[h]:mm")</f>
        <v/>
      </c>
    </row>
    <row r="645">
      <c r="B645" s="3" t="inlineStr">
        <is>
          <t>Pairing ID</t>
        </is>
      </c>
      <c r="C645" s="3" t="inlineStr">
        <is>
          <t>FECHA REAL</t>
        </is>
      </c>
      <c r="D645" s="3" t="inlineStr">
        <is>
          <t>Day of Week</t>
        </is>
      </c>
      <c r="E645" s="3" t="inlineStr">
        <is>
          <t>Flight No</t>
        </is>
      </c>
      <c r="F645" s="3" t="inlineStr">
        <is>
          <t>Dep Stn</t>
        </is>
      </c>
      <c r="G645" s="3" t="inlineStr">
        <is>
          <t>Arr Stn</t>
        </is>
      </c>
      <c r="H645" s="3" t="inlineStr">
        <is>
          <t>STD</t>
        </is>
      </c>
      <c r="I645" s="3" t="inlineStr">
        <is>
          <t>STA</t>
        </is>
      </c>
      <c r="J645" s="3" t="inlineStr">
        <is>
          <t>subflota</t>
        </is>
      </c>
      <c r="K645" s="3" t="inlineStr">
        <is>
          <t>Conexion</t>
        </is>
      </c>
      <c r="L645" s="3" t="inlineStr">
        <is>
          <t>HBT</t>
        </is>
      </c>
    </row>
    <row r="646">
      <c r="B646" s="4" t="n">
        <v>716</v>
      </c>
      <c r="C646" s="4" t="inlineStr">
        <is>
          <t>08/09/2026</t>
        </is>
      </c>
      <c r="D646" s="4" t="inlineStr">
        <is>
          <t>martes</t>
        </is>
      </c>
      <c r="E646" s="4" t="n">
        <v>2013</v>
      </c>
      <c r="F646" s="4" t="inlineStr">
        <is>
          <t>LIM</t>
        </is>
      </c>
      <c r="G646" s="4" t="inlineStr">
        <is>
          <t>CUZ</t>
        </is>
      </c>
      <c r="H646" s="4" t="inlineStr">
        <is>
          <t>08:35:00</t>
        </is>
      </c>
      <c r="I646" s="4" t="inlineStr">
        <is>
          <t>09:55:00</t>
        </is>
      </c>
      <c r="J646" s="4" t="n">
        <v>319</v>
      </c>
      <c r="L646" s="4" t="inlineStr">
        <is>
          <t>01:20:00</t>
        </is>
      </c>
      <c r="M646" s="5" t="n"/>
      <c r="N646" s="6" t="n"/>
      <c r="O646" s="5" t="n"/>
      <c r="Q646" s="4">
        <f>B646</f>
        <v/>
      </c>
      <c r="R646" s="4">
        <f>C646</f>
        <v/>
      </c>
      <c r="S646" s="4">
        <f>D646</f>
        <v/>
      </c>
      <c r="T646" s="4">
        <f>E646&amp;"/"&amp;E647</f>
        <v/>
      </c>
      <c r="U646" s="4">
        <f>F646&amp;"-"&amp;G646&amp;"-"&amp;F646</f>
        <v/>
      </c>
      <c r="V646" s="4">
        <f>IF($M$646="","",$M$646)</f>
        <v/>
      </c>
      <c r="W646" s="4">
        <f>IF($O$646="","",$O$646)</f>
        <v/>
      </c>
      <c r="X646" s="4">
        <f>J646</f>
        <v/>
      </c>
    </row>
    <row r="647">
      <c r="B647" s="4" t="n">
        <v>716</v>
      </c>
      <c r="C647" s="4" t="inlineStr">
        <is>
          <t>08/09/2026</t>
        </is>
      </c>
      <c r="D647" s="4" t="inlineStr">
        <is>
          <t>martes</t>
        </is>
      </c>
      <c r="E647" s="4" t="n">
        <v>2014</v>
      </c>
      <c r="F647" s="4" t="inlineStr">
        <is>
          <t>CUZ</t>
        </is>
      </c>
      <c r="G647" s="4" t="inlineStr">
        <is>
          <t>LIM</t>
        </is>
      </c>
      <c r="H647" s="4" t="inlineStr">
        <is>
          <t>10:40:00</t>
        </is>
      </c>
      <c r="I647" s="4" t="inlineStr">
        <is>
          <t>12:15:00</t>
        </is>
      </c>
      <c r="J647" s="4" t="n">
        <v>319</v>
      </c>
      <c r="K647">
        <f>TEXT(TIMEVALUE(H647)-TIMEVALUE(I646)+(TIMEVALUE(H647)&lt;TIMEVALUE(I646)),"[h]:mm")</f>
        <v/>
      </c>
      <c r="L647" s="4" t="inlineStr">
        <is>
          <t>01:35:00</t>
        </is>
      </c>
      <c r="O647">
        <f>"LIM-"&amp;G646&amp;"-LIM   LA "&amp;E646&amp;" ("&amp;LEFT(H646,5)&amp;"-"&amp;LEFT(I646,5)&amp;" hrs)  /  LA "&amp;E647&amp;" ("&amp;LEFT(H647,5)&amp;"-"&amp;LEFT(I647,5)&amp;" hrs)"</f>
        <v/>
      </c>
    </row>
    <row r="648">
      <c r="B648" s="4" t="n">
        <v>737</v>
      </c>
      <c r="C648" s="4" t="inlineStr">
        <is>
          <t>08/09/2026</t>
        </is>
      </c>
      <c r="D648" s="4" t="inlineStr">
        <is>
          <t>martes</t>
        </is>
      </c>
      <c r="E648" s="4" t="n">
        <v>2234</v>
      </c>
      <c r="F648" s="4" t="inlineStr">
        <is>
          <t>LIM</t>
        </is>
      </c>
      <c r="G648" s="4" t="inlineStr">
        <is>
          <t>IQT</t>
        </is>
      </c>
      <c r="H648" s="4" t="inlineStr">
        <is>
          <t>13:35:00</t>
        </is>
      </c>
      <c r="I648" s="4" t="inlineStr">
        <is>
          <t>15:25:00</t>
        </is>
      </c>
      <c r="J648" s="4" t="n">
        <v>320</v>
      </c>
      <c r="K648" s="7">
        <f>TEXT(TIMEVALUE(H648)-TIMEVALUE(I647)+(TIMEVALUE(H648)&lt;TIMEVALUE(I647)),"[h]:mm")</f>
        <v/>
      </c>
      <c r="L648" s="4" t="inlineStr">
        <is>
          <t>01:50:00</t>
        </is>
      </c>
      <c r="M648">
        <f>IF($M$646="","",$M$646)</f>
        <v/>
      </c>
      <c r="O648">
        <f>IF($O$646="","",$O$646)</f>
        <v/>
      </c>
      <c r="Q648" s="4">
        <f>B648</f>
        <v/>
      </c>
      <c r="R648" s="4">
        <f>C648</f>
        <v/>
      </c>
      <c r="S648" s="4">
        <f>D648</f>
        <v/>
      </c>
      <c r="T648" s="4">
        <f>E648&amp;"/"&amp;E649</f>
        <v/>
      </c>
      <c r="U648" s="4">
        <f>F648&amp;"-"&amp;G648&amp;"-"&amp;F648</f>
        <v/>
      </c>
      <c r="V648" s="4">
        <f>IF($M$646="","",$M$646)</f>
        <v/>
      </c>
      <c r="W648" s="4">
        <f>IF($O$646="","",$O$646)</f>
        <v/>
      </c>
      <c r="X648" s="4">
        <f>J648</f>
        <v/>
      </c>
    </row>
    <row r="649">
      <c r="B649" s="4" t="n">
        <v>737</v>
      </c>
      <c r="C649" s="4" t="inlineStr">
        <is>
          <t>08/09/2026</t>
        </is>
      </c>
      <c r="D649" s="4" t="inlineStr">
        <is>
          <t>martes</t>
        </is>
      </c>
      <c r="E649" s="4" t="n">
        <v>2235</v>
      </c>
      <c r="F649" s="4" t="inlineStr">
        <is>
          <t>IQT</t>
        </is>
      </c>
      <c r="G649" s="4" t="inlineStr">
        <is>
          <t>LIM</t>
        </is>
      </c>
      <c r="H649" s="4" t="inlineStr">
        <is>
          <t>16:05:00</t>
        </is>
      </c>
      <c r="I649" s="4" t="inlineStr">
        <is>
          <t>17:55:00</t>
        </is>
      </c>
      <c r="J649" s="4" t="n">
        <v>320</v>
      </c>
      <c r="K649">
        <f>TEXT(TIMEVALUE(H649)-TIMEVALUE(I648)+(TIMEVALUE(H649)&lt;TIMEVALUE(I648)),"[h]:mm")</f>
        <v/>
      </c>
      <c r="L649" s="4" t="inlineStr">
        <is>
          <t>01:50:00</t>
        </is>
      </c>
      <c r="O649">
        <f>"LIM-"&amp;G648&amp;"-LIM   LA "&amp;E648&amp;" ("&amp;LEFT(H648,5)&amp;"-"&amp;LEFT(I648,5)&amp;" hrs)  /  LA "&amp;E649&amp;" ("&amp;LEFT(H649,5)&amp;"-"&amp;LEFT(I649,5)&amp;" hrs)"</f>
        <v/>
      </c>
    </row>
    <row r="650">
      <c r="J650" s="8" t="inlineStr">
        <is>
          <t>PSV total:</t>
        </is>
      </c>
      <c r="K650" s="9">
        <f>TEXT(TIMEVALUE(I649)-TIMEVALUE(H646)+(I649&lt;H646),"[h]:mm")</f>
        <v/>
      </c>
    </row>
    <row r="652">
      <c r="B652" s="3" t="inlineStr">
        <is>
          <t>Pairing ID</t>
        </is>
      </c>
      <c r="C652" s="3" t="inlineStr">
        <is>
          <t>FECHA REAL</t>
        </is>
      </c>
      <c r="D652" s="3" t="inlineStr">
        <is>
          <t>Day of Week</t>
        </is>
      </c>
      <c r="E652" s="3" t="inlineStr">
        <is>
          <t>Flight No</t>
        </is>
      </c>
      <c r="F652" s="3" t="inlineStr">
        <is>
          <t>Dep Stn</t>
        </is>
      </c>
      <c r="G652" s="3" t="inlineStr">
        <is>
          <t>Arr Stn</t>
        </is>
      </c>
      <c r="H652" s="3" t="inlineStr">
        <is>
          <t>STD</t>
        </is>
      </c>
      <c r="I652" s="3" t="inlineStr">
        <is>
          <t>STA</t>
        </is>
      </c>
      <c r="J652" s="3" t="inlineStr">
        <is>
          <t>subflota</t>
        </is>
      </c>
      <c r="K652" s="3" t="inlineStr">
        <is>
          <t>Conexion</t>
        </is>
      </c>
      <c r="L652" s="3" t="inlineStr">
        <is>
          <t>HBT</t>
        </is>
      </c>
    </row>
    <row r="653">
      <c r="B653" s="4" t="n">
        <v>723</v>
      </c>
      <c r="C653" s="4" t="inlineStr">
        <is>
          <t>08/09/2026</t>
        </is>
      </c>
      <c r="D653" s="4" t="inlineStr">
        <is>
          <t>martes</t>
        </is>
      </c>
      <c r="E653" s="4" t="n">
        <v>2015</v>
      </c>
      <c r="F653" s="4" t="inlineStr">
        <is>
          <t>LIM</t>
        </is>
      </c>
      <c r="G653" s="4" t="inlineStr">
        <is>
          <t>PIU</t>
        </is>
      </c>
      <c r="H653" s="4" t="inlineStr">
        <is>
          <t>10:55:00</t>
        </is>
      </c>
      <c r="I653" s="4" t="inlineStr">
        <is>
          <t>12:40:00</t>
        </is>
      </c>
      <c r="J653" s="4" t="n">
        <v>320</v>
      </c>
      <c r="L653" s="4" t="inlineStr">
        <is>
          <t>01:45:00</t>
        </is>
      </c>
      <c r="M653" s="5" t="n"/>
      <c r="N653" s="6" t="n"/>
      <c r="O653" s="5" t="n"/>
      <c r="Q653" s="4">
        <f>B653</f>
        <v/>
      </c>
      <c r="R653" s="4">
        <f>C653</f>
        <v/>
      </c>
      <c r="S653" s="4">
        <f>D653</f>
        <v/>
      </c>
      <c r="T653" s="4">
        <f>E653&amp;"/"&amp;E654</f>
        <v/>
      </c>
      <c r="U653" s="4">
        <f>F653&amp;"-"&amp;G653&amp;"-"&amp;F653</f>
        <v/>
      </c>
      <c r="V653" s="4">
        <f>IF($M$653="","",$M$653)</f>
        <v/>
      </c>
      <c r="W653" s="4">
        <f>IF($O$653="","",$O$653)</f>
        <v/>
      </c>
      <c r="X653" s="4">
        <f>J653</f>
        <v/>
      </c>
    </row>
    <row r="654">
      <c r="B654" s="4" t="n">
        <v>723</v>
      </c>
      <c r="C654" s="4" t="inlineStr">
        <is>
          <t>08/09/2026</t>
        </is>
      </c>
      <c r="D654" s="4" t="inlineStr">
        <is>
          <t>martes</t>
        </is>
      </c>
      <c r="E654" s="4" t="n">
        <v>2016</v>
      </c>
      <c r="F654" s="4" t="inlineStr">
        <is>
          <t>PIU</t>
        </is>
      </c>
      <c r="G654" s="4" t="inlineStr">
        <is>
          <t>LIM</t>
        </is>
      </c>
      <c r="H654" s="4" t="inlineStr">
        <is>
          <t>13:20:00</t>
        </is>
      </c>
      <c r="I654" s="4" t="inlineStr">
        <is>
          <t>14:55:00</t>
        </is>
      </c>
      <c r="J654" s="4" t="n">
        <v>320</v>
      </c>
      <c r="K654">
        <f>TEXT(TIMEVALUE(H654)-TIMEVALUE(I653)+(TIMEVALUE(H654)&lt;TIMEVALUE(I653)),"[h]:mm")</f>
        <v/>
      </c>
      <c r="L654" s="4" t="inlineStr">
        <is>
          <t>01:35:00</t>
        </is>
      </c>
      <c r="O654">
        <f>"LIM-"&amp;G653&amp;"-LIM   LA "&amp;E653&amp;" ("&amp;LEFT(H653,5)&amp;"-"&amp;LEFT(I653,5)&amp;" hrs)  /  LA "&amp;E654&amp;" ("&amp;LEFT(H654,5)&amp;"-"&amp;LEFT(I654,5)&amp;" hrs)"</f>
        <v/>
      </c>
    </row>
    <row r="655">
      <c r="J655" s="8" t="inlineStr">
        <is>
          <t>PSV total:</t>
        </is>
      </c>
      <c r="K655" s="9">
        <f>TEXT(TIMEVALUE(I654)-TIMEVALUE(H653)+(I654&lt;H653),"[h]:mm")</f>
        <v/>
      </c>
    </row>
    <row r="657">
      <c r="B657" s="3" t="inlineStr">
        <is>
          <t>Pairing ID</t>
        </is>
      </c>
      <c r="C657" s="3" t="inlineStr">
        <is>
          <t>FECHA REAL</t>
        </is>
      </c>
      <c r="D657" s="3" t="inlineStr">
        <is>
          <t>Day of Week</t>
        </is>
      </c>
      <c r="E657" s="3" t="inlineStr">
        <is>
          <t>Flight No</t>
        </is>
      </c>
      <c r="F657" s="3" t="inlineStr">
        <is>
          <t>Dep Stn</t>
        </is>
      </c>
      <c r="G657" s="3" t="inlineStr">
        <is>
          <t>Arr Stn</t>
        </is>
      </c>
      <c r="H657" s="3" t="inlineStr">
        <is>
          <t>STD</t>
        </is>
      </c>
      <c r="I657" s="3" t="inlineStr">
        <is>
          <t>STA</t>
        </is>
      </c>
      <c r="J657" s="3" t="inlineStr">
        <is>
          <t>subflota</t>
        </is>
      </c>
      <c r="K657" s="3" t="inlineStr">
        <is>
          <t>Conexion</t>
        </is>
      </c>
      <c r="L657" s="3" t="inlineStr">
        <is>
          <t>HBT</t>
        </is>
      </c>
    </row>
    <row r="658">
      <c r="B658" s="4" t="n">
        <v>725</v>
      </c>
      <c r="C658" s="4" t="inlineStr">
        <is>
          <t>08/09/2026</t>
        </is>
      </c>
      <c r="D658" s="4" t="inlineStr">
        <is>
          <t>martes</t>
        </is>
      </c>
      <c r="E658" s="4" t="n">
        <v>2019</v>
      </c>
      <c r="F658" s="4" t="inlineStr">
        <is>
          <t>LIM</t>
        </is>
      </c>
      <c r="G658" s="4" t="inlineStr">
        <is>
          <t>IQT</t>
        </is>
      </c>
      <c r="H658" s="4" t="inlineStr">
        <is>
          <t>11:35:00</t>
        </is>
      </c>
      <c r="I658" s="4" t="inlineStr">
        <is>
          <t>13:25:00</t>
        </is>
      </c>
      <c r="J658" s="4" t="n">
        <v>320</v>
      </c>
      <c r="L658" s="4" t="inlineStr">
        <is>
          <t>01:50:00</t>
        </is>
      </c>
      <c r="M658" s="5" t="n"/>
      <c r="N658" s="6" t="n"/>
      <c r="O658" s="5" t="n"/>
      <c r="Q658" s="4">
        <f>B658</f>
        <v/>
      </c>
      <c r="R658" s="4">
        <f>C658</f>
        <v/>
      </c>
      <c r="S658" s="4">
        <f>D658</f>
        <v/>
      </c>
      <c r="T658" s="4">
        <f>E658&amp;"/"&amp;E659</f>
        <v/>
      </c>
      <c r="U658" s="4">
        <f>F658&amp;"-"&amp;G658&amp;"-"&amp;F658</f>
        <v/>
      </c>
      <c r="V658" s="4">
        <f>IF($M$658="","",$M$658)</f>
        <v/>
      </c>
      <c r="W658" s="4">
        <f>IF($O$658="","",$O$658)</f>
        <v/>
      </c>
      <c r="X658" s="4">
        <f>J658</f>
        <v/>
      </c>
    </row>
    <row r="659">
      <c r="B659" s="4" t="n">
        <v>725</v>
      </c>
      <c r="C659" s="4" t="inlineStr">
        <is>
          <t>08/09/2026</t>
        </is>
      </c>
      <c r="D659" s="4" t="inlineStr">
        <is>
          <t>martes</t>
        </is>
      </c>
      <c r="E659" s="4" t="n">
        <v>2038</v>
      </c>
      <c r="F659" s="4" t="inlineStr">
        <is>
          <t>IQT</t>
        </is>
      </c>
      <c r="G659" s="4" t="inlineStr">
        <is>
          <t>LIM</t>
        </is>
      </c>
      <c r="H659" s="4" t="inlineStr">
        <is>
          <t>14:05:00</t>
        </is>
      </c>
      <c r="I659" s="4" t="inlineStr">
        <is>
          <t>15:55:00</t>
        </is>
      </c>
      <c r="J659" s="4" t="n">
        <v>320</v>
      </c>
      <c r="K659">
        <f>TEXT(TIMEVALUE(H659)-TIMEVALUE(I658)+(TIMEVALUE(H659)&lt;TIMEVALUE(I658)),"[h]:mm")</f>
        <v/>
      </c>
      <c r="L659" s="4" t="inlineStr">
        <is>
          <t>01:50:00</t>
        </is>
      </c>
      <c r="O659">
        <f>"LIM-"&amp;G658&amp;"-LIM   LA "&amp;E658&amp;" ("&amp;LEFT(H658,5)&amp;"-"&amp;LEFT(I658,5)&amp;" hrs)  /  LA "&amp;E659&amp;" ("&amp;LEFT(H659,5)&amp;"-"&amp;LEFT(I659,5)&amp;" hrs)"</f>
        <v/>
      </c>
    </row>
    <row r="660">
      <c r="B660" s="4" t="n">
        <v>756</v>
      </c>
      <c r="C660" s="4" t="inlineStr">
        <is>
          <t>08/09/2026</t>
        </is>
      </c>
      <c r="D660" s="4" t="inlineStr">
        <is>
          <t>martes</t>
        </is>
      </c>
      <c r="E660" s="4" t="n">
        <v>2115</v>
      </c>
      <c r="F660" s="4" t="inlineStr">
        <is>
          <t>LIM</t>
        </is>
      </c>
      <c r="G660" s="4" t="inlineStr">
        <is>
          <t>AQP</t>
        </is>
      </c>
      <c r="H660" s="4" t="inlineStr">
        <is>
          <t>17:15:00</t>
        </is>
      </c>
      <c r="I660" s="4" t="inlineStr">
        <is>
          <t>18:45:00</t>
        </is>
      </c>
      <c r="J660" s="4" t="n">
        <v>320</v>
      </c>
      <c r="K660" s="7">
        <f>TEXT(TIMEVALUE(H660)-TIMEVALUE(I659)+(TIMEVALUE(H660)&lt;TIMEVALUE(I659)),"[h]:mm")</f>
        <v/>
      </c>
      <c r="L660" s="4" t="inlineStr">
        <is>
          <t>01:30:00</t>
        </is>
      </c>
      <c r="M660">
        <f>IF($M$658="","",$M$658)</f>
        <v/>
      </c>
      <c r="O660">
        <f>IF($O$658="","",$O$658)</f>
        <v/>
      </c>
      <c r="Q660" s="4">
        <f>B660</f>
        <v/>
      </c>
      <c r="R660" s="4">
        <f>C660</f>
        <v/>
      </c>
      <c r="S660" s="4">
        <f>D660</f>
        <v/>
      </c>
      <c r="T660" s="4">
        <f>E660&amp;"/"&amp;E661</f>
        <v/>
      </c>
      <c r="U660" s="4">
        <f>F660&amp;"-"&amp;G660&amp;"-"&amp;F660</f>
        <v/>
      </c>
      <c r="V660" s="4">
        <f>IF($M$658="","",$M$658)</f>
        <v/>
      </c>
      <c r="W660" s="4">
        <f>IF($O$658="","",$O$658)</f>
        <v/>
      </c>
      <c r="X660" s="4">
        <f>J660</f>
        <v/>
      </c>
    </row>
    <row r="661">
      <c r="B661" s="4" t="n">
        <v>756</v>
      </c>
      <c r="C661" s="4" t="inlineStr">
        <is>
          <t>08/09/2026</t>
        </is>
      </c>
      <c r="D661" s="4" t="inlineStr">
        <is>
          <t>martes</t>
        </is>
      </c>
      <c r="E661" s="4" t="n">
        <v>2114</v>
      </c>
      <c r="F661" s="4" t="inlineStr">
        <is>
          <t>AQP</t>
        </is>
      </c>
      <c r="G661" s="4" t="inlineStr">
        <is>
          <t>LIM</t>
        </is>
      </c>
      <c r="H661" s="4" t="inlineStr">
        <is>
          <t>19:20:00</t>
        </is>
      </c>
      <c r="I661" s="4" t="inlineStr">
        <is>
          <t>20:55:00</t>
        </is>
      </c>
      <c r="J661" s="4" t="n">
        <v>320</v>
      </c>
      <c r="K661">
        <f>TEXT(TIMEVALUE(H661)-TIMEVALUE(I660)+(TIMEVALUE(H661)&lt;TIMEVALUE(I660)),"[h]:mm")</f>
        <v/>
      </c>
      <c r="L661" s="4" t="inlineStr">
        <is>
          <t>01:35:00</t>
        </is>
      </c>
      <c r="O661">
        <f>"LIM-"&amp;G660&amp;"-LIM   LA "&amp;E660&amp;" ("&amp;LEFT(H660,5)&amp;"-"&amp;LEFT(I660,5)&amp;" hrs)  /  LA "&amp;E661&amp;" ("&amp;LEFT(H661,5)&amp;"-"&amp;LEFT(I661,5)&amp;" hrs)"</f>
        <v/>
      </c>
    </row>
    <row r="662">
      <c r="J662" s="8" t="inlineStr">
        <is>
          <t>PSV total:</t>
        </is>
      </c>
      <c r="K662" s="9">
        <f>TEXT(TIMEVALUE(I661)-TIMEVALUE(H658)+(I661&lt;H658),"[h]:mm")</f>
        <v/>
      </c>
    </row>
    <row r="664">
      <c r="B664" s="3" t="inlineStr">
        <is>
          <t>Pairing ID</t>
        </is>
      </c>
      <c r="C664" s="3" t="inlineStr">
        <is>
          <t>FECHA REAL</t>
        </is>
      </c>
      <c r="D664" s="3" t="inlineStr">
        <is>
          <t>Day of Week</t>
        </is>
      </c>
      <c r="E664" s="3" t="inlineStr">
        <is>
          <t>Flight No</t>
        </is>
      </c>
      <c r="F664" s="3" t="inlineStr">
        <is>
          <t>Dep Stn</t>
        </is>
      </c>
      <c r="G664" s="3" t="inlineStr">
        <is>
          <t>Arr Stn</t>
        </is>
      </c>
      <c r="H664" s="3" t="inlineStr">
        <is>
          <t>STD</t>
        </is>
      </c>
      <c r="I664" s="3" t="inlineStr">
        <is>
          <t>STA</t>
        </is>
      </c>
      <c r="J664" s="3" t="inlineStr">
        <is>
          <t>subflota</t>
        </is>
      </c>
      <c r="K664" s="3" t="inlineStr">
        <is>
          <t>Conexion</t>
        </is>
      </c>
      <c r="L664" s="3" t="inlineStr">
        <is>
          <t>HBT</t>
        </is>
      </c>
    </row>
    <row r="665">
      <c r="B665" s="4" t="n">
        <v>727</v>
      </c>
      <c r="C665" s="4" t="inlineStr">
        <is>
          <t>08/09/2026</t>
        </is>
      </c>
      <c r="D665" s="4" t="inlineStr">
        <is>
          <t>martes</t>
        </is>
      </c>
      <c r="E665" s="4" t="n">
        <v>2111</v>
      </c>
      <c r="F665" s="4" t="inlineStr">
        <is>
          <t>LIM</t>
        </is>
      </c>
      <c r="G665" s="4" t="inlineStr">
        <is>
          <t>AQP</t>
        </is>
      </c>
      <c r="H665" s="4" t="inlineStr">
        <is>
          <t>11:40:00</t>
        </is>
      </c>
      <c r="I665" s="4" t="inlineStr">
        <is>
          <t>13:10:00</t>
        </is>
      </c>
      <c r="J665" s="4" t="n">
        <v>319</v>
      </c>
      <c r="L665" s="4" t="inlineStr">
        <is>
          <t>01:30:00</t>
        </is>
      </c>
      <c r="M665" s="5" t="n"/>
      <c r="N665" s="6" t="n"/>
      <c r="O665" s="5" t="n"/>
      <c r="Q665" s="4">
        <f>B665</f>
        <v/>
      </c>
      <c r="R665" s="4">
        <f>C665</f>
        <v/>
      </c>
      <c r="S665" s="4">
        <f>D665</f>
        <v/>
      </c>
      <c r="T665" s="4">
        <f>E665&amp;"/"&amp;E666</f>
        <v/>
      </c>
      <c r="U665" s="4">
        <f>F665&amp;"-"&amp;G665&amp;"-"&amp;F665</f>
        <v/>
      </c>
      <c r="V665" s="4">
        <f>IF($M$665="","",$M$665)</f>
        <v/>
      </c>
      <c r="W665" s="4">
        <f>IF($O$665="","",$O$665)</f>
        <v/>
      </c>
      <c r="X665" s="4">
        <f>J665</f>
        <v/>
      </c>
    </row>
    <row r="666">
      <c r="B666" s="4" t="n">
        <v>727</v>
      </c>
      <c r="C666" s="4" t="inlineStr">
        <is>
          <t>08/09/2026</t>
        </is>
      </c>
      <c r="D666" s="4" t="inlineStr">
        <is>
          <t>martes</t>
        </is>
      </c>
      <c r="E666" s="4" t="n">
        <v>2110</v>
      </c>
      <c r="F666" s="4" t="inlineStr">
        <is>
          <t>AQP</t>
        </is>
      </c>
      <c r="G666" s="4" t="inlineStr">
        <is>
          <t>LIM</t>
        </is>
      </c>
      <c r="H666" s="4" t="inlineStr">
        <is>
          <t>14:00:00</t>
        </is>
      </c>
      <c r="I666" s="4" t="inlineStr">
        <is>
          <t>15:40:00</t>
        </is>
      </c>
      <c r="J666" s="4" t="n">
        <v>319</v>
      </c>
      <c r="K666">
        <f>TEXT(TIMEVALUE(H666)-TIMEVALUE(I665)+(TIMEVALUE(H666)&lt;TIMEVALUE(I665)),"[h]:mm")</f>
        <v/>
      </c>
      <c r="L666" s="4" t="inlineStr">
        <is>
          <t>01:40:00</t>
        </is>
      </c>
      <c r="O666">
        <f>"LIM-"&amp;G665&amp;"-LIM   LA "&amp;E665&amp;" ("&amp;LEFT(H665,5)&amp;"-"&amp;LEFT(I665,5)&amp;" hrs)  /  LA "&amp;E666&amp;" ("&amp;LEFT(H666,5)&amp;"-"&amp;LEFT(I666,5)&amp;" hrs)"</f>
        <v/>
      </c>
    </row>
    <row r="667">
      <c r="B667" s="4" t="n">
        <v>755</v>
      </c>
      <c r="C667" s="4" t="inlineStr">
        <is>
          <t>08/09/2026</t>
        </is>
      </c>
      <c r="D667" s="4" t="inlineStr">
        <is>
          <t>martes</t>
        </is>
      </c>
      <c r="E667" s="4" t="n">
        <v>2276</v>
      </c>
      <c r="F667" s="4" t="inlineStr">
        <is>
          <t>LIM</t>
        </is>
      </c>
      <c r="G667" s="4" t="inlineStr">
        <is>
          <t>CUZ</t>
        </is>
      </c>
      <c r="H667" s="4" t="inlineStr">
        <is>
          <t>16:35:00</t>
        </is>
      </c>
      <c r="I667" s="4" t="inlineStr">
        <is>
          <t>17:55:00</t>
        </is>
      </c>
      <c r="J667" s="4" t="n">
        <v>320</v>
      </c>
      <c r="K667" s="7">
        <f>TEXT(TIMEVALUE(H667)-TIMEVALUE(I666)+(TIMEVALUE(H667)&lt;TIMEVALUE(I666)),"[h]:mm")</f>
        <v/>
      </c>
      <c r="L667" s="4" t="inlineStr">
        <is>
          <t>01:20:00</t>
        </is>
      </c>
      <c r="M667">
        <f>IF($M$665="","",$M$665)</f>
        <v/>
      </c>
      <c r="O667">
        <f>IF($O$665="","",$O$665)</f>
        <v/>
      </c>
      <c r="Q667" s="4">
        <f>B667</f>
        <v/>
      </c>
      <c r="R667" s="4">
        <f>C667</f>
        <v/>
      </c>
      <c r="S667" s="4">
        <f>D667</f>
        <v/>
      </c>
      <c r="T667" s="4">
        <f>E667&amp;"/"&amp;E668</f>
        <v/>
      </c>
      <c r="U667" s="4">
        <f>F667&amp;"-"&amp;G667&amp;"-"&amp;F667</f>
        <v/>
      </c>
      <c r="V667" s="4">
        <f>IF($M$665="","",$M$665)</f>
        <v/>
      </c>
      <c r="W667" s="4">
        <f>IF($O$665="","",$O$665)</f>
        <v/>
      </c>
      <c r="X667" s="4">
        <f>J667</f>
        <v/>
      </c>
    </row>
    <row r="668">
      <c r="B668" s="4" t="n">
        <v>755</v>
      </c>
      <c r="C668" s="4" t="inlineStr">
        <is>
          <t>08/09/2026</t>
        </is>
      </c>
      <c r="D668" s="4" t="inlineStr">
        <is>
          <t>martes</t>
        </is>
      </c>
      <c r="E668" s="4" t="n">
        <v>2277</v>
      </c>
      <c r="F668" s="4" t="inlineStr">
        <is>
          <t>CUZ</t>
        </is>
      </c>
      <c r="G668" s="4" t="inlineStr">
        <is>
          <t>LIM</t>
        </is>
      </c>
      <c r="H668" s="4" t="inlineStr">
        <is>
          <t>18:50:00</t>
        </is>
      </c>
      <c r="I668" s="4" t="inlineStr">
        <is>
          <t>20:25:00</t>
        </is>
      </c>
      <c r="J668" s="4" t="n">
        <v>320</v>
      </c>
      <c r="K668">
        <f>TEXT(TIMEVALUE(H668)-TIMEVALUE(I667)+(TIMEVALUE(H668)&lt;TIMEVALUE(I667)),"[h]:mm")</f>
        <v/>
      </c>
      <c r="L668" s="4" t="inlineStr">
        <is>
          <t>01:35:00</t>
        </is>
      </c>
      <c r="O668">
        <f>"LIM-"&amp;G667&amp;"-LIM   LA "&amp;E667&amp;" ("&amp;LEFT(H667,5)&amp;"-"&amp;LEFT(I667,5)&amp;" hrs)  /  LA "&amp;E668&amp;" ("&amp;LEFT(H668,5)&amp;"-"&amp;LEFT(I668,5)&amp;" hrs)"</f>
        <v/>
      </c>
    </row>
    <row r="669">
      <c r="J669" s="8" t="inlineStr">
        <is>
          <t>PSV total:</t>
        </is>
      </c>
      <c r="K669" s="9">
        <f>TEXT(TIMEVALUE(I668)-TIMEVALUE(H665)+(I668&lt;H665),"[h]:mm")</f>
        <v/>
      </c>
    </row>
    <row r="671">
      <c r="B671" s="3" t="inlineStr">
        <is>
          <t>Pairing ID</t>
        </is>
      </c>
      <c r="C671" s="3" t="inlineStr">
        <is>
          <t>FECHA REAL</t>
        </is>
      </c>
      <c r="D671" s="3" t="inlineStr">
        <is>
          <t>Day of Week</t>
        </is>
      </c>
      <c r="E671" s="3" t="inlineStr">
        <is>
          <t>Flight No</t>
        </is>
      </c>
      <c r="F671" s="3" t="inlineStr">
        <is>
          <t>Dep Stn</t>
        </is>
      </c>
      <c r="G671" s="3" t="inlineStr">
        <is>
          <t>Arr Stn</t>
        </is>
      </c>
      <c r="H671" s="3" t="inlineStr">
        <is>
          <t>STD</t>
        </is>
      </c>
      <c r="I671" s="3" t="inlineStr">
        <is>
          <t>STA</t>
        </is>
      </c>
      <c r="J671" s="3" t="inlineStr">
        <is>
          <t>subflota</t>
        </is>
      </c>
      <c r="K671" s="3" t="inlineStr">
        <is>
          <t>Conexion</t>
        </is>
      </c>
      <c r="L671" s="3" t="inlineStr">
        <is>
          <t>HBT</t>
        </is>
      </c>
    </row>
    <row r="672">
      <c r="B672" s="4" t="n">
        <v>728</v>
      </c>
      <c r="C672" s="4" t="inlineStr">
        <is>
          <t>08/09/2026</t>
        </is>
      </c>
      <c r="D672" s="4" t="inlineStr">
        <is>
          <t>martes</t>
        </is>
      </c>
      <c r="E672" s="4" t="n">
        <v>2061</v>
      </c>
      <c r="F672" s="4" t="inlineStr">
        <is>
          <t>LIM</t>
        </is>
      </c>
      <c r="G672" s="4" t="inlineStr">
        <is>
          <t>CUZ</t>
        </is>
      </c>
      <c r="H672" s="4" t="inlineStr">
        <is>
          <t>11:40:00</t>
        </is>
      </c>
      <c r="I672" s="4" t="inlineStr">
        <is>
          <t>13:00:00</t>
        </is>
      </c>
      <c r="J672" s="4" t="n">
        <v>320</v>
      </c>
      <c r="L672" s="4" t="inlineStr">
        <is>
          <t>01:20:00</t>
        </is>
      </c>
      <c r="M672" s="5" t="n"/>
      <c r="N672" s="6" t="n"/>
      <c r="O672" s="5" t="n"/>
      <c r="Q672" s="4">
        <f>B672</f>
        <v/>
      </c>
      <c r="R672" s="4">
        <f>C672</f>
        <v/>
      </c>
      <c r="S672" s="4">
        <f>D672</f>
        <v/>
      </c>
      <c r="T672" s="4">
        <f>E672&amp;"/"&amp;E673</f>
        <v/>
      </c>
      <c r="U672" s="4">
        <f>F672&amp;"-"&amp;G672&amp;"-"&amp;F672</f>
        <v/>
      </c>
      <c r="V672" s="4">
        <f>IF($M$672="","",$M$672)</f>
        <v/>
      </c>
      <c r="W672" s="4">
        <f>IF($O$672="","",$O$672)</f>
        <v/>
      </c>
      <c r="X672" s="4">
        <f>J672</f>
        <v/>
      </c>
    </row>
    <row r="673">
      <c r="B673" s="4" t="n">
        <v>728</v>
      </c>
      <c r="C673" s="4" t="inlineStr">
        <is>
          <t>08/09/2026</t>
        </is>
      </c>
      <c r="D673" s="4" t="inlineStr">
        <is>
          <t>martes</t>
        </is>
      </c>
      <c r="E673" s="4" t="n">
        <v>2062</v>
      </c>
      <c r="F673" s="4" t="inlineStr">
        <is>
          <t>CUZ</t>
        </is>
      </c>
      <c r="G673" s="4" t="inlineStr">
        <is>
          <t>LIM</t>
        </is>
      </c>
      <c r="H673" s="4" t="inlineStr">
        <is>
          <t>13:40:00</t>
        </is>
      </c>
      <c r="I673" s="4" t="inlineStr">
        <is>
          <t>15:15:00</t>
        </is>
      </c>
      <c r="J673" s="4" t="n">
        <v>320</v>
      </c>
      <c r="K673">
        <f>TEXT(TIMEVALUE(H673)-TIMEVALUE(I672)+(TIMEVALUE(H673)&lt;TIMEVALUE(I672)),"[h]:mm")</f>
        <v/>
      </c>
      <c r="L673" s="4" t="inlineStr">
        <is>
          <t>01:35:00</t>
        </is>
      </c>
      <c r="O673">
        <f>"LIM-"&amp;G672&amp;"-LIM   LA "&amp;E672&amp;" ("&amp;LEFT(H672,5)&amp;"-"&amp;LEFT(I672,5)&amp;" hrs)  /  LA "&amp;E673&amp;" ("&amp;LEFT(H673,5)&amp;"-"&amp;LEFT(I673,5)&amp;" hrs)"</f>
        <v/>
      </c>
    </row>
    <row r="674">
      <c r="J674" s="8" t="inlineStr">
        <is>
          <t>PSV total:</t>
        </is>
      </c>
      <c r="K674" s="9">
        <f>TEXT(TIMEVALUE(I673)-TIMEVALUE(H672)+(I673&lt;H672),"[h]:mm")</f>
        <v/>
      </c>
    </row>
    <row r="676">
      <c r="B676" s="3" t="inlineStr">
        <is>
          <t>Pairing ID</t>
        </is>
      </c>
      <c r="C676" s="3" t="inlineStr">
        <is>
          <t>FECHA REAL</t>
        </is>
      </c>
      <c r="D676" s="3" t="inlineStr">
        <is>
          <t>Day of Week</t>
        </is>
      </c>
      <c r="E676" s="3" t="inlineStr">
        <is>
          <t>Flight No</t>
        </is>
      </c>
      <c r="F676" s="3" t="inlineStr">
        <is>
          <t>Dep Stn</t>
        </is>
      </c>
      <c r="G676" s="3" t="inlineStr">
        <is>
          <t>Arr Stn</t>
        </is>
      </c>
      <c r="H676" s="3" t="inlineStr">
        <is>
          <t>STD</t>
        </is>
      </c>
      <c r="I676" s="3" t="inlineStr">
        <is>
          <t>STA</t>
        </is>
      </c>
      <c r="J676" s="3" t="inlineStr">
        <is>
          <t>subflota</t>
        </is>
      </c>
      <c r="K676" s="3" t="inlineStr">
        <is>
          <t>Conexion</t>
        </is>
      </c>
      <c r="L676" s="3" t="inlineStr">
        <is>
          <t>HBT</t>
        </is>
      </c>
    </row>
    <row r="677">
      <c r="B677" s="4" t="n">
        <v>733</v>
      </c>
      <c r="C677" s="4" t="inlineStr">
        <is>
          <t>08/09/2026</t>
        </is>
      </c>
      <c r="D677" s="4" t="inlineStr">
        <is>
          <t>martes</t>
        </is>
      </c>
      <c r="E677" s="4" t="n">
        <v>2308</v>
      </c>
      <c r="F677" s="4" t="inlineStr">
        <is>
          <t>LIM</t>
        </is>
      </c>
      <c r="G677" s="4" t="inlineStr">
        <is>
          <t>PIU</t>
        </is>
      </c>
      <c r="H677" s="4" t="inlineStr">
        <is>
          <t>12:50:00</t>
        </is>
      </c>
      <c r="I677" s="4" t="inlineStr">
        <is>
          <t>14:35:00</t>
        </is>
      </c>
      <c r="J677" s="4" t="n">
        <v>320</v>
      </c>
      <c r="L677" s="4" t="inlineStr">
        <is>
          <t>01:45:00</t>
        </is>
      </c>
      <c r="M677" s="5" t="n"/>
      <c r="N677" s="6" t="n"/>
      <c r="O677" s="5" t="n"/>
      <c r="Q677" s="4">
        <f>B677</f>
        <v/>
      </c>
      <c r="R677" s="4">
        <f>C677</f>
        <v/>
      </c>
      <c r="S677" s="4">
        <f>D677</f>
        <v/>
      </c>
      <c r="T677" s="4">
        <f>E677&amp;"/"&amp;E678</f>
        <v/>
      </c>
      <c r="U677" s="4">
        <f>F677&amp;"-"&amp;G677&amp;"-"&amp;F677</f>
        <v/>
      </c>
      <c r="V677" s="4">
        <f>IF($M$677="","",$M$677)</f>
        <v/>
      </c>
      <c r="W677" s="4">
        <f>IF($O$677="","",$O$677)</f>
        <v/>
      </c>
      <c r="X677" s="4">
        <f>J677</f>
        <v/>
      </c>
    </row>
    <row r="678">
      <c r="B678" s="4" t="n">
        <v>733</v>
      </c>
      <c r="C678" s="4" t="inlineStr">
        <is>
          <t>08/09/2026</t>
        </is>
      </c>
      <c r="D678" s="4" t="inlineStr">
        <is>
          <t>martes</t>
        </is>
      </c>
      <c r="E678" s="4" t="n">
        <v>2309</v>
      </c>
      <c r="F678" s="4" t="inlineStr">
        <is>
          <t>PIU</t>
        </is>
      </c>
      <c r="G678" s="4" t="inlineStr">
        <is>
          <t>LIM</t>
        </is>
      </c>
      <c r="H678" s="4" t="inlineStr">
        <is>
          <t>15:25:00</t>
        </is>
      </c>
      <c r="I678" s="4" t="inlineStr">
        <is>
          <t>16:55:00</t>
        </is>
      </c>
      <c r="J678" s="4" t="n">
        <v>320</v>
      </c>
      <c r="K678">
        <f>TEXT(TIMEVALUE(H678)-TIMEVALUE(I677)+(TIMEVALUE(H678)&lt;TIMEVALUE(I677)),"[h]:mm")</f>
        <v/>
      </c>
      <c r="L678" s="4" t="inlineStr">
        <is>
          <t>01:30:00</t>
        </is>
      </c>
      <c r="O678">
        <f>"LIM-"&amp;G677&amp;"-LIM   LA "&amp;E677&amp;" ("&amp;LEFT(H677,5)&amp;"-"&amp;LEFT(I677,5)&amp;" hrs)  /  LA "&amp;E678&amp;" ("&amp;LEFT(H678,5)&amp;"-"&amp;LEFT(I678,5)&amp;" hrs)"</f>
        <v/>
      </c>
    </row>
    <row r="679">
      <c r="B679" s="4" t="n">
        <v>758</v>
      </c>
      <c r="C679" s="4" t="inlineStr">
        <is>
          <t>08/09/2026</t>
        </is>
      </c>
      <c r="D679" s="4" t="inlineStr">
        <is>
          <t>martes</t>
        </is>
      </c>
      <c r="E679" s="4" t="n">
        <v>2039</v>
      </c>
      <c r="F679" s="4" t="inlineStr">
        <is>
          <t>LIM</t>
        </is>
      </c>
      <c r="G679" s="4" t="inlineStr">
        <is>
          <t>PCL</t>
        </is>
      </c>
      <c r="H679" s="4" t="inlineStr">
        <is>
          <t>18:15:00</t>
        </is>
      </c>
      <c r="I679" s="4" t="inlineStr">
        <is>
          <t>19:30:00</t>
        </is>
      </c>
      <c r="J679" s="4" t="n">
        <v>320</v>
      </c>
      <c r="K679" s="7">
        <f>TEXT(TIMEVALUE(H679)-TIMEVALUE(I678)+(TIMEVALUE(H679)&lt;TIMEVALUE(I678)),"[h]:mm")</f>
        <v/>
      </c>
      <c r="L679" s="4" t="inlineStr">
        <is>
          <t>01:15:00</t>
        </is>
      </c>
      <c r="M679">
        <f>IF($M$677="","",$M$677)</f>
        <v/>
      </c>
      <c r="O679">
        <f>IF($O$677="","",$O$677)</f>
        <v/>
      </c>
      <c r="Q679" s="4">
        <f>B679</f>
        <v/>
      </c>
      <c r="R679" s="4">
        <f>C679</f>
        <v/>
      </c>
      <c r="S679" s="4">
        <f>D679</f>
        <v/>
      </c>
      <c r="T679" s="4">
        <f>E679&amp;"/"&amp;E680</f>
        <v/>
      </c>
      <c r="U679" s="4">
        <f>F679&amp;"-"&amp;G679&amp;"-"&amp;F679</f>
        <v/>
      </c>
      <c r="V679" s="4">
        <f>IF($M$677="","",$M$677)</f>
        <v/>
      </c>
      <c r="W679" s="4">
        <f>IF($O$677="","",$O$677)</f>
        <v/>
      </c>
      <c r="X679" s="4">
        <f>J679</f>
        <v/>
      </c>
    </row>
    <row r="680">
      <c r="B680" s="4" t="n">
        <v>758</v>
      </c>
      <c r="C680" s="4" t="inlineStr">
        <is>
          <t>08/09/2026</t>
        </is>
      </c>
      <c r="D680" s="4" t="inlineStr">
        <is>
          <t>martes</t>
        </is>
      </c>
      <c r="E680" s="4" t="n">
        <v>2040</v>
      </c>
      <c r="F680" s="4" t="inlineStr">
        <is>
          <t>PCL</t>
        </is>
      </c>
      <c r="G680" s="4" t="inlineStr">
        <is>
          <t>LIM</t>
        </is>
      </c>
      <c r="H680" s="4" t="inlineStr">
        <is>
          <t>20:15:00</t>
        </is>
      </c>
      <c r="I680" s="4" t="inlineStr">
        <is>
          <t>21:30:00</t>
        </is>
      </c>
      <c r="J680" s="4" t="n">
        <v>320</v>
      </c>
      <c r="K680">
        <f>TEXT(TIMEVALUE(H680)-TIMEVALUE(I679)+(TIMEVALUE(H680)&lt;TIMEVALUE(I679)),"[h]:mm")</f>
        <v/>
      </c>
      <c r="L680" s="4" t="inlineStr">
        <is>
          <t>01:15:00</t>
        </is>
      </c>
      <c r="O680">
        <f>"LIM-"&amp;G679&amp;"-LIM   LA "&amp;E679&amp;" ("&amp;LEFT(H679,5)&amp;"-"&amp;LEFT(I679,5)&amp;" hrs)  /  LA "&amp;E680&amp;" ("&amp;LEFT(H680,5)&amp;"-"&amp;LEFT(I680,5)&amp;" hrs)"</f>
        <v/>
      </c>
    </row>
    <row r="681">
      <c r="J681" s="8" t="inlineStr">
        <is>
          <t>PSV total:</t>
        </is>
      </c>
      <c r="K681" s="9">
        <f>TEXT(TIMEVALUE(I680)-TIMEVALUE(H677)+(I680&lt;H677),"[h]:mm")</f>
        <v/>
      </c>
    </row>
    <row r="683">
      <c r="B683" s="3" t="inlineStr">
        <is>
          <t>Pairing ID</t>
        </is>
      </c>
      <c r="C683" s="3" t="inlineStr">
        <is>
          <t>FECHA REAL</t>
        </is>
      </c>
      <c r="D683" s="3" t="inlineStr">
        <is>
          <t>Day of Week</t>
        </is>
      </c>
      <c r="E683" s="3" t="inlineStr">
        <is>
          <t>Flight No</t>
        </is>
      </c>
      <c r="F683" s="3" t="inlineStr">
        <is>
          <t>Dep Stn</t>
        </is>
      </c>
      <c r="G683" s="3" t="inlineStr">
        <is>
          <t>Arr Stn</t>
        </is>
      </c>
      <c r="H683" s="3" t="inlineStr">
        <is>
          <t>STD</t>
        </is>
      </c>
      <c r="I683" s="3" t="inlineStr">
        <is>
          <t>STA</t>
        </is>
      </c>
      <c r="J683" s="3" t="inlineStr">
        <is>
          <t>subflota</t>
        </is>
      </c>
      <c r="K683" s="3" t="inlineStr">
        <is>
          <t>Conexion</t>
        </is>
      </c>
      <c r="L683" s="3" t="inlineStr">
        <is>
          <t>HBT</t>
        </is>
      </c>
    </row>
    <row r="684">
      <c r="B684" s="4" t="n">
        <v>740</v>
      </c>
      <c r="C684" s="4" t="inlineStr">
        <is>
          <t>08/09/2026</t>
        </is>
      </c>
      <c r="D684" s="4" t="inlineStr">
        <is>
          <t>martes</t>
        </is>
      </c>
      <c r="E684" s="4" t="n">
        <v>2087</v>
      </c>
      <c r="F684" s="4" t="inlineStr">
        <is>
          <t>LIM</t>
        </is>
      </c>
      <c r="G684" s="4" t="inlineStr">
        <is>
          <t>TPP</t>
        </is>
      </c>
      <c r="H684" s="4" t="inlineStr">
        <is>
          <t>14:05:00</t>
        </is>
      </c>
      <c r="I684" s="4" t="inlineStr">
        <is>
          <t>15:30:00</t>
        </is>
      </c>
      <c r="J684" s="4" t="n">
        <v>320</v>
      </c>
      <c r="L684" s="4" t="inlineStr">
        <is>
          <t>01:25:00</t>
        </is>
      </c>
      <c r="M684" s="5" t="n"/>
      <c r="N684" s="6" t="n"/>
      <c r="O684" s="5" t="n"/>
      <c r="Q684" s="4">
        <f>B684</f>
        <v/>
      </c>
      <c r="R684" s="4">
        <f>C684</f>
        <v/>
      </c>
      <c r="S684" s="4">
        <f>D684</f>
        <v/>
      </c>
      <c r="T684" s="4">
        <f>E684&amp;"/"&amp;E685</f>
        <v/>
      </c>
      <c r="U684" s="4">
        <f>F684&amp;"-"&amp;G684&amp;"-"&amp;F684</f>
        <v/>
      </c>
      <c r="V684" s="4">
        <f>IF($M$684="","",$M$684)</f>
        <v/>
      </c>
      <c r="W684" s="4">
        <f>IF($O$684="","",$O$684)</f>
        <v/>
      </c>
      <c r="X684" s="4">
        <f>J684</f>
        <v/>
      </c>
    </row>
    <row r="685">
      <c r="B685" s="4" t="n">
        <v>740</v>
      </c>
      <c r="C685" s="4" t="inlineStr">
        <is>
          <t>08/09/2026</t>
        </is>
      </c>
      <c r="D685" s="4" t="inlineStr">
        <is>
          <t>martes</t>
        </is>
      </c>
      <c r="E685" s="4" t="n">
        <v>2088</v>
      </c>
      <c r="F685" s="4" t="inlineStr">
        <is>
          <t>TPP</t>
        </is>
      </c>
      <c r="G685" s="4" t="inlineStr">
        <is>
          <t>LIM</t>
        </is>
      </c>
      <c r="H685" s="4" t="inlineStr">
        <is>
          <t>16:05:00</t>
        </is>
      </c>
      <c r="I685" s="4" t="inlineStr">
        <is>
          <t>17:30:00</t>
        </is>
      </c>
      <c r="J685" s="4" t="n">
        <v>320</v>
      </c>
      <c r="K685">
        <f>TEXT(TIMEVALUE(H685)-TIMEVALUE(I684)+(TIMEVALUE(H685)&lt;TIMEVALUE(I684)),"[h]:mm")</f>
        <v/>
      </c>
      <c r="L685" s="4" t="inlineStr">
        <is>
          <t>01:25:00</t>
        </is>
      </c>
      <c r="O685">
        <f>"LIM-"&amp;G684&amp;"-LIM   LA "&amp;E684&amp;" ("&amp;LEFT(H684,5)&amp;"-"&amp;LEFT(I684,5)&amp;" hrs)  /  LA "&amp;E685&amp;" ("&amp;LEFT(H685,5)&amp;"-"&amp;LEFT(I685,5)&amp;" hrs)"</f>
        <v/>
      </c>
    </row>
    <row r="686">
      <c r="J686" s="8" t="inlineStr">
        <is>
          <t>PSV total:</t>
        </is>
      </c>
      <c r="K686" s="9">
        <f>TEXT(TIMEVALUE(I685)-TIMEVALUE(H684)+(I685&lt;H684),"[h]:mm")</f>
        <v/>
      </c>
    </row>
    <row r="688">
      <c r="B688" s="3" t="inlineStr">
        <is>
          <t>Pairing ID</t>
        </is>
      </c>
      <c r="C688" s="3" t="inlineStr">
        <is>
          <t>FECHA REAL</t>
        </is>
      </c>
      <c r="D688" s="3" t="inlineStr">
        <is>
          <t>Day of Week</t>
        </is>
      </c>
      <c r="E688" s="3" t="inlineStr">
        <is>
          <t>Flight No</t>
        </is>
      </c>
      <c r="F688" s="3" t="inlineStr">
        <is>
          <t>Dep Stn</t>
        </is>
      </c>
      <c r="G688" s="3" t="inlineStr">
        <is>
          <t>Arr Stn</t>
        </is>
      </c>
      <c r="H688" s="3" t="inlineStr">
        <is>
          <t>STD</t>
        </is>
      </c>
      <c r="I688" s="3" t="inlineStr">
        <is>
          <t>STA</t>
        </is>
      </c>
      <c r="J688" s="3" t="inlineStr">
        <is>
          <t>subflota</t>
        </is>
      </c>
      <c r="K688" s="3" t="inlineStr">
        <is>
          <t>Conexion</t>
        </is>
      </c>
      <c r="L688" s="3" t="inlineStr">
        <is>
          <t>HBT</t>
        </is>
      </c>
    </row>
    <row r="689">
      <c r="B689" s="4" t="n">
        <v>741</v>
      </c>
      <c r="C689" s="4" t="inlineStr">
        <is>
          <t>08/09/2026</t>
        </is>
      </c>
      <c r="D689" s="4" t="inlineStr">
        <is>
          <t>martes</t>
        </is>
      </c>
      <c r="E689" s="4" t="n">
        <v>2295</v>
      </c>
      <c r="F689" s="4" t="inlineStr">
        <is>
          <t>LIM</t>
        </is>
      </c>
      <c r="G689" s="4" t="inlineStr">
        <is>
          <t>CJA</t>
        </is>
      </c>
      <c r="H689" s="4" t="inlineStr">
        <is>
          <t>14:10:00</t>
        </is>
      </c>
      <c r="I689" s="4" t="inlineStr">
        <is>
          <t>15:30:00</t>
        </is>
      </c>
      <c r="J689" s="4" t="n">
        <v>319</v>
      </c>
      <c r="L689" s="4" t="inlineStr">
        <is>
          <t>01:20:00</t>
        </is>
      </c>
      <c r="M689" s="5" t="n"/>
      <c r="N689" s="6" t="n"/>
      <c r="O689" s="5" t="n"/>
      <c r="Q689" s="4">
        <f>B689</f>
        <v/>
      </c>
      <c r="R689" s="4">
        <f>C689</f>
        <v/>
      </c>
      <c r="S689" s="4">
        <f>D689</f>
        <v/>
      </c>
      <c r="T689" s="4">
        <f>E689&amp;"/"&amp;E690</f>
        <v/>
      </c>
      <c r="U689" s="4">
        <f>F689&amp;"-"&amp;G689&amp;"-"&amp;F689</f>
        <v/>
      </c>
      <c r="V689" s="4">
        <f>IF($M$689="","",$M$689)</f>
        <v/>
      </c>
      <c r="W689" s="4">
        <f>IF($O$689="","",$O$689)</f>
        <v/>
      </c>
      <c r="X689" s="4">
        <f>J689</f>
        <v/>
      </c>
    </row>
    <row r="690">
      <c r="B690" s="4" t="n">
        <v>741</v>
      </c>
      <c r="C690" s="4" t="inlineStr">
        <is>
          <t>08/09/2026</t>
        </is>
      </c>
      <c r="D690" s="4" t="inlineStr">
        <is>
          <t>martes</t>
        </is>
      </c>
      <c r="E690" s="4" t="n">
        <v>2294</v>
      </c>
      <c r="F690" s="4" t="inlineStr">
        <is>
          <t>CJA</t>
        </is>
      </c>
      <c r="G690" s="4" t="inlineStr">
        <is>
          <t>LIM</t>
        </is>
      </c>
      <c r="H690" s="4" t="inlineStr">
        <is>
          <t>16:10:00</t>
        </is>
      </c>
      <c r="I690" s="4" t="inlineStr">
        <is>
          <t>17:15:00</t>
        </is>
      </c>
      <c r="J690" s="4" t="n">
        <v>319</v>
      </c>
      <c r="K690">
        <f>TEXT(TIMEVALUE(H690)-TIMEVALUE(I689)+(TIMEVALUE(H690)&lt;TIMEVALUE(I689)),"[h]:mm")</f>
        <v/>
      </c>
      <c r="L690" s="4" t="inlineStr">
        <is>
          <t>01:05:00</t>
        </is>
      </c>
      <c r="O690">
        <f>"LIM-"&amp;G689&amp;"-LIM   LA "&amp;E689&amp;" ("&amp;LEFT(H689,5)&amp;"-"&amp;LEFT(I689,5)&amp;" hrs)  /  LA "&amp;E690&amp;" ("&amp;LEFT(H690,5)&amp;"-"&amp;LEFT(I690,5)&amp;" hrs)"</f>
        <v/>
      </c>
    </row>
    <row r="691">
      <c r="J691" s="8" t="inlineStr">
        <is>
          <t>PSV total:</t>
        </is>
      </c>
      <c r="K691" s="9">
        <f>TEXT(TIMEVALUE(I690)-TIMEVALUE(H689)+(I690&lt;H689),"[h]:mm")</f>
        <v/>
      </c>
    </row>
    <row r="693">
      <c r="B693" s="3" t="inlineStr">
        <is>
          <t>Pairing ID</t>
        </is>
      </c>
      <c r="C693" s="3" t="inlineStr">
        <is>
          <t>FECHA REAL</t>
        </is>
      </c>
      <c r="D693" s="3" t="inlineStr">
        <is>
          <t>Day of Week</t>
        </is>
      </c>
      <c r="E693" s="3" t="inlineStr">
        <is>
          <t>Flight No</t>
        </is>
      </c>
      <c r="F693" s="3" t="inlineStr">
        <is>
          <t>Dep Stn</t>
        </is>
      </c>
      <c r="G693" s="3" t="inlineStr">
        <is>
          <t>Arr Stn</t>
        </is>
      </c>
      <c r="H693" s="3" t="inlineStr">
        <is>
          <t>STD</t>
        </is>
      </c>
      <c r="I693" s="3" t="inlineStr">
        <is>
          <t>STA</t>
        </is>
      </c>
      <c r="J693" s="3" t="inlineStr">
        <is>
          <t>subflota</t>
        </is>
      </c>
      <c r="K693" s="3" t="inlineStr">
        <is>
          <t>Conexion</t>
        </is>
      </c>
      <c r="L693" s="3" t="inlineStr">
        <is>
          <t>HBT</t>
        </is>
      </c>
    </row>
    <row r="694">
      <c r="B694" s="4" t="n">
        <v>743</v>
      </c>
      <c r="C694" s="4" t="inlineStr">
        <is>
          <t>08/09/2026</t>
        </is>
      </c>
      <c r="D694" s="4" t="inlineStr">
        <is>
          <t>martes</t>
        </is>
      </c>
      <c r="E694" s="4" t="n">
        <v>2338</v>
      </c>
      <c r="F694" s="4" t="inlineStr">
        <is>
          <t>LIM</t>
        </is>
      </c>
      <c r="G694" s="4" t="inlineStr">
        <is>
          <t>PIU</t>
        </is>
      </c>
      <c r="H694" s="4" t="inlineStr">
        <is>
          <t>15:00:00</t>
        </is>
      </c>
      <c r="I694" s="4" t="inlineStr">
        <is>
          <t>16:45:00</t>
        </is>
      </c>
      <c r="J694" s="4" t="n">
        <v>320</v>
      </c>
      <c r="L694" s="4" t="inlineStr">
        <is>
          <t>01:45:00</t>
        </is>
      </c>
      <c r="M694" s="5" t="n"/>
      <c r="N694" s="6" t="n"/>
      <c r="O694" s="5" t="n"/>
      <c r="Q694" s="4">
        <f>B694</f>
        <v/>
      </c>
      <c r="R694" s="4">
        <f>C694</f>
        <v/>
      </c>
      <c r="S694" s="4">
        <f>D694</f>
        <v/>
      </c>
      <c r="T694" s="4">
        <f>E694&amp;"/"&amp;E695</f>
        <v/>
      </c>
      <c r="U694" s="4">
        <f>F694&amp;"-"&amp;G694&amp;"-"&amp;F694</f>
        <v/>
      </c>
      <c r="V694" s="4">
        <f>IF($M$694="","",$M$694)</f>
        <v/>
      </c>
      <c r="W694" s="4">
        <f>IF($O$694="","",$O$694)</f>
        <v/>
      </c>
      <c r="X694" s="4">
        <f>J694</f>
        <v/>
      </c>
    </row>
    <row r="695">
      <c r="B695" s="4" t="n">
        <v>743</v>
      </c>
      <c r="C695" s="4" t="inlineStr">
        <is>
          <t>08/09/2026</t>
        </is>
      </c>
      <c r="D695" s="4" t="inlineStr">
        <is>
          <t>martes</t>
        </is>
      </c>
      <c r="E695" s="4" t="n">
        <v>2339</v>
      </c>
      <c r="F695" s="4" t="inlineStr">
        <is>
          <t>PIU</t>
        </is>
      </c>
      <c r="G695" s="4" t="inlineStr">
        <is>
          <t>LIM</t>
        </is>
      </c>
      <c r="H695" s="4" t="inlineStr">
        <is>
          <t>17:20:00</t>
        </is>
      </c>
      <c r="I695" s="4" t="inlineStr">
        <is>
          <t>18:50:00</t>
        </is>
      </c>
      <c r="J695" s="4" t="n">
        <v>320</v>
      </c>
      <c r="K695">
        <f>TEXT(TIMEVALUE(H695)-TIMEVALUE(I694)+(TIMEVALUE(H695)&lt;TIMEVALUE(I694)),"[h]:mm")</f>
        <v/>
      </c>
      <c r="L695" s="4" t="inlineStr">
        <is>
          <t>01:30:00</t>
        </is>
      </c>
      <c r="O695">
        <f>"LIM-"&amp;G694&amp;"-LIM   LA "&amp;E694&amp;" ("&amp;LEFT(H694,5)&amp;"-"&amp;LEFT(I694,5)&amp;" hrs)  /  LA "&amp;E695&amp;" ("&amp;LEFT(H695,5)&amp;"-"&amp;LEFT(I695,5)&amp;" hrs)"</f>
        <v/>
      </c>
    </row>
    <row r="696">
      <c r="J696" s="8" t="inlineStr">
        <is>
          <t>PSV total:</t>
        </is>
      </c>
      <c r="K696" s="9">
        <f>TEXT(TIMEVALUE(I695)-TIMEVALUE(H694)+(I695&lt;H694),"[h]:mm")</f>
        <v/>
      </c>
    </row>
    <row r="698">
      <c r="B698" s="3" t="inlineStr">
        <is>
          <t>Pairing ID</t>
        </is>
      </c>
      <c r="C698" s="3" t="inlineStr">
        <is>
          <t>FECHA REAL</t>
        </is>
      </c>
      <c r="D698" s="3" t="inlineStr">
        <is>
          <t>Day of Week</t>
        </is>
      </c>
      <c r="E698" s="3" t="inlineStr">
        <is>
          <t>Flight No</t>
        </is>
      </c>
      <c r="F698" s="3" t="inlineStr">
        <is>
          <t>Dep Stn</t>
        </is>
      </c>
      <c r="G698" s="3" t="inlineStr">
        <is>
          <t>Arr Stn</t>
        </is>
      </c>
      <c r="H698" s="3" t="inlineStr">
        <is>
          <t>STD</t>
        </is>
      </c>
      <c r="I698" s="3" t="inlineStr">
        <is>
          <t>STA</t>
        </is>
      </c>
      <c r="J698" s="3" t="inlineStr">
        <is>
          <t>subflota</t>
        </is>
      </c>
      <c r="K698" s="3" t="inlineStr">
        <is>
          <t>Conexion</t>
        </is>
      </c>
      <c r="L698" s="3" t="inlineStr">
        <is>
          <t>HBT</t>
        </is>
      </c>
    </row>
    <row r="699">
      <c r="B699" s="4" t="n">
        <v>744</v>
      </c>
      <c r="C699" s="4" t="inlineStr">
        <is>
          <t>08/09/2026</t>
        </is>
      </c>
      <c r="D699" s="4" t="inlineStr">
        <is>
          <t>martes</t>
        </is>
      </c>
      <c r="E699" s="4" t="n">
        <v>2113</v>
      </c>
      <c r="F699" s="4" t="inlineStr">
        <is>
          <t>LIM</t>
        </is>
      </c>
      <c r="G699" s="4" t="inlineStr">
        <is>
          <t>AQP</t>
        </is>
      </c>
      <c r="H699" s="4" t="inlineStr">
        <is>
          <t>15:05:00</t>
        </is>
      </c>
      <c r="I699" s="4" t="inlineStr">
        <is>
          <t>16:35:00</t>
        </is>
      </c>
      <c r="J699" s="4" t="n">
        <v>320</v>
      </c>
      <c r="L699" s="4" t="inlineStr">
        <is>
          <t>01:30:00</t>
        </is>
      </c>
      <c r="M699" s="5" t="n"/>
      <c r="N699" s="6" t="n"/>
      <c r="O699" s="5" t="n"/>
      <c r="Q699" s="4">
        <f>B699</f>
        <v/>
      </c>
      <c r="R699" s="4">
        <f>C699</f>
        <v/>
      </c>
      <c r="S699" s="4">
        <f>D699</f>
        <v/>
      </c>
      <c r="T699" s="4">
        <f>E699&amp;"/"&amp;E700</f>
        <v/>
      </c>
      <c r="U699" s="4">
        <f>F699&amp;"-"&amp;G699&amp;"-"&amp;F699</f>
        <v/>
      </c>
      <c r="V699" s="4">
        <f>IF($M$699="","",$M$699)</f>
        <v/>
      </c>
      <c r="W699" s="4">
        <f>IF($O$699="","",$O$699)</f>
        <v/>
      </c>
      <c r="X699" s="4">
        <f>J699</f>
        <v/>
      </c>
    </row>
    <row r="700">
      <c r="B700" s="4" t="n">
        <v>744</v>
      </c>
      <c r="C700" s="4" t="inlineStr">
        <is>
          <t>08/09/2026</t>
        </is>
      </c>
      <c r="D700" s="4" t="inlineStr">
        <is>
          <t>martes</t>
        </is>
      </c>
      <c r="E700" s="4" t="n">
        <v>2112</v>
      </c>
      <c r="F700" s="4" t="inlineStr">
        <is>
          <t>AQP</t>
        </is>
      </c>
      <c r="G700" s="4" t="inlineStr">
        <is>
          <t>LIM</t>
        </is>
      </c>
      <c r="H700" s="4" t="inlineStr">
        <is>
          <t>17:15:00</t>
        </is>
      </c>
      <c r="I700" s="4" t="inlineStr">
        <is>
          <t>18:55:00</t>
        </is>
      </c>
      <c r="J700" s="4" t="n">
        <v>320</v>
      </c>
      <c r="K700">
        <f>TEXT(TIMEVALUE(H700)-TIMEVALUE(I699)+(TIMEVALUE(H700)&lt;TIMEVALUE(I699)),"[h]:mm")</f>
        <v/>
      </c>
      <c r="L700" s="4" t="inlineStr">
        <is>
          <t>01:40:00</t>
        </is>
      </c>
      <c r="O700">
        <f>"LIM-"&amp;G699&amp;"-LIM   LA "&amp;E699&amp;" ("&amp;LEFT(H699,5)&amp;"-"&amp;LEFT(I699,5)&amp;" hrs)  /  LA "&amp;E700&amp;" ("&amp;LEFT(H700,5)&amp;"-"&amp;LEFT(I700,5)&amp;" hrs)"</f>
        <v/>
      </c>
    </row>
    <row r="701">
      <c r="J701" s="8" t="inlineStr">
        <is>
          <t>PSV total:</t>
        </is>
      </c>
      <c r="K701" s="9">
        <f>TEXT(TIMEVALUE(I700)-TIMEVALUE(H699)+(I700&lt;H699),"[h]:mm")</f>
        <v/>
      </c>
    </row>
    <row r="703">
      <c r="B703" s="3" t="inlineStr">
        <is>
          <t>Pairing ID</t>
        </is>
      </c>
      <c r="C703" s="3" t="inlineStr">
        <is>
          <t>FECHA REAL</t>
        </is>
      </c>
      <c r="D703" s="3" t="inlineStr">
        <is>
          <t>Day of Week</t>
        </is>
      </c>
      <c r="E703" s="3" t="inlineStr">
        <is>
          <t>Flight No</t>
        </is>
      </c>
      <c r="F703" s="3" t="inlineStr">
        <is>
          <t>Dep Stn</t>
        </is>
      </c>
      <c r="G703" s="3" t="inlineStr">
        <is>
          <t>Arr Stn</t>
        </is>
      </c>
      <c r="H703" s="3" t="inlineStr">
        <is>
          <t>STD</t>
        </is>
      </c>
      <c r="I703" s="3" t="inlineStr">
        <is>
          <t>STA</t>
        </is>
      </c>
      <c r="J703" s="3" t="inlineStr">
        <is>
          <t>subflota</t>
        </is>
      </c>
      <c r="K703" s="3" t="inlineStr">
        <is>
          <t>Conexion</t>
        </is>
      </c>
      <c r="L703" s="3" t="inlineStr">
        <is>
          <t>HBT</t>
        </is>
      </c>
    </row>
    <row r="704">
      <c r="B704" s="4" t="n">
        <v>745</v>
      </c>
      <c r="C704" s="4" t="inlineStr">
        <is>
          <t>08/09/2026</t>
        </is>
      </c>
      <c r="D704" s="4" t="inlineStr">
        <is>
          <t>martes</t>
        </is>
      </c>
      <c r="E704" s="4" t="n">
        <v>2297</v>
      </c>
      <c r="F704" s="4" t="inlineStr">
        <is>
          <t>LIM</t>
        </is>
      </c>
      <c r="G704" s="4" t="inlineStr">
        <is>
          <t>CJA</t>
        </is>
      </c>
      <c r="H704" s="4" t="inlineStr">
        <is>
          <t>15:15:00</t>
        </is>
      </c>
      <c r="I704" s="4" t="inlineStr">
        <is>
          <t>16:35:00</t>
        </is>
      </c>
      <c r="J704" s="4" t="n">
        <v>319</v>
      </c>
      <c r="L704" s="4" t="inlineStr">
        <is>
          <t>01:20:00</t>
        </is>
      </c>
      <c r="M704" s="5" t="n"/>
      <c r="N704" s="6" t="n"/>
      <c r="O704" s="5" t="n"/>
      <c r="Q704" s="4">
        <f>B704</f>
        <v/>
      </c>
      <c r="R704" s="4">
        <f>C704</f>
        <v/>
      </c>
      <c r="S704" s="4">
        <f>D704</f>
        <v/>
      </c>
      <c r="T704" s="4">
        <f>E704&amp;"/"&amp;E705</f>
        <v/>
      </c>
      <c r="U704" s="4">
        <f>F704&amp;"-"&amp;G704&amp;"-"&amp;F704</f>
        <v/>
      </c>
      <c r="V704" s="4">
        <f>IF($M$704="","",$M$704)</f>
        <v/>
      </c>
      <c r="W704" s="4">
        <f>IF($O$704="","",$O$704)</f>
        <v/>
      </c>
      <c r="X704" s="4">
        <f>J704</f>
        <v/>
      </c>
    </row>
    <row r="705">
      <c r="B705" s="4" t="n">
        <v>745</v>
      </c>
      <c r="C705" s="4" t="inlineStr">
        <is>
          <t>08/09/2026</t>
        </is>
      </c>
      <c r="D705" s="4" t="inlineStr">
        <is>
          <t>martes</t>
        </is>
      </c>
      <c r="E705" s="4" t="n">
        <v>2296</v>
      </c>
      <c r="F705" s="4" t="inlineStr">
        <is>
          <t>CJA</t>
        </is>
      </c>
      <c r="G705" s="4" t="inlineStr">
        <is>
          <t>LIM</t>
        </is>
      </c>
      <c r="H705" s="4" t="inlineStr">
        <is>
          <t>17:20:00</t>
        </is>
      </c>
      <c r="I705" s="4" t="inlineStr">
        <is>
          <t>18:25:00</t>
        </is>
      </c>
      <c r="J705" s="4" t="n">
        <v>319</v>
      </c>
      <c r="K705">
        <f>TEXT(TIMEVALUE(H705)-TIMEVALUE(I704)+(TIMEVALUE(H705)&lt;TIMEVALUE(I704)),"[h]:mm")</f>
        <v/>
      </c>
      <c r="L705" s="4" t="inlineStr">
        <is>
          <t>01:05:00</t>
        </is>
      </c>
      <c r="O705">
        <f>"LIM-"&amp;G704&amp;"-LIM   LA "&amp;E704&amp;" ("&amp;LEFT(H704,5)&amp;"-"&amp;LEFT(I704,5)&amp;" hrs)  /  LA "&amp;E705&amp;" ("&amp;LEFT(H705,5)&amp;"-"&amp;LEFT(I705,5)&amp;" hrs)"</f>
        <v/>
      </c>
    </row>
    <row r="706">
      <c r="J706" s="8" t="inlineStr">
        <is>
          <t>PSV total:</t>
        </is>
      </c>
      <c r="K706" s="9">
        <f>TEXT(TIMEVALUE(I705)-TIMEVALUE(H704)+(I705&lt;H704),"[h]:mm")</f>
        <v/>
      </c>
    </row>
    <row r="708">
      <c r="B708" s="3" t="inlineStr">
        <is>
          <t>Pairing ID</t>
        </is>
      </c>
      <c r="C708" s="3" t="inlineStr">
        <is>
          <t>FECHA REAL</t>
        </is>
      </c>
      <c r="D708" s="3" t="inlineStr">
        <is>
          <t>Day of Week</t>
        </is>
      </c>
      <c r="E708" s="3" t="inlineStr">
        <is>
          <t>Flight No</t>
        </is>
      </c>
      <c r="F708" s="3" t="inlineStr">
        <is>
          <t>Dep Stn</t>
        </is>
      </c>
      <c r="G708" s="3" t="inlineStr">
        <is>
          <t>Arr Stn</t>
        </is>
      </c>
      <c r="H708" s="3" t="inlineStr">
        <is>
          <t>STD</t>
        </is>
      </c>
      <c r="I708" s="3" t="inlineStr">
        <is>
          <t>STA</t>
        </is>
      </c>
      <c r="J708" s="3" t="inlineStr">
        <is>
          <t>subflota</t>
        </is>
      </c>
      <c r="K708" s="3" t="inlineStr">
        <is>
          <t>Conexion</t>
        </is>
      </c>
      <c r="L708" s="3" t="inlineStr">
        <is>
          <t>HBT</t>
        </is>
      </c>
    </row>
    <row r="709">
      <c r="B709" s="4" t="n">
        <v>746</v>
      </c>
      <c r="C709" s="4" t="inlineStr">
        <is>
          <t>08/09/2026</t>
        </is>
      </c>
      <c r="D709" s="4" t="inlineStr">
        <is>
          <t>martes</t>
        </is>
      </c>
      <c r="E709" s="4" t="n">
        <v>2360</v>
      </c>
      <c r="F709" s="4" t="inlineStr">
        <is>
          <t>LIM</t>
        </is>
      </c>
      <c r="G709" s="4" t="inlineStr">
        <is>
          <t>PCL</t>
        </is>
      </c>
      <c r="H709" s="4" t="inlineStr">
        <is>
          <t>15:25:00</t>
        </is>
      </c>
      <c r="I709" s="4" t="inlineStr">
        <is>
          <t>16:40:00</t>
        </is>
      </c>
      <c r="J709" s="4" t="n">
        <v>320</v>
      </c>
      <c r="L709" s="4" t="inlineStr">
        <is>
          <t>01:15:00</t>
        </is>
      </c>
      <c r="M709" s="5" t="n"/>
      <c r="N709" s="6" t="n"/>
      <c r="O709" s="5" t="n"/>
      <c r="Q709" s="4">
        <f>B709</f>
        <v/>
      </c>
      <c r="R709" s="4">
        <f>C709</f>
        <v/>
      </c>
      <c r="S709" s="4">
        <f>D709</f>
        <v/>
      </c>
      <c r="T709" s="4">
        <f>E709&amp;"/"&amp;E710</f>
        <v/>
      </c>
      <c r="U709" s="4">
        <f>F709&amp;"-"&amp;G709&amp;"-"&amp;F709</f>
        <v/>
      </c>
      <c r="V709" s="4">
        <f>IF($M$709="","",$M$709)</f>
        <v/>
      </c>
      <c r="W709" s="4">
        <f>IF($O$709="","",$O$709)</f>
        <v/>
      </c>
      <c r="X709" s="4">
        <f>J709</f>
        <v/>
      </c>
    </row>
    <row r="710">
      <c r="B710" s="4" t="n">
        <v>746</v>
      </c>
      <c r="C710" s="4" t="inlineStr">
        <is>
          <t>08/09/2026</t>
        </is>
      </c>
      <c r="D710" s="4" t="inlineStr">
        <is>
          <t>martes</t>
        </is>
      </c>
      <c r="E710" s="4" t="n">
        <v>2361</v>
      </c>
      <c r="F710" s="4" t="inlineStr">
        <is>
          <t>PCL</t>
        </is>
      </c>
      <c r="G710" s="4" t="inlineStr">
        <is>
          <t>LIM</t>
        </is>
      </c>
      <c r="H710" s="4" t="inlineStr">
        <is>
          <t>17:20:00</t>
        </is>
      </c>
      <c r="I710" s="4" t="inlineStr">
        <is>
          <t>18:35:00</t>
        </is>
      </c>
      <c r="J710" s="4" t="n">
        <v>320</v>
      </c>
      <c r="K710">
        <f>TEXT(TIMEVALUE(H710)-TIMEVALUE(I709)+(TIMEVALUE(H710)&lt;TIMEVALUE(I709)),"[h]:mm")</f>
        <v/>
      </c>
      <c r="L710" s="4" t="inlineStr">
        <is>
          <t>01:15:00</t>
        </is>
      </c>
      <c r="O710">
        <f>"LIM-"&amp;G709&amp;"-LIM   LA "&amp;E709&amp;" ("&amp;LEFT(H709,5)&amp;"-"&amp;LEFT(I709,5)&amp;" hrs)  /  LA "&amp;E710&amp;" ("&amp;LEFT(H710,5)&amp;"-"&amp;LEFT(I710,5)&amp;" hrs)"</f>
        <v/>
      </c>
    </row>
    <row r="711">
      <c r="J711" s="8" t="inlineStr">
        <is>
          <t>PSV total:</t>
        </is>
      </c>
      <c r="K711" s="9">
        <f>TEXT(TIMEVALUE(I710)-TIMEVALUE(H709)+(I710&lt;H709),"[h]:mm")</f>
        <v/>
      </c>
    </row>
    <row r="713">
      <c r="B713" s="3" t="inlineStr">
        <is>
          <t>Pairing ID</t>
        </is>
      </c>
      <c r="C713" s="3" t="inlineStr">
        <is>
          <t>FECHA REAL</t>
        </is>
      </c>
      <c r="D713" s="3" t="inlineStr">
        <is>
          <t>Day of Week</t>
        </is>
      </c>
      <c r="E713" s="3" t="inlineStr">
        <is>
          <t>Flight No</t>
        </is>
      </c>
      <c r="F713" s="3" t="inlineStr">
        <is>
          <t>Dep Stn</t>
        </is>
      </c>
      <c r="G713" s="3" t="inlineStr">
        <is>
          <t>Arr Stn</t>
        </is>
      </c>
      <c r="H713" s="3" t="inlineStr">
        <is>
          <t>STD</t>
        </is>
      </c>
      <c r="I713" s="3" t="inlineStr">
        <is>
          <t>STA</t>
        </is>
      </c>
      <c r="J713" s="3" t="inlineStr">
        <is>
          <t>subflota</t>
        </is>
      </c>
      <c r="K713" s="3" t="inlineStr">
        <is>
          <t>Conexion</t>
        </is>
      </c>
      <c r="L713" s="3" t="inlineStr">
        <is>
          <t>HBT</t>
        </is>
      </c>
    </row>
    <row r="714">
      <c r="B714" s="4" t="n">
        <v>747</v>
      </c>
      <c r="C714" s="4" t="inlineStr">
        <is>
          <t>08/09/2026</t>
        </is>
      </c>
      <c r="D714" s="4" t="inlineStr">
        <is>
          <t>martes</t>
        </is>
      </c>
      <c r="E714" s="4" t="n">
        <v>2312</v>
      </c>
      <c r="F714" s="4" t="inlineStr">
        <is>
          <t>LIM</t>
        </is>
      </c>
      <c r="G714" s="4" t="inlineStr">
        <is>
          <t>CIX</t>
        </is>
      </c>
      <c r="H714" s="4" t="inlineStr">
        <is>
          <t>15:35:00</t>
        </is>
      </c>
      <c r="I714" s="4" t="inlineStr">
        <is>
          <t>17:05:00</t>
        </is>
      </c>
      <c r="J714" s="4" t="n">
        <v>320</v>
      </c>
      <c r="L714" s="4" t="inlineStr">
        <is>
          <t>01:30:00</t>
        </is>
      </c>
      <c r="M714" s="5" t="n"/>
      <c r="N714" s="6" t="n"/>
      <c r="O714" s="5" t="n"/>
      <c r="Q714" s="4">
        <f>B714</f>
        <v/>
      </c>
      <c r="R714" s="4">
        <f>C714</f>
        <v/>
      </c>
      <c r="S714" s="4">
        <f>D714</f>
        <v/>
      </c>
      <c r="T714" s="4">
        <f>E714&amp;"/"&amp;E715</f>
        <v/>
      </c>
      <c r="U714" s="4">
        <f>F714&amp;"-"&amp;G714&amp;"-"&amp;F714</f>
        <v/>
      </c>
      <c r="V714" s="4">
        <f>IF($M$714="","",$M$714)</f>
        <v/>
      </c>
      <c r="W714" s="4">
        <f>IF($O$714="","",$O$714)</f>
        <v/>
      </c>
      <c r="X714" s="4">
        <f>J714</f>
        <v/>
      </c>
    </row>
    <row r="715">
      <c r="B715" s="4" t="n">
        <v>747</v>
      </c>
      <c r="C715" s="4" t="inlineStr">
        <is>
          <t>08/09/2026</t>
        </is>
      </c>
      <c r="D715" s="4" t="inlineStr">
        <is>
          <t>martes</t>
        </is>
      </c>
      <c r="E715" s="4" t="n">
        <v>2313</v>
      </c>
      <c r="F715" s="4" t="inlineStr">
        <is>
          <t>CIX</t>
        </is>
      </c>
      <c r="G715" s="4" t="inlineStr">
        <is>
          <t>LIM</t>
        </is>
      </c>
      <c r="H715" s="4" t="inlineStr">
        <is>
          <t>17:50:00</t>
        </is>
      </c>
      <c r="I715" s="4" t="inlineStr">
        <is>
          <t>19:10:00</t>
        </is>
      </c>
      <c r="J715" s="4" t="n">
        <v>320</v>
      </c>
      <c r="K715">
        <f>TEXT(TIMEVALUE(H715)-TIMEVALUE(I714)+(TIMEVALUE(H715)&lt;TIMEVALUE(I714)),"[h]:mm")</f>
        <v/>
      </c>
      <c r="L715" s="4" t="inlineStr">
        <is>
          <t>01:20:00</t>
        </is>
      </c>
      <c r="O715">
        <f>"LIM-"&amp;G714&amp;"-LIM   LA "&amp;E714&amp;" ("&amp;LEFT(H714,5)&amp;"-"&amp;LEFT(I714,5)&amp;" hrs)  /  LA "&amp;E715&amp;" ("&amp;LEFT(H715,5)&amp;"-"&amp;LEFT(I715,5)&amp;" hrs)"</f>
        <v/>
      </c>
    </row>
    <row r="716">
      <c r="J716" s="8" t="inlineStr">
        <is>
          <t>PSV total:</t>
        </is>
      </c>
      <c r="K716" s="9">
        <f>TEXT(TIMEVALUE(I715)-TIMEVALUE(H714)+(I715&lt;H714),"[h]:mm")</f>
        <v/>
      </c>
    </row>
    <row r="718">
      <c r="B718" s="3" t="inlineStr">
        <is>
          <t>Pairing ID</t>
        </is>
      </c>
      <c r="C718" s="3" t="inlineStr">
        <is>
          <t>FECHA REAL</t>
        </is>
      </c>
      <c r="D718" s="3" t="inlineStr">
        <is>
          <t>Day of Week</t>
        </is>
      </c>
      <c r="E718" s="3" t="inlineStr">
        <is>
          <t>Flight No</t>
        </is>
      </c>
      <c r="F718" s="3" t="inlineStr">
        <is>
          <t>Dep Stn</t>
        </is>
      </c>
      <c r="G718" s="3" t="inlineStr">
        <is>
          <t>Arr Stn</t>
        </is>
      </c>
      <c r="H718" s="3" t="inlineStr">
        <is>
          <t>STD</t>
        </is>
      </c>
      <c r="I718" s="3" t="inlineStr">
        <is>
          <t>STA</t>
        </is>
      </c>
      <c r="J718" s="3" t="inlineStr">
        <is>
          <t>subflota</t>
        </is>
      </c>
      <c r="K718" s="3" t="inlineStr">
        <is>
          <t>Conexion</t>
        </is>
      </c>
      <c r="L718" s="3" t="inlineStr">
        <is>
          <t>HBT</t>
        </is>
      </c>
    </row>
    <row r="719">
      <c r="B719" s="4" t="n">
        <v>748</v>
      </c>
      <c r="C719" s="4" t="inlineStr">
        <is>
          <t>08/09/2026</t>
        </is>
      </c>
      <c r="D719" s="4" t="inlineStr">
        <is>
          <t>martes</t>
        </is>
      </c>
      <c r="E719" s="4" t="n">
        <v>2312</v>
      </c>
      <c r="F719" s="4" t="inlineStr">
        <is>
          <t>LIM</t>
        </is>
      </c>
      <c r="G719" s="4" t="inlineStr">
        <is>
          <t>CIX</t>
        </is>
      </c>
      <c r="H719" s="4" t="inlineStr">
        <is>
          <t>15:35:00</t>
        </is>
      </c>
      <c r="I719" s="4" t="inlineStr">
        <is>
          <t>17:05:00</t>
        </is>
      </c>
      <c r="J719" s="4" t="n">
        <v>320</v>
      </c>
      <c r="L719" s="4" t="inlineStr">
        <is>
          <t>01:30:00</t>
        </is>
      </c>
      <c r="M719" s="5" t="n"/>
      <c r="N719" s="6" t="n"/>
      <c r="O719" s="5" t="n"/>
      <c r="Q719" s="4">
        <f>B719</f>
        <v/>
      </c>
      <c r="R719" s="4">
        <f>C719</f>
        <v/>
      </c>
      <c r="S719" s="4">
        <f>D719</f>
        <v/>
      </c>
      <c r="T719" s="4">
        <f>E719&amp;"/"&amp;E720</f>
        <v/>
      </c>
      <c r="U719" s="4">
        <f>F719&amp;"-"&amp;G719&amp;"-"&amp;F719</f>
        <v/>
      </c>
      <c r="V719" s="4">
        <f>IF($M$719="","",$M$719)</f>
        <v/>
      </c>
      <c r="W719" s="4">
        <f>IF($O$719="","",$O$719)</f>
        <v/>
      </c>
      <c r="X719" s="4">
        <f>J719</f>
        <v/>
      </c>
    </row>
    <row r="720">
      <c r="B720" s="4" t="n">
        <v>748</v>
      </c>
      <c r="C720" s="4" t="inlineStr">
        <is>
          <t>08/09/2026</t>
        </is>
      </c>
      <c r="D720" s="4" t="inlineStr">
        <is>
          <t>martes</t>
        </is>
      </c>
      <c r="E720" s="4" t="n">
        <v>2313</v>
      </c>
      <c r="F720" s="4" t="inlineStr">
        <is>
          <t>CIX</t>
        </is>
      </c>
      <c r="G720" s="4" t="inlineStr">
        <is>
          <t>LIM</t>
        </is>
      </c>
      <c r="H720" s="4" t="inlineStr">
        <is>
          <t>17:50:00</t>
        </is>
      </c>
      <c r="I720" s="4" t="inlineStr">
        <is>
          <t>19:10:00</t>
        </is>
      </c>
      <c r="J720" s="4" t="n">
        <v>320</v>
      </c>
      <c r="K720">
        <f>TEXT(TIMEVALUE(H720)-TIMEVALUE(I719)+(TIMEVALUE(H720)&lt;TIMEVALUE(I719)),"[h]:mm")</f>
        <v/>
      </c>
      <c r="L720" s="4" t="inlineStr">
        <is>
          <t>01:20:00</t>
        </is>
      </c>
      <c r="O720">
        <f>"LIM-"&amp;G719&amp;"-LIM   LA "&amp;E719&amp;" ("&amp;LEFT(H719,5)&amp;"-"&amp;LEFT(I719,5)&amp;" hrs)  /  LA "&amp;E720&amp;" ("&amp;LEFT(H720,5)&amp;"-"&amp;LEFT(I720,5)&amp;" hrs)"</f>
        <v/>
      </c>
    </row>
    <row r="721">
      <c r="J721" s="8" t="inlineStr">
        <is>
          <t>PSV total:</t>
        </is>
      </c>
      <c r="K721" s="9">
        <f>TEXT(TIMEVALUE(I720)-TIMEVALUE(H719)+(I720&lt;H719),"[h]:mm")</f>
        <v/>
      </c>
    </row>
    <row r="723">
      <c r="B723" s="3" t="inlineStr">
        <is>
          <t>Pairing ID</t>
        </is>
      </c>
      <c r="C723" s="3" t="inlineStr">
        <is>
          <t>FECHA REAL</t>
        </is>
      </c>
      <c r="D723" s="3" t="inlineStr">
        <is>
          <t>Day of Week</t>
        </is>
      </c>
      <c r="E723" s="3" t="inlineStr">
        <is>
          <t>Flight No</t>
        </is>
      </c>
      <c r="F723" s="3" t="inlineStr">
        <is>
          <t>Dep Stn</t>
        </is>
      </c>
      <c r="G723" s="3" t="inlineStr">
        <is>
          <t>Arr Stn</t>
        </is>
      </c>
      <c r="H723" s="3" t="inlineStr">
        <is>
          <t>STD</t>
        </is>
      </c>
      <c r="I723" s="3" t="inlineStr">
        <is>
          <t>STA</t>
        </is>
      </c>
      <c r="J723" s="3" t="inlineStr">
        <is>
          <t>subflota</t>
        </is>
      </c>
      <c r="K723" s="3" t="inlineStr">
        <is>
          <t>Conexion</t>
        </is>
      </c>
      <c r="L723" s="3" t="inlineStr">
        <is>
          <t>HBT</t>
        </is>
      </c>
    </row>
    <row r="724">
      <c r="B724" s="4" t="n">
        <v>749</v>
      </c>
      <c r="C724" s="4" t="inlineStr">
        <is>
          <t>08/09/2026</t>
        </is>
      </c>
      <c r="D724" s="4" t="inlineStr">
        <is>
          <t>martes</t>
        </is>
      </c>
      <c r="E724" s="4" t="n">
        <v>2301</v>
      </c>
      <c r="F724" s="4" t="inlineStr">
        <is>
          <t>LIM</t>
        </is>
      </c>
      <c r="G724" s="4" t="inlineStr">
        <is>
          <t>TPP</t>
        </is>
      </c>
      <c r="H724" s="4" t="inlineStr">
        <is>
          <t>15:40:00</t>
        </is>
      </c>
      <c r="I724" s="4" t="inlineStr">
        <is>
          <t>17:05:00</t>
        </is>
      </c>
      <c r="J724" s="4" t="n">
        <v>320</v>
      </c>
      <c r="L724" s="4" t="inlineStr">
        <is>
          <t>01:25:00</t>
        </is>
      </c>
      <c r="M724" s="5" t="n"/>
      <c r="N724" s="6" t="n"/>
      <c r="O724" s="5" t="n"/>
      <c r="Q724" s="4">
        <f>B724</f>
        <v/>
      </c>
      <c r="R724" s="4">
        <f>C724</f>
        <v/>
      </c>
      <c r="S724" s="4">
        <f>D724</f>
        <v/>
      </c>
      <c r="T724" s="4">
        <f>E724&amp;"/"&amp;E725</f>
        <v/>
      </c>
      <c r="U724" s="4">
        <f>F724&amp;"-"&amp;G724&amp;"-"&amp;F724</f>
        <v/>
      </c>
      <c r="V724" s="4">
        <f>IF($M$724="","",$M$724)</f>
        <v/>
      </c>
      <c r="W724" s="4">
        <f>IF($O$724="","",$O$724)</f>
        <v/>
      </c>
      <c r="X724" s="4">
        <f>J724</f>
        <v/>
      </c>
    </row>
    <row r="725">
      <c r="B725" s="4" t="n">
        <v>749</v>
      </c>
      <c r="C725" s="4" t="inlineStr">
        <is>
          <t>08/09/2026</t>
        </is>
      </c>
      <c r="D725" s="4" t="inlineStr">
        <is>
          <t>martes</t>
        </is>
      </c>
      <c r="E725" s="4" t="n">
        <v>2300</v>
      </c>
      <c r="F725" s="4" t="inlineStr">
        <is>
          <t>TPP</t>
        </is>
      </c>
      <c r="G725" s="4" t="inlineStr">
        <is>
          <t>LIM</t>
        </is>
      </c>
      <c r="H725" s="4" t="inlineStr">
        <is>
          <t>17:50:00</t>
        </is>
      </c>
      <c r="I725" s="4" t="inlineStr">
        <is>
          <t>19:15:00</t>
        </is>
      </c>
      <c r="J725" s="4" t="n">
        <v>320</v>
      </c>
      <c r="K725">
        <f>TEXT(TIMEVALUE(H725)-TIMEVALUE(I724)+(TIMEVALUE(H725)&lt;TIMEVALUE(I724)),"[h]:mm")</f>
        <v/>
      </c>
      <c r="L725" s="4" t="inlineStr">
        <is>
          <t>01:25:00</t>
        </is>
      </c>
      <c r="O725">
        <f>"LIM-"&amp;G724&amp;"-LIM   LA "&amp;E724&amp;" ("&amp;LEFT(H724,5)&amp;"-"&amp;LEFT(I724,5)&amp;" hrs)  /  LA "&amp;E725&amp;" ("&amp;LEFT(H725,5)&amp;"-"&amp;LEFT(I725,5)&amp;" hrs)"</f>
        <v/>
      </c>
    </row>
    <row r="726">
      <c r="J726" s="8" t="inlineStr">
        <is>
          <t>PSV total:</t>
        </is>
      </c>
      <c r="K726" s="9">
        <f>TEXT(TIMEVALUE(I725)-TIMEVALUE(H724)+(I725&lt;H724),"[h]:mm")</f>
        <v/>
      </c>
    </row>
    <row r="728">
      <c r="B728" s="3" t="inlineStr">
        <is>
          <t>Pairing ID</t>
        </is>
      </c>
      <c r="C728" s="3" t="inlineStr">
        <is>
          <t>FECHA REAL</t>
        </is>
      </c>
      <c r="D728" s="3" t="inlineStr">
        <is>
          <t>Day of Week</t>
        </is>
      </c>
      <c r="E728" s="3" t="inlineStr">
        <is>
          <t>Flight No</t>
        </is>
      </c>
      <c r="F728" s="3" t="inlineStr">
        <is>
          <t>Dep Stn</t>
        </is>
      </c>
      <c r="G728" s="3" t="inlineStr">
        <is>
          <t>Arr Stn</t>
        </is>
      </c>
      <c r="H728" s="3" t="inlineStr">
        <is>
          <t>STD</t>
        </is>
      </c>
      <c r="I728" s="3" t="inlineStr">
        <is>
          <t>STA</t>
        </is>
      </c>
      <c r="J728" s="3" t="inlineStr">
        <is>
          <t>subflota</t>
        </is>
      </c>
      <c r="K728" s="3" t="inlineStr">
        <is>
          <t>Conexion</t>
        </is>
      </c>
      <c r="L728" s="3" t="inlineStr">
        <is>
          <t>HBT</t>
        </is>
      </c>
    </row>
    <row r="729">
      <c r="B729" s="4" t="n">
        <v>757</v>
      </c>
      <c r="C729" s="4" t="inlineStr">
        <is>
          <t>08/09/2026</t>
        </is>
      </c>
      <c r="D729" s="4" t="inlineStr">
        <is>
          <t>martes</t>
        </is>
      </c>
      <c r="E729" s="4" t="n">
        <v>2213</v>
      </c>
      <c r="F729" s="4" t="inlineStr">
        <is>
          <t>LIM</t>
        </is>
      </c>
      <c r="G729" s="4" t="inlineStr">
        <is>
          <t>CIX</t>
        </is>
      </c>
      <c r="H729" s="4" t="inlineStr">
        <is>
          <t>17:20:00</t>
        </is>
      </c>
      <c r="I729" s="4" t="inlineStr">
        <is>
          <t>18:50:00</t>
        </is>
      </c>
      <c r="J729" s="4" t="n">
        <v>320</v>
      </c>
      <c r="L729" s="4" t="inlineStr">
        <is>
          <t>01:30:00</t>
        </is>
      </c>
      <c r="M729" s="5" t="n"/>
      <c r="N729" s="6" t="n"/>
      <c r="O729" s="5" t="n"/>
      <c r="Q729" s="4">
        <f>B729</f>
        <v/>
      </c>
      <c r="R729" s="4">
        <f>C729</f>
        <v/>
      </c>
      <c r="S729" s="4">
        <f>D729</f>
        <v/>
      </c>
      <c r="T729" s="4">
        <f>E729&amp;"/"&amp;E730</f>
        <v/>
      </c>
      <c r="U729" s="4">
        <f>F729&amp;"-"&amp;G729&amp;"-"&amp;F729</f>
        <v/>
      </c>
      <c r="V729" s="4">
        <f>IF($M$729="","",$M$729)</f>
        <v/>
      </c>
      <c r="W729" s="4">
        <f>IF($O$729="","",$O$729)</f>
        <v/>
      </c>
      <c r="X729" s="4">
        <f>J729</f>
        <v/>
      </c>
    </row>
    <row r="730">
      <c r="B730" s="4" t="n">
        <v>757</v>
      </c>
      <c r="C730" s="4" t="inlineStr">
        <is>
          <t>08/09/2026</t>
        </is>
      </c>
      <c r="D730" s="4" t="inlineStr">
        <is>
          <t>martes</t>
        </is>
      </c>
      <c r="E730" s="4" t="n">
        <v>2214</v>
      </c>
      <c r="F730" s="4" t="inlineStr">
        <is>
          <t>CIX</t>
        </is>
      </c>
      <c r="G730" s="4" t="inlineStr">
        <is>
          <t>LIM</t>
        </is>
      </c>
      <c r="H730" s="4" t="inlineStr">
        <is>
          <t>19:25:00</t>
        </is>
      </c>
      <c r="I730" s="4" t="inlineStr">
        <is>
          <t>20:40:00</t>
        </is>
      </c>
      <c r="J730" s="4" t="n">
        <v>320</v>
      </c>
      <c r="K730">
        <f>TEXT(TIMEVALUE(H730)-TIMEVALUE(I729)+(TIMEVALUE(H730)&lt;TIMEVALUE(I729)),"[h]:mm")</f>
        <v/>
      </c>
      <c r="L730" s="4" t="inlineStr">
        <is>
          <t>01:15:00</t>
        </is>
      </c>
      <c r="O730">
        <f>"LIM-"&amp;G729&amp;"-LIM   LA "&amp;E729&amp;" ("&amp;LEFT(H729,5)&amp;"-"&amp;LEFT(I729,5)&amp;" hrs)  /  LA "&amp;E730&amp;" ("&amp;LEFT(H730,5)&amp;"-"&amp;LEFT(I730,5)&amp;" hrs)"</f>
        <v/>
      </c>
    </row>
    <row r="731">
      <c r="J731" s="8" t="inlineStr">
        <is>
          <t>PSV total:</t>
        </is>
      </c>
      <c r="K731" s="9">
        <f>TEXT(TIMEVALUE(I730)-TIMEVALUE(H729)+(I730&lt;H729),"[h]:mm")</f>
        <v/>
      </c>
    </row>
    <row r="733">
      <c r="B733" s="3" t="inlineStr">
        <is>
          <t>Pairing ID</t>
        </is>
      </c>
      <c r="C733" s="3" t="inlineStr">
        <is>
          <t>FECHA REAL</t>
        </is>
      </c>
      <c r="D733" s="3" t="inlineStr">
        <is>
          <t>Day of Week</t>
        </is>
      </c>
      <c r="E733" s="3" t="inlineStr">
        <is>
          <t>Flight No</t>
        </is>
      </c>
      <c r="F733" s="3" t="inlineStr">
        <is>
          <t>Dep Stn</t>
        </is>
      </c>
      <c r="G733" s="3" t="inlineStr">
        <is>
          <t>Arr Stn</t>
        </is>
      </c>
      <c r="H733" s="3" t="inlineStr">
        <is>
          <t>STD</t>
        </is>
      </c>
      <c r="I733" s="3" t="inlineStr">
        <is>
          <t>STA</t>
        </is>
      </c>
      <c r="J733" s="3" t="inlineStr">
        <is>
          <t>subflota</t>
        </is>
      </c>
      <c r="K733" s="3" t="inlineStr">
        <is>
          <t>Conexion</t>
        </is>
      </c>
      <c r="L733" s="3" t="inlineStr">
        <is>
          <t>HBT</t>
        </is>
      </c>
    </row>
    <row r="734">
      <c r="B734" s="4" t="n">
        <v>807</v>
      </c>
      <c r="C734" s="4" t="inlineStr">
        <is>
          <t>09/09/2026</t>
        </is>
      </c>
      <c r="D734" s="4" t="inlineStr">
        <is>
          <t>miércoles</t>
        </is>
      </c>
      <c r="E734" s="4" t="n">
        <v>2061</v>
      </c>
      <c r="F734" s="4" t="inlineStr">
        <is>
          <t>LIM</t>
        </is>
      </c>
      <c r="G734" s="4" t="inlineStr">
        <is>
          <t>CUZ</t>
        </is>
      </c>
      <c r="H734" s="4" t="inlineStr">
        <is>
          <t>11:40:00</t>
        </is>
      </c>
      <c r="I734" s="4" t="inlineStr">
        <is>
          <t>13:00:00</t>
        </is>
      </c>
      <c r="J734" s="4" t="n">
        <v>320</v>
      </c>
      <c r="L734" s="4" t="inlineStr">
        <is>
          <t>01:20:00</t>
        </is>
      </c>
      <c r="M734" s="5" t="n"/>
      <c r="N734" s="6" t="n"/>
      <c r="O734" s="5" t="n"/>
      <c r="Q734" s="4">
        <f>B734</f>
        <v/>
      </c>
      <c r="R734" s="4">
        <f>C734</f>
        <v/>
      </c>
      <c r="S734" s="4">
        <f>D734</f>
        <v/>
      </c>
      <c r="T734" s="4">
        <f>E734&amp;"/"&amp;E735</f>
        <v/>
      </c>
      <c r="U734" s="4">
        <f>F734&amp;"-"&amp;G734&amp;"-"&amp;F734</f>
        <v/>
      </c>
      <c r="V734" s="4">
        <f>IF($M$734="","",$M$734)</f>
        <v/>
      </c>
      <c r="W734" s="4">
        <f>IF($O$734="","",$O$734)</f>
        <v/>
      </c>
      <c r="X734" s="4">
        <f>J734</f>
        <v/>
      </c>
    </row>
    <row r="735">
      <c r="B735" s="4" t="n">
        <v>807</v>
      </c>
      <c r="C735" s="4" t="inlineStr">
        <is>
          <t>09/09/2026</t>
        </is>
      </c>
      <c r="D735" s="4" t="inlineStr">
        <is>
          <t>miércoles</t>
        </is>
      </c>
      <c r="E735" s="4" t="n">
        <v>2062</v>
      </c>
      <c r="F735" s="4" t="inlineStr">
        <is>
          <t>CUZ</t>
        </is>
      </c>
      <c r="G735" s="4" t="inlineStr">
        <is>
          <t>LIM</t>
        </is>
      </c>
      <c r="H735" s="4" t="inlineStr">
        <is>
          <t>13:40:00</t>
        </is>
      </c>
      <c r="I735" s="4" t="inlineStr">
        <is>
          <t>15:15:00</t>
        </is>
      </c>
      <c r="J735" s="4" t="n">
        <v>320</v>
      </c>
      <c r="K735">
        <f>TEXT(TIMEVALUE(H735)-TIMEVALUE(I734)+(TIMEVALUE(H735)&lt;TIMEVALUE(I734)),"[h]:mm")</f>
        <v/>
      </c>
      <c r="L735" s="4" t="inlineStr">
        <is>
          <t>01:35:00</t>
        </is>
      </c>
      <c r="O735">
        <f>"LIM-"&amp;G734&amp;"-LIM   LA "&amp;E734&amp;" ("&amp;LEFT(H734,5)&amp;"-"&amp;LEFT(I734,5)&amp;" hrs)  /  LA "&amp;E735&amp;" ("&amp;LEFT(H735,5)&amp;"-"&amp;LEFT(I735,5)&amp;" hrs)"</f>
        <v/>
      </c>
    </row>
    <row r="736">
      <c r="B736" s="4" t="n">
        <v>837</v>
      </c>
      <c r="C736" s="4" t="inlineStr">
        <is>
          <t>09/09/2026</t>
        </is>
      </c>
      <c r="D736" s="4" t="inlineStr">
        <is>
          <t>miércoles</t>
        </is>
      </c>
      <c r="E736" s="4" t="n">
        <v>2127</v>
      </c>
      <c r="F736" s="4" t="inlineStr">
        <is>
          <t>LIM</t>
        </is>
      </c>
      <c r="G736" s="4" t="inlineStr">
        <is>
          <t>CUZ</t>
        </is>
      </c>
      <c r="H736" s="4" t="inlineStr">
        <is>
          <t>16:10:00</t>
        </is>
      </c>
      <c r="I736" s="4" t="inlineStr">
        <is>
          <t>17:30:00</t>
        </is>
      </c>
      <c r="J736" s="4" t="n">
        <v>320</v>
      </c>
      <c r="K736" s="7">
        <f>TEXT(TIMEVALUE(H736)-TIMEVALUE(I735)+(TIMEVALUE(H736)&lt;TIMEVALUE(I735)),"[h]:mm")</f>
        <v/>
      </c>
      <c r="L736" s="4" t="inlineStr">
        <is>
          <t>01:20:00</t>
        </is>
      </c>
      <c r="M736">
        <f>IF($M$734="","",$M$734)</f>
        <v/>
      </c>
      <c r="O736">
        <f>IF($O$734="","",$O$734)</f>
        <v/>
      </c>
      <c r="Q736" s="4">
        <f>B736</f>
        <v/>
      </c>
      <c r="R736" s="4">
        <f>C736</f>
        <v/>
      </c>
      <c r="S736" s="4">
        <f>D736</f>
        <v/>
      </c>
      <c r="T736" s="4">
        <f>E736&amp;"/"&amp;E737</f>
        <v/>
      </c>
      <c r="U736" s="4">
        <f>F736&amp;"-"&amp;G736&amp;"-"&amp;F736</f>
        <v/>
      </c>
      <c r="V736" s="4">
        <f>IF($M$734="","",$M$734)</f>
        <v/>
      </c>
      <c r="W736" s="4">
        <f>IF($O$734="","",$O$734)</f>
        <v/>
      </c>
      <c r="X736" s="4">
        <f>J736</f>
        <v/>
      </c>
    </row>
    <row r="737">
      <c r="B737" s="4" t="n">
        <v>837</v>
      </c>
      <c r="C737" s="4" t="inlineStr">
        <is>
          <t>09/09/2026</t>
        </is>
      </c>
      <c r="D737" s="4" t="inlineStr">
        <is>
          <t>miércoles</t>
        </is>
      </c>
      <c r="E737" s="4" t="n">
        <v>2026</v>
      </c>
      <c r="F737" s="4" t="inlineStr">
        <is>
          <t>CUZ</t>
        </is>
      </c>
      <c r="G737" s="4" t="inlineStr">
        <is>
          <t>LIM</t>
        </is>
      </c>
      <c r="H737" s="4" t="inlineStr">
        <is>
          <t>18:10:00</t>
        </is>
      </c>
      <c r="I737" s="4" t="inlineStr">
        <is>
          <t>19:50:00</t>
        </is>
      </c>
      <c r="J737" s="4" t="n">
        <v>320</v>
      </c>
      <c r="K737">
        <f>TEXT(TIMEVALUE(H737)-TIMEVALUE(I736)+(TIMEVALUE(H737)&lt;TIMEVALUE(I736)),"[h]:mm")</f>
        <v/>
      </c>
      <c r="L737" s="4" t="inlineStr">
        <is>
          <t>01:40:00</t>
        </is>
      </c>
      <c r="O737">
        <f>"LIM-"&amp;G736&amp;"-LIM   LA "&amp;E736&amp;" ("&amp;LEFT(H736,5)&amp;"-"&amp;LEFT(I736,5)&amp;" hrs)  /  LA "&amp;E737&amp;" ("&amp;LEFT(H737,5)&amp;"-"&amp;LEFT(I737,5)&amp;" hrs)"</f>
        <v/>
      </c>
    </row>
    <row r="738">
      <c r="J738" s="8" t="inlineStr">
        <is>
          <t>PSV total:</t>
        </is>
      </c>
      <c r="K738" s="9">
        <f>TEXT(TIMEVALUE(I737)-TIMEVALUE(H734)+(I737&lt;H734),"[h]:mm")</f>
        <v/>
      </c>
    </row>
    <row r="740">
      <c r="B740" s="3" t="inlineStr">
        <is>
          <t>Pairing ID</t>
        </is>
      </c>
      <c r="C740" s="3" t="inlineStr">
        <is>
          <t>FECHA REAL</t>
        </is>
      </c>
      <c r="D740" s="3" t="inlineStr">
        <is>
          <t>Day of Week</t>
        </is>
      </c>
      <c r="E740" s="3" t="inlineStr">
        <is>
          <t>Flight No</t>
        </is>
      </c>
      <c r="F740" s="3" t="inlineStr">
        <is>
          <t>Dep Stn</t>
        </is>
      </c>
      <c r="G740" s="3" t="inlineStr">
        <is>
          <t>Arr Stn</t>
        </is>
      </c>
      <c r="H740" s="3" t="inlineStr">
        <is>
          <t>STD</t>
        </is>
      </c>
      <c r="I740" s="3" t="inlineStr">
        <is>
          <t>STA</t>
        </is>
      </c>
      <c r="J740" s="3" t="inlineStr">
        <is>
          <t>subflota</t>
        </is>
      </c>
      <c r="K740" s="3" t="inlineStr">
        <is>
          <t>Conexion</t>
        </is>
      </c>
      <c r="L740" s="3" t="inlineStr">
        <is>
          <t>HBT</t>
        </is>
      </c>
    </row>
    <row r="741">
      <c r="B741" s="4" t="n">
        <v>810</v>
      </c>
      <c r="C741" s="4" t="inlineStr">
        <is>
          <t>09/09/2026</t>
        </is>
      </c>
      <c r="D741" s="4" t="inlineStr">
        <is>
          <t>miércoles</t>
        </is>
      </c>
      <c r="E741" s="4" t="n">
        <v>2023</v>
      </c>
      <c r="F741" s="4" t="inlineStr">
        <is>
          <t>LIM</t>
        </is>
      </c>
      <c r="G741" s="4" t="inlineStr">
        <is>
          <t>PEM</t>
        </is>
      </c>
      <c r="H741" s="4" t="inlineStr">
        <is>
          <t>12:15:00</t>
        </is>
      </c>
      <c r="I741" s="4" t="inlineStr">
        <is>
          <t>13:55:00</t>
        </is>
      </c>
      <c r="J741" s="4" t="n">
        <v>319</v>
      </c>
      <c r="L741" s="4" t="inlineStr">
        <is>
          <t>01:40:00</t>
        </is>
      </c>
      <c r="M741" s="5" t="n"/>
      <c r="N741" s="6" t="n"/>
      <c r="O741" s="5" t="n"/>
      <c r="Q741" s="4">
        <f>B741</f>
        <v/>
      </c>
      <c r="R741" s="4">
        <f>C741</f>
        <v/>
      </c>
      <c r="S741" s="4">
        <f>D741</f>
        <v/>
      </c>
      <c r="T741" s="4">
        <f>E741&amp;"/"&amp;E742</f>
        <v/>
      </c>
      <c r="U741" s="4">
        <f>F741&amp;"-"&amp;G741&amp;"-"&amp;F741</f>
        <v/>
      </c>
      <c r="V741" s="4">
        <f>IF($M$741="","",$M$741)</f>
        <v/>
      </c>
      <c r="W741" s="4">
        <f>IF($O$741="","",$O$741)</f>
        <v/>
      </c>
      <c r="X741" s="4">
        <f>J741</f>
        <v/>
      </c>
    </row>
    <row r="742">
      <c r="B742" s="4" t="n">
        <v>810</v>
      </c>
      <c r="C742" s="4" t="inlineStr">
        <is>
          <t>09/09/2026</t>
        </is>
      </c>
      <c r="D742" s="4" t="inlineStr">
        <is>
          <t>miércoles</t>
        </is>
      </c>
      <c r="E742" s="4" t="n">
        <v>2024</v>
      </c>
      <c r="F742" s="4" t="inlineStr">
        <is>
          <t>PEM</t>
        </is>
      </c>
      <c r="G742" s="4" t="inlineStr">
        <is>
          <t>LIM</t>
        </is>
      </c>
      <c r="H742" s="4" t="inlineStr">
        <is>
          <t>14:35:00</t>
        </is>
      </c>
      <c r="I742" s="4" t="inlineStr">
        <is>
          <t>16:10:00</t>
        </is>
      </c>
      <c r="J742" s="4" t="n">
        <v>319</v>
      </c>
      <c r="K742">
        <f>TEXT(TIMEVALUE(H742)-TIMEVALUE(I741)+(TIMEVALUE(H742)&lt;TIMEVALUE(I741)),"[h]:mm")</f>
        <v/>
      </c>
      <c r="L742" s="4" t="inlineStr">
        <is>
          <t>01:35:00</t>
        </is>
      </c>
      <c r="O742">
        <f>"LIM-"&amp;G741&amp;"-LIM   LA "&amp;E741&amp;" ("&amp;LEFT(H741,5)&amp;"-"&amp;LEFT(I741,5)&amp;" hrs)  /  LA "&amp;E742&amp;" ("&amp;LEFT(H742,5)&amp;"-"&amp;LEFT(I742,5)&amp;" hrs)"</f>
        <v/>
      </c>
    </row>
    <row r="743">
      <c r="J743" s="8" t="inlineStr">
        <is>
          <t>PSV total:</t>
        </is>
      </c>
      <c r="K743" s="9">
        <f>TEXT(TIMEVALUE(I742)-TIMEVALUE(H741)+(I742&lt;H741),"[h]:mm")</f>
        <v/>
      </c>
    </row>
    <row r="745">
      <c r="B745" s="3" t="inlineStr">
        <is>
          <t>Pairing ID</t>
        </is>
      </c>
      <c r="C745" s="3" t="inlineStr">
        <is>
          <t>FECHA REAL</t>
        </is>
      </c>
      <c r="D745" s="3" t="inlineStr">
        <is>
          <t>Day of Week</t>
        </is>
      </c>
      <c r="E745" s="3" t="inlineStr">
        <is>
          <t>Flight No</t>
        </is>
      </c>
      <c r="F745" s="3" t="inlineStr">
        <is>
          <t>Dep Stn</t>
        </is>
      </c>
      <c r="G745" s="3" t="inlineStr">
        <is>
          <t>Arr Stn</t>
        </is>
      </c>
      <c r="H745" s="3" t="inlineStr">
        <is>
          <t>STD</t>
        </is>
      </c>
      <c r="I745" s="3" t="inlineStr">
        <is>
          <t>STA</t>
        </is>
      </c>
      <c r="J745" s="3" t="inlineStr">
        <is>
          <t>subflota</t>
        </is>
      </c>
      <c r="K745" s="3" t="inlineStr">
        <is>
          <t>Conexion</t>
        </is>
      </c>
      <c r="L745" s="3" t="inlineStr">
        <is>
          <t>HBT</t>
        </is>
      </c>
    </row>
    <row r="746">
      <c r="B746" s="4" t="n">
        <v>813</v>
      </c>
      <c r="C746" s="4" t="inlineStr">
        <is>
          <t>09/09/2026</t>
        </is>
      </c>
      <c r="D746" s="4" t="inlineStr">
        <is>
          <t>miércoles</t>
        </is>
      </c>
      <c r="E746" s="4" t="n">
        <v>2043</v>
      </c>
      <c r="F746" s="4" t="inlineStr">
        <is>
          <t>LIM</t>
        </is>
      </c>
      <c r="G746" s="4" t="inlineStr">
        <is>
          <t>AQP</t>
        </is>
      </c>
      <c r="H746" s="4" t="inlineStr">
        <is>
          <t>12:45:00</t>
        </is>
      </c>
      <c r="I746" s="4" t="inlineStr">
        <is>
          <t>14:15:00</t>
        </is>
      </c>
      <c r="J746" s="4" t="n">
        <v>320</v>
      </c>
      <c r="L746" s="4" t="inlineStr">
        <is>
          <t>01:30:00</t>
        </is>
      </c>
      <c r="M746" s="5" t="n"/>
      <c r="N746" s="6" t="n"/>
      <c r="O746" s="5" t="n"/>
      <c r="Q746" s="4">
        <f>B746</f>
        <v/>
      </c>
      <c r="R746" s="4">
        <f>C746</f>
        <v/>
      </c>
      <c r="S746" s="4">
        <f>D746</f>
        <v/>
      </c>
      <c r="T746" s="4">
        <f>E746&amp;"/"&amp;E747</f>
        <v/>
      </c>
      <c r="U746" s="4">
        <f>F746&amp;"-"&amp;G746&amp;"-"&amp;F746</f>
        <v/>
      </c>
      <c r="V746" s="4">
        <f>IF($M$746="","",$M$746)</f>
        <v/>
      </c>
      <c r="W746" s="4">
        <f>IF($O$746="","",$O$746)</f>
        <v/>
      </c>
      <c r="X746" s="4">
        <f>J746</f>
        <v/>
      </c>
    </row>
    <row r="747">
      <c r="B747" s="4" t="n">
        <v>813</v>
      </c>
      <c r="C747" s="4" t="inlineStr">
        <is>
          <t>09/09/2026</t>
        </is>
      </c>
      <c r="D747" s="4" t="inlineStr">
        <is>
          <t>miércoles</t>
        </is>
      </c>
      <c r="E747" s="4" t="n">
        <v>2044</v>
      </c>
      <c r="F747" s="4" t="inlineStr">
        <is>
          <t>AQP</t>
        </is>
      </c>
      <c r="G747" s="4" t="inlineStr">
        <is>
          <t>LIM</t>
        </is>
      </c>
      <c r="H747" s="4" t="inlineStr">
        <is>
          <t>15:00:00</t>
        </is>
      </c>
      <c r="I747" s="4" t="inlineStr">
        <is>
          <t>16:35:00</t>
        </is>
      </c>
      <c r="J747" s="4" t="n">
        <v>320</v>
      </c>
      <c r="K747">
        <f>TEXT(TIMEVALUE(H747)-TIMEVALUE(I746)+(TIMEVALUE(H747)&lt;TIMEVALUE(I746)),"[h]:mm")</f>
        <v/>
      </c>
      <c r="L747" s="4" t="inlineStr">
        <is>
          <t>01:35:00</t>
        </is>
      </c>
      <c r="O747">
        <f>"LIM-"&amp;G746&amp;"-LIM   LA "&amp;E746&amp;" ("&amp;LEFT(H746,5)&amp;"-"&amp;LEFT(I746,5)&amp;" hrs)  /  LA "&amp;E747&amp;" ("&amp;LEFT(H747,5)&amp;"-"&amp;LEFT(I747,5)&amp;" hrs)"</f>
        <v/>
      </c>
    </row>
    <row r="748">
      <c r="J748" s="8" t="inlineStr">
        <is>
          <t>PSV total:</t>
        </is>
      </c>
      <c r="K748" s="9">
        <f>TEXT(TIMEVALUE(I747)-TIMEVALUE(H746)+(I747&lt;H746),"[h]:mm")</f>
        <v/>
      </c>
    </row>
    <row r="750">
      <c r="B750" s="3" t="inlineStr">
        <is>
          <t>Pairing ID</t>
        </is>
      </c>
      <c r="C750" s="3" t="inlineStr">
        <is>
          <t>FECHA REAL</t>
        </is>
      </c>
      <c r="D750" s="3" t="inlineStr">
        <is>
          <t>Day of Week</t>
        </is>
      </c>
      <c r="E750" s="3" t="inlineStr">
        <is>
          <t>Flight No</t>
        </is>
      </c>
      <c r="F750" s="3" t="inlineStr">
        <is>
          <t>Dep Stn</t>
        </is>
      </c>
      <c r="G750" s="3" t="inlineStr">
        <is>
          <t>Arr Stn</t>
        </is>
      </c>
      <c r="H750" s="3" t="inlineStr">
        <is>
          <t>STD</t>
        </is>
      </c>
      <c r="I750" s="3" t="inlineStr">
        <is>
          <t>STA</t>
        </is>
      </c>
      <c r="J750" s="3" t="inlineStr">
        <is>
          <t>subflota</t>
        </is>
      </c>
      <c r="K750" s="3" t="inlineStr">
        <is>
          <t>Conexion</t>
        </is>
      </c>
      <c r="L750" s="3" t="inlineStr">
        <is>
          <t>HBT</t>
        </is>
      </c>
    </row>
    <row r="751">
      <c r="B751" s="4" t="n">
        <v>817</v>
      </c>
      <c r="C751" s="4" t="inlineStr">
        <is>
          <t>09/09/2026</t>
        </is>
      </c>
      <c r="D751" s="4" t="inlineStr">
        <is>
          <t>miércoles</t>
        </is>
      </c>
      <c r="E751" s="4" t="n">
        <v>2234</v>
      </c>
      <c r="F751" s="4" t="inlineStr">
        <is>
          <t>LIM</t>
        </is>
      </c>
      <c r="G751" s="4" t="inlineStr">
        <is>
          <t>IQT</t>
        </is>
      </c>
      <c r="H751" s="4" t="inlineStr">
        <is>
          <t>13:35:00</t>
        </is>
      </c>
      <c r="I751" s="4" t="inlineStr">
        <is>
          <t>15:25:00</t>
        </is>
      </c>
      <c r="J751" s="4" t="n">
        <v>320</v>
      </c>
      <c r="L751" s="4" t="inlineStr">
        <is>
          <t>01:50:00</t>
        </is>
      </c>
      <c r="M751" s="5" t="n"/>
      <c r="N751" s="6" t="n"/>
      <c r="O751" s="5" t="n"/>
      <c r="Q751" s="4">
        <f>B751</f>
        <v/>
      </c>
      <c r="R751" s="4">
        <f>C751</f>
        <v/>
      </c>
      <c r="S751" s="4">
        <f>D751</f>
        <v/>
      </c>
      <c r="T751" s="4">
        <f>E751&amp;"/"&amp;E752</f>
        <v/>
      </c>
      <c r="U751" s="4">
        <f>F751&amp;"-"&amp;G751&amp;"-"&amp;F751</f>
        <v/>
      </c>
      <c r="V751" s="4">
        <f>IF($M$751="","",$M$751)</f>
        <v/>
      </c>
      <c r="W751" s="4">
        <f>IF($O$751="","",$O$751)</f>
        <v/>
      </c>
      <c r="X751" s="4">
        <f>J751</f>
        <v/>
      </c>
    </row>
    <row r="752">
      <c r="B752" s="4" t="n">
        <v>817</v>
      </c>
      <c r="C752" s="4" t="inlineStr">
        <is>
          <t>09/09/2026</t>
        </is>
      </c>
      <c r="D752" s="4" t="inlineStr">
        <is>
          <t>miércoles</t>
        </is>
      </c>
      <c r="E752" s="4" t="n">
        <v>2235</v>
      </c>
      <c r="F752" s="4" t="inlineStr">
        <is>
          <t>IQT</t>
        </is>
      </c>
      <c r="G752" s="4" t="inlineStr">
        <is>
          <t>LIM</t>
        </is>
      </c>
      <c r="H752" s="4" t="inlineStr">
        <is>
          <t>16:05:00</t>
        </is>
      </c>
      <c r="I752" s="4" t="inlineStr">
        <is>
          <t>17:55:00</t>
        </is>
      </c>
      <c r="J752" s="4" t="n">
        <v>320</v>
      </c>
      <c r="K752">
        <f>TEXT(TIMEVALUE(H752)-TIMEVALUE(I751)+(TIMEVALUE(H752)&lt;TIMEVALUE(I751)),"[h]:mm")</f>
        <v/>
      </c>
      <c r="L752" s="4" t="inlineStr">
        <is>
          <t>01:50:00</t>
        </is>
      </c>
      <c r="O752">
        <f>"LIM-"&amp;G751&amp;"-LIM   LA "&amp;E751&amp;" ("&amp;LEFT(H751,5)&amp;"-"&amp;LEFT(I751,5)&amp;" hrs)  /  LA "&amp;E752&amp;" ("&amp;LEFT(H752,5)&amp;"-"&amp;LEFT(I752,5)&amp;" hrs)"</f>
        <v/>
      </c>
    </row>
    <row r="753">
      <c r="J753" s="8" t="inlineStr">
        <is>
          <t>PSV total:</t>
        </is>
      </c>
      <c r="K753" s="9">
        <f>TEXT(TIMEVALUE(I752)-TIMEVALUE(H751)+(I752&lt;H751),"[h]:mm")</f>
        <v/>
      </c>
    </row>
    <row r="755">
      <c r="B755" s="3" t="inlineStr">
        <is>
          <t>Pairing ID</t>
        </is>
      </c>
      <c r="C755" s="3" t="inlineStr">
        <is>
          <t>FECHA REAL</t>
        </is>
      </c>
      <c r="D755" s="3" t="inlineStr">
        <is>
          <t>Day of Week</t>
        </is>
      </c>
      <c r="E755" s="3" t="inlineStr">
        <is>
          <t>Flight No</t>
        </is>
      </c>
      <c r="F755" s="3" t="inlineStr">
        <is>
          <t>Dep Stn</t>
        </is>
      </c>
      <c r="G755" s="3" t="inlineStr">
        <is>
          <t>Arr Stn</t>
        </is>
      </c>
      <c r="H755" s="3" t="inlineStr">
        <is>
          <t>STD</t>
        </is>
      </c>
      <c r="I755" s="3" t="inlineStr">
        <is>
          <t>STA</t>
        </is>
      </c>
      <c r="J755" s="3" t="inlineStr">
        <is>
          <t>subflota</t>
        </is>
      </c>
      <c r="K755" s="3" t="inlineStr">
        <is>
          <t>Conexion</t>
        </is>
      </c>
      <c r="L755" s="3" t="inlineStr">
        <is>
          <t>HBT</t>
        </is>
      </c>
    </row>
    <row r="756">
      <c r="B756" s="4" t="n">
        <v>819</v>
      </c>
      <c r="C756" s="4" t="inlineStr">
        <is>
          <t>09/09/2026</t>
        </is>
      </c>
      <c r="D756" s="4" t="inlineStr">
        <is>
          <t>miércoles</t>
        </is>
      </c>
      <c r="E756" s="4" t="n">
        <v>2232</v>
      </c>
      <c r="F756" s="4" t="inlineStr">
        <is>
          <t>LIM</t>
        </is>
      </c>
      <c r="G756" s="4" t="inlineStr">
        <is>
          <t>CUZ</t>
        </is>
      </c>
      <c r="H756" s="4" t="inlineStr">
        <is>
          <t>13:55:00</t>
        </is>
      </c>
      <c r="I756" s="4" t="inlineStr">
        <is>
          <t>15:15:00</t>
        </is>
      </c>
      <c r="J756" s="4" t="n">
        <v>320</v>
      </c>
      <c r="L756" s="4" t="inlineStr">
        <is>
          <t>01:20:00</t>
        </is>
      </c>
      <c r="M756" s="5" t="n"/>
      <c r="N756" s="6" t="n"/>
      <c r="O756" s="5" t="n"/>
      <c r="Q756" s="4">
        <f>B756</f>
        <v/>
      </c>
      <c r="R756" s="4">
        <f>C756</f>
        <v/>
      </c>
      <c r="S756" s="4">
        <f>D756</f>
        <v/>
      </c>
      <c r="T756" s="4">
        <f>E756&amp;"/"&amp;E757</f>
        <v/>
      </c>
      <c r="U756" s="4">
        <f>F756&amp;"-"&amp;G756&amp;"-"&amp;F756</f>
        <v/>
      </c>
      <c r="V756" s="4">
        <f>IF($M$756="","",$M$756)</f>
        <v/>
      </c>
      <c r="W756" s="4">
        <f>IF($O$756="","",$O$756)</f>
        <v/>
      </c>
      <c r="X756" s="4">
        <f>J756</f>
        <v/>
      </c>
    </row>
    <row r="757">
      <c r="B757" s="4" t="n">
        <v>819</v>
      </c>
      <c r="C757" s="4" t="inlineStr">
        <is>
          <t>09/09/2026</t>
        </is>
      </c>
      <c r="D757" s="4" t="inlineStr">
        <is>
          <t>miércoles</t>
        </is>
      </c>
      <c r="E757" s="4" t="n">
        <v>2233</v>
      </c>
      <c r="F757" s="4" t="inlineStr">
        <is>
          <t>CUZ</t>
        </is>
      </c>
      <c r="G757" s="4" t="inlineStr">
        <is>
          <t>LIM</t>
        </is>
      </c>
      <c r="H757" s="4" t="inlineStr">
        <is>
          <t>15:55:00</t>
        </is>
      </c>
      <c r="I757" s="4" t="inlineStr">
        <is>
          <t>17:35:00</t>
        </is>
      </c>
      <c r="J757" s="4" t="n">
        <v>320</v>
      </c>
      <c r="K757">
        <f>TEXT(TIMEVALUE(H757)-TIMEVALUE(I756)+(TIMEVALUE(H757)&lt;TIMEVALUE(I756)),"[h]:mm")</f>
        <v/>
      </c>
      <c r="L757" s="4" t="inlineStr">
        <is>
          <t>01:40:00</t>
        </is>
      </c>
      <c r="O757">
        <f>"LIM-"&amp;G756&amp;"-LIM   LA "&amp;E756&amp;" ("&amp;LEFT(H756,5)&amp;"-"&amp;LEFT(I756,5)&amp;" hrs)  /  LA "&amp;E757&amp;" ("&amp;LEFT(H757,5)&amp;"-"&amp;LEFT(I757,5)&amp;" hrs)"</f>
        <v/>
      </c>
    </row>
    <row r="758">
      <c r="J758" s="8" t="inlineStr">
        <is>
          <t>PSV total:</t>
        </is>
      </c>
      <c r="K758" s="9">
        <f>TEXT(TIMEVALUE(I757)-TIMEVALUE(H756)+(I757&lt;H756),"[h]:mm")</f>
        <v/>
      </c>
    </row>
    <row r="760">
      <c r="B760" s="3" t="inlineStr">
        <is>
          <t>Pairing ID</t>
        </is>
      </c>
      <c r="C760" s="3" t="inlineStr">
        <is>
          <t>FECHA REAL</t>
        </is>
      </c>
      <c r="D760" s="3" t="inlineStr">
        <is>
          <t>Day of Week</t>
        </is>
      </c>
      <c r="E760" s="3" t="inlineStr">
        <is>
          <t>Flight No</t>
        </is>
      </c>
      <c r="F760" s="3" t="inlineStr">
        <is>
          <t>Dep Stn</t>
        </is>
      </c>
      <c r="G760" s="3" t="inlineStr">
        <is>
          <t>Arr Stn</t>
        </is>
      </c>
      <c r="H760" s="3" t="inlineStr">
        <is>
          <t>STD</t>
        </is>
      </c>
      <c r="I760" s="3" t="inlineStr">
        <is>
          <t>STA</t>
        </is>
      </c>
      <c r="J760" s="3" t="inlineStr">
        <is>
          <t>subflota</t>
        </is>
      </c>
      <c r="K760" s="3" t="inlineStr">
        <is>
          <t>Conexion</t>
        </is>
      </c>
      <c r="L760" s="3" t="inlineStr">
        <is>
          <t>HBT</t>
        </is>
      </c>
    </row>
    <row r="761">
      <c r="B761" s="4" t="n">
        <v>820</v>
      </c>
      <c r="C761" s="4" t="inlineStr">
        <is>
          <t>09/09/2026</t>
        </is>
      </c>
      <c r="D761" s="4" t="inlineStr">
        <is>
          <t>miércoles</t>
        </is>
      </c>
      <c r="E761" s="4" t="n">
        <v>2087</v>
      </c>
      <c r="F761" s="4" t="inlineStr">
        <is>
          <t>LIM</t>
        </is>
      </c>
      <c r="G761" s="4" t="inlineStr">
        <is>
          <t>TPP</t>
        </is>
      </c>
      <c r="H761" s="4" t="inlineStr">
        <is>
          <t>14:05:00</t>
        </is>
      </c>
      <c r="I761" s="4" t="inlineStr">
        <is>
          <t>15:30:00</t>
        </is>
      </c>
      <c r="J761" s="4" t="n">
        <v>320</v>
      </c>
      <c r="L761" s="4" t="inlineStr">
        <is>
          <t>01:25:00</t>
        </is>
      </c>
      <c r="M761" s="5" t="n"/>
      <c r="N761" s="6" t="n"/>
      <c r="O761" s="5" t="n"/>
      <c r="Q761" s="4">
        <f>B761</f>
        <v/>
      </c>
      <c r="R761" s="4">
        <f>C761</f>
        <v/>
      </c>
      <c r="S761" s="4">
        <f>D761</f>
        <v/>
      </c>
      <c r="T761" s="4">
        <f>E761&amp;"/"&amp;E762</f>
        <v/>
      </c>
      <c r="U761" s="4">
        <f>F761&amp;"-"&amp;G761&amp;"-"&amp;F761</f>
        <v/>
      </c>
      <c r="V761" s="4">
        <f>IF($M$761="","",$M$761)</f>
        <v/>
      </c>
      <c r="W761" s="4">
        <f>IF($O$761="","",$O$761)</f>
        <v/>
      </c>
      <c r="X761" s="4">
        <f>J761</f>
        <v/>
      </c>
    </row>
    <row r="762">
      <c r="B762" s="4" t="n">
        <v>820</v>
      </c>
      <c r="C762" s="4" t="inlineStr">
        <is>
          <t>09/09/2026</t>
        </is>
      </c>
      <c r="D762" s="4" t="inlineStr">
        <is>
          <t>miércoles</t>
        </is>
      </c>
      <c r="E762" s="4" t="n">
        <v>2088</v>
      </c>
      <c r="F762" s="4" t="inlineStr">
        <is>
          <t>TPP</t>
        </is>
      </c>
      <c r="G762" s="4" t="inlineStr">
        <is>
          <t>LIM</t>
        </is>
      </c>
      <c r="H762" s="4" t="inlineStr">
        <is>
          <t>16:05:00</t>
        </is>
      </c>
      <c r="I762" s="4" t="inlineStr">
        <is>
          <t>17:30:00</t>
        </is>
      </c>
      <c r="J762" s="4" t="n">
        <v>320</v>
      </c>
      <c r="K762">
        <f>TEXT(TIMEVALUE(H762)-TIMEVALUE(I761)+(TIMEVALUE(H762)&lt;TIMEVALUE(I761)),"[h]:mm")</f>
        <v/>
      </c>
      <c r="L762" s="4" t="inlineStr">
        <is>
          <t>01:25:00</t>
        </is>
      </c>
      <c r="O762">
        <f>"LIM-"&amp;G761&amp;"-LIM   LA "&amp;E761&amp;" ("&amp;LEFT(H761,5)&amp;"-"&amp;LEFT(I761,5)&amp;" hrs)  /  LA "&amp;E762&amp;" ("&amp;LEFT(H762,5)&amp;"-"&amp;LEFT(I762,5)&amp;" hrs)"</f>
        <v/>
      </c>
    </row>
    <row r="763">
      <c r="J763" s="8" t="inlineStr">
        <is>
          <t>PSV total:</t>
        </is>
      </c>
      <c r="K763" s="9">
        <f>TEXT(TIMEVALUE(I762)-TIMEVALUE(H761)+(I762&lt;H761),"[h]:mm")</f>
        <v/>
      </c>
    </row>
    <row r="765">
      <c r="B765" s="3" t="inlineStr">
        <is>
          <t>Pairing ID</t>
        </is>
      </c>
      <c r="C765" s="3" t="inlineStr">
        <is>
          <t>FECHA REAL</t>
        </is>
      </c>
      <c r="D765" s="3" t="inlineStr">
        <is>
          <t>Day of Week</t>
        </is>
      </c>
      <c r="E765" s="3" t="inlineStr">
        <is>
          <t>Flight No</t>
        </is>
      </c>
      <c r="F765" s="3" t="inlineStr">
        <is>
          <t>Dep Stn</t>
        </is>
      </c>
      <c r="G765" s="3" t="inlineStr">
        <is>
          <t>Arr Stn</t>
        </is>
      </c>
      <c r="H765" s="3" t="inlineStr">
        <is>
          <t>STD</t>
        </is>
      </c>
      <c r="I765" s="3" t="inlineStr">
        <is>
          <t>STA</t>
        </is>
      </c>
      <c r="J765" s="3" t="inlineStr">
        <is>
          <t>subflota</t>
        </is>
      </c>
      <c r="K765" s="3" t="inlineStr">
        <is>
          <t>Conexion</t>
        </is>
      </c>
      <c r="L765" s="3" t="inlineStr">
        <is>
          <t>HBT</t>
        </is>
      </c>
    </row>
    <row r="766">
      <c r="B766" s="4" t="n">
        <v>821</v>
      </c>
      <c r="C766" s="4" t="inlineStr">
        <is>
          <t>09/09/2026</t>
        </is>
      </c>
      <c r="D766" s="4" t="inlineStr">
        <is>
          <t>miércoles</t>
        </is>
      </c>
      <c r="E766" s="4" t="n">
        <v>2087</v>
      </c>
      <c r="F766" s="4" t="inlineStr">
        <is>
          <t>LIM</t>
        </is>
      </c>
      <c r="G766" s="4" t="inlineStr">
        <is>
          <t>TPP</t>
        </is>
      </c>
      <c r="H766" s="4" t="inlineStr">
        <is>
          <t>14:05:00</t>
        </is>
      </c>
      <c r="I766" s="4" t="inlineStr">
        <is>
          <t>15:30:00</t>
        </is>
      </c>
      <c r="J766" s="4" t="n">
        <v>320</v>
      </c>
      <c r="L766" s="4" t="inlineStr">
        <is>
          <t>01:25:00</t>
        </is>
      </c>
      <c r="M766" s="5" t="n"/>
      <c r="N766" s="6" t="n"/>
      <c r="O766" s="5" t="n"/>
      <c r="Q766" s="4">
        <f>B766</f>
        <v/>
      </c>
      <c r="R766" s="4">
        <f>C766</f>
        <v/>
      </c>
      <c r="S766" s="4">
        <f>D766</f>
        <v/>
      </c>
      <c r="T766" s="4">
        <f>E766&amp;"/"&amp;E767</f>
        <v/>
      </c>
      <c r="U766" s="4">
        <f>F766&amp;"-"&amp;G766&amp;"-"&amp;F766</f>
        <v/>
      </c>
      <c r="V766" s="4">
        <f>IF($M$766="","",$M$766)</f>
        <v/>
      </c>
      <c r="W766" s="4">
        <f>IF($O$766="","",$O$766)</f>
        <v/>
      </c>
      <c r="X766" s="4">
        <f>J766</f>
        <v/>
      </c>
    </row>
    <row r="767">
      <c r="B767" s="4" t="n">
        <v>821</v>
      </c>
      <c r="C767" s="4" t="inlineStr">
        <is>
          <t>09/09/2026</t>
        </is>
      </c>
      <c r="D767" s="4" t="inlineStr">
        <is>
          <t>miércoles</t>
        </is>
      </c>
      <c r="E767" s="4" t="n">
        <v>2088</v>
      </c>
      <c r="F767" s="4" t="inlineStr">
        <is>
          <t>TPP</t>
        </is>
      </c>
      <c r="G767" s="4" t="inlineStr">
        <is>
          <t>LIM</t>
        </is>
      </c>
      <c r="H767" s="4" t="inlineStr">
        <is>
          <t>16:05:00</t>
        </is>
      </c>
      <c r="I767" s="4" t="inlineStr">
        <is>
          <t>17:30:00</t>
        </is>
      </c>
      <c r="J767" s="4" t="n">
        <v>320</v>
      </c>
      <c r="K767">
        <f>TEXT(TIMEVALUE(H767)-TIMEVALUE(I766)+(TIMEVALUE(H767)&lt;TIMEVALUE(I766)),"[h]:mm")</f>
        <v/>
      </c>
      <c r="L767" s="4" t="inlineStr">
        <is>
          <t>01:25:00</t>
        </is>
      </c>
      <c r="O767">
        <f>"LIM-"&amp;G766&amp;"-LIM   LA "&amp;E766&amp;" ("&amp;LEFT(H766,5)&amp;"-"&amp;LEFT(I766,5)&amp;" hrs)  /  LA "&amp;E767&amp;" ("&amp;LEFT(H767,5)&amp;"-"&amp;LEFT(I767,5)&amp;" hrs)"</f>
        <v/>
      </c>
    </row>
    <row r="768">
      <c r="J768" s="8" t="inlineStr">
        <is>
          <t>PSV total:</t>
        </is>
      </c>
      <c r="K768" s="9">
        <f>TEXT(TIMEVALUE(I767)-TIMEVALUE(H766)+(I767&lt;H766),"[h]:mm")</f>
        <v/>
      </c>
    </row>
    <row r="770">
      <c r="B770" s="3" t="inlineStr">
        <is>
          <t>Pairing ID</t>
        </is>
      </c>
      <c r="C770" s="3" t="inlineStr">
        <is>
          <t>FECHA REAL</t>
        </is>
      </c>
      <c r="D770" s="3" t="inlineStr">
        <is>
          <t>Day of Week</t>
        </is>
      </c>
      <c r="E770" s="3" t="inlineStr">
        <is>
          <t>Flight No</t>
        </is>
      </c>
      <c r="F770" s="3" t="inlineStr">
        <is>
          <t>Dep Stn</t>
        </is>
      </c>
      <c r="G770" s="3" t="inlineStr">
        <is>
          <t>Arr Stn</t>
        </is>
      </c>
      <c r="H770" s="3" t="inlineStr">
        <is>
          <t>STD</t>
        </is>
      </c>
      <c r="I770" s="3" t="inlineStr">
        <is>
          <t>STA</t>
        </is>
      </c>
      <c r="J770" s="3" t="inlineStr">
        <is>
          <t>subflota</t>
        </is>
      </c>
      <c r="K770" s="3" t="inlineStr">
        <is>
          <t>Conexion</t>
        </is>
      </c>
      <c r="L770" s="3" t="inlineStr">
        <is>
          <t>HBT</t>
        </is>
      </c>
    </row>
    <row r="771">
      <c r="B771" s="4" t="n">
        <v>822</v>
      </c>
      <c r="C771" s="4" t="inlineStr">
        <is>
          <t>09/09/2026</t>
        </is>
      </c>
      <c r="D771" s="4" t="inlineStr">
        <is>
          <t>miércoles</t>
        </is>
      </c>
      <c r="E771" s="4" t="n">
        <v>2295</v>
      </c>
      <c r="F771" s="4" t="inlineStr">
        <is>
          <t>LIM</t>
        </is>
      </c>
      <c r="G771" s="4" t="inlineStr">
        <is>
          <t>CJA</t>
        </is>
      </c>
      <c r="H771" s="4" t="inlineStr">
        <is>
          <t>14:10:00</t>
        </is>
      </c>
      <c r="I771" s="4" t="inlineStr">
        <is>
          <t>15:30:00</t>
        </is>
      </c>
      <c r="J771" s="4" t="n">
        <v>319</v>
      </c>
      <c r="L771" s="4" t="inlineStr">
        <is>
          <t>01:20:00</t>
        </is>
      </c>
      <c r="M771" s="5" t="n"/>
      <c r="N771" s="6" t="n"/>
      <c r="O771" s="5" t="n"/>
      <c r="Q771" s="4">
        <f>B771</f>
        <v/>
      </c>
      <c r="R771" s="4">
        <f>C771</f>
        <v/>
      </c>
      <c r="S771" s="4">
        <f>D771</f>
        <v/>
      </c>
      <c r="T771" s="4">
        <f>E771&amp;"/"&amp;E772</f>
        <v/>
      </c>
      <c r="U771" s="4">
        <f>F771&amp;"-"&amp;G771&amp;"-"&amp;F771</f>
        <v/>
      </c>
      <c r="V771" s="4">
        <f>IF($M$771="","",$M$771)</f>
        <v/>
      </c>
      <c r="W771" s="4">
        <f>IF($O$771="","",$O$771)</f>
        <v/>
      </c>
      <c r="X771" s="4">
        <f>J771</f>
        <v/>
      </c>
    </row>
    <row r="772">
      <c r="B772" s="4" t="n">
        <v>822</v>
      </c>
      <c r="C772" s="4" t="inlineStr">
        <is>
          <t>09/09/2026</t>
        </is>
      </c>
      <c r="D772" s="4" t="inlineStr">
        <is>
          <t>miércoles</t>
        </is>
      </c>
      <c r="E772" s="4" t="n">
        <v>2294</v>
      </c>
      <c r="F772" s="4" t="inlineStr">
        <is>
          <t>CJA</t>
        </is>
      </c>
      <c r="G772" s="4" t="inlineStr">
        <is>
          <t>LIM</t>
        </is>
      </c>
      <c r="H772" s="4" t="inlineStr">
        <is>
          <t>16:10:00</t>
        </is>
      </c>
      <c r="I772" s="4" t="inlineStr">
        <is>
          <t>17:15:00</t>
        </is>
      </c>
      <c r="J772" s="4" t="n">
        <v>319</v>
      </c>
      <c r="K772">
        <f>TEXT(TIMEVALUE(H772)-TIMEVALUE(I771)+(TIMEVALUE(H772)&lt;TIMEVALUE(I771)),"[h]:mm")</f>
        <v/>
      </c>
      <c r="L772" s="4" t="inlineStr">
        <is>
          <t>01:05:00</t>
        </is>
      </c>
      <c r="O772">
        <f>"LIM-"&amp;G771&amp;"-LIM   LA "&amp;E771&amp;" ("&amp;LEFT(H771,5)&amp;"-"&amp;LEFT(I771,5)&amp;" hrs)  /  LA "&amp;E772&amp;" ("&amp;LEFT(H772,5)&amp;"-"&amp;LEFT(I772,5)&amp;" hrs)"</f>
        <v/>
      </c>
    </row>
    <row r="773">
      <c r="B773" s="4" t="n">
        <v>842</v>
      </c>
      <c r="C773" s="4" t="inlineStr">
        <is>
          <t>09/09/2026</t>
        </is>
      </c>
      <c r="D773" s="4" t="inlineStr">
        <is>
          <t>miércoles</t>
        </is>
      </c>
      <c r="E773" s="4" t="n">
        <v>2039</v>
      </c>
      <c r="F773" s="4" t="inlineStr">
        <is>
          <t>LIM</t>
        </is>
      </c>
      <c r="G773" s="4" t="inlineStr">
        <is>
          <t>PCL</t>
        </is>
      </c>
      <c r="H773" s="4" t="inlineStr">
        <is>
          <t>18:15:00</t>
        </is>
      </c>
      <c r="I773" s="4" t="inlineStr">
        <is>
          <t>19:30:00</t>
        </is>
      </c>
      <c r="J773" s="4" t="n">
        <v>320</v>
      </c>
      <c r="K773" s="7">
        <f>TEXT(TIMEVALUE(H773)-TIMEVALUE(I772)+(TIMEVALUE(H773)&lt;TIMEVALUE(I772)),"[h]:mm")</f>
        <v/>
      </c>
      <c r="L773" s="4" t="inlineStr">
        <is>
          <t>01:15:00</t>
        </is>
      </c>
      <c r="M773">
        <f>IF($M$771="","",$M$771)</f>
        <v/>
      </c>
      <c r="O773">
        <f>IF($O$771="","",$O$771)</f>
        <v/>
      </c>
      <c r="Q773" s="4">
        <f>B773</f>
        <v/>
      </c>
      <c r="R773" s="4">
        <f>C773</f>
        <v/>
      </c>
      <c r="S773" s="4">
        <f>D773</f>
        <v/>
      </c>
      <c r="T773" s="4">
        <f>E773&amp;"/"&amp;E774</f>
        <v/>
      </c>
      <c r="U773" s="4">
        <f>F773&amp;"-"&amp;G773&amp;"-"&amp;F773</f>
        <v/>
      </c>
      <c r="V773" s="4">
        <f>IF($M$771="","",$M$771)</f>
        <v/>
      </c>
      <c r="W773" s="4">
        <f>IF($O$771="","",$O$771)</f>
        <v/>
      </c>
      <c r="X773" s="4">
        <f>J773</f>
        <v/>
      </c>
    </row>
    <row r="774">
      <c r="B774" s="4" t="n">
        <v>842</v>
      </c>
      <c r="C774" s="4" t="inlineStr">
        <is>
          <t>09/09/2026</t>
        </is>
      </c>
      <c r="D774" s="4" t="inlineStr">
        <is>
          <t>miércoles</t>
        </is>
      </c>
      <c r="E774" s="4" t="n">
        <v>2040</v>
      </c>
      <c r="F774" s="4" t="inlineStr">
        <is>
          <t>PCL</t>
        </is>
      </c>
      <c r="G774" s="4" t="inlineStr">
        <is>
          <t>LIM</t>
        </is>
      </c>
      <c r="H774" s="4" t="inlineStr">
        <is>
          <t>20:15:00</t>
        </is>
      </c>
      <c r="I774" s="4" t="inlineStr">
        <is>
          <t>21:30:00</t>
        </is>
      </c>
      <c r="J774" s="4" t="n">
        <v>320</v>
      </c>
      <c r="K774">
        <f>TEXT(TIMEVALUE(H774)-TIMEVALUE(I773)+(TIMEVALUE(H774)&lt;TIMEVALUE(I773)),"[h]:mm")</f>
        <v/>
      </c>
      <c r="L774" s="4" t="inlineStr">
        <is>
          <t>01:15:00</t>
        </is>
      </c>
      <c r="O774">
        <f>"LIM-"&amp;G773&amp;"-LIM   LA "&amp;E773&amp;" ("&amp;LEFT(H773,5)&amp;"-"&amp;LEFT(I773,5)&amp;" hrs)  /  LA "&amp;E774&amp;" ("&amp;LEFT(H774,5)&amp;"-"&amp;LEFT(I774,5)&amp;" hrs)"</f>
        <v/>
      </c>
    </row>
    <row r="775">
      <c r="J775" s="8" t="inlineStr">
        <is>
          <t>PSV total:</t>
        </is>
      </c>
      <c r="K775" s="9">
        <f>TEXT(TIMEVALUE(I774)-TIMEVALUE(H771)+(I774&lt;H771),"[h]:mm")</f>
        <v/>
      </c>
    </row>
    <row r="777">
      <c r="B777" s="3" t="inlineStr">
        <is>
          <t>Pairing ID</t>
        </is>
      </c>
      <c r="C777" s="3" t="inlineStr">
        <is>
          <t>FECHA REAL</t>
        </is>
      </c>
      <c r="D777" s="3" t="inlineStr">
        <is>
          <t>Day of Week</t>
        </is>
      </c>
      <c r="E777" s="3" t="inlineStr">
        <is>
          <t>Flight No</t>
        </is>
      </c>
      <c r="F777" s="3" t="inlineStr">
        <is>
          <t>Dep Stn</t>
        </is>
      </c>
      <c r="G777" s="3" t="inlineStr">
        <is>
          <t>Arr Stn</t>
        </is>
      </c>
      <c r="H777" s="3" t="inlineStr">
        <is>
          <t>STD</t>
        </is>
      </c>
      <c r="I777" s="3" t="inlineStr">
        <is>
          <t>STA</t>
        </is>
      </c>
      <c r="J777" s="3" t="inlineStr">
        <is>
          <t>subflota</t>
        </is>
      </c>
      <c r="K777" s="3" t="inlineStr">
        <is>
          <t>Conexion</t>
        </is>
      </c>
      <c r="L777" s="3" t="inlineStr">
        <is>
          <t>HBT</t>
        </is>
      </c>
    </row>
    <row r="778">
      <c r="B778" s="4" t="n">
        <v>825</v>
      </c>
      <c r="C778" s="4" t="inlineStr">
        <is>
          <t>09/09/2026</t>
        </is>
      </c>
      <c r="D778" s="4" t="inlineStr">
        <is>
          <t>miércoles</t>
        </is>
      </c>
      <c r="E778" s="4" t="n">
        <v>2022</v>
      </c>
      <c r="F778" s="4" t="inlineStr">
        <is>
          <t>LIM</t>
        </is>
      </c>
      <c r="G778" s="4" t="inlineStr">
        <is>
          <t>CUZ</t>
        </is>
      </c>
      <c r="H778" s="4" t="inlineStr">
        <is>
          <t>14:30:00</t>
        </is>
      </c>
      <c r="I778" s="4" t="inlineStr">
        <is>
          <t>15:50:00</t>
        </is>
      </c>
      <c r="J778" s="4" t="n">
        <v>320</v>
      </c>
      <c r="L778" s="4" t="inlineStr">
        <is>
          <t>01:20:00</t>
        </is>
      </c>
      <c r="M778" s="5" t="n"/>
      <c r="N778" s="6" t="n"/>
      <c r="O778" s="5" t="n"/>
      <c r="Q778" s="4">
        <f>B778</f>
        <v/>
      </c>
      <c r="R778" s="4">
        <f>C778</f>
        <v/>
      </c>
      <c r="S778" s="4">
        <f>D778</f>
        <v/>
      </c>
      <c r="T778" s="4">
        <f>E778&amp;"/"&amp;E779</f>
        <v/>
      </c>
      <c r="U778" s="4">
        <f>F778&amp;"-"&amp;G778&amp;"-"&amp;F778</f>
        <v/>
      </c>
      <c r="V778" s="4">
        <f>IF($M$778="","",$M$778)</f>
        <v/>
      </c>
      <c r="W778" s="4">
        <f>IF($O$778="","",$O$778)</f>
        <v/>
      </c>
      <c r="X778" s="4">
        <f>J778</f>
        <v/>
      </c>
    </row>
    <row r="779">
      <c r="B779" s="4" t="n">
        <v>825</v>
      </c>
      <c r="C779" s="4" t="inlineStr">
        <is>
          <t>09/09/2026</t>
        </is>
      </c>
      <c r="D779" s="4" t="inlineStr">
        <is>
          <t>miércoles</t>
        </is>
      </c>
      <c r="E779" s="4" t="n">
        <v>2025</v>
      </c>
      <c r="F779" s="4" t="inlineStr">
        <is>
          <t>CUZ</t>
        </is>
      </c>
      <c r="G779" s="4" t="inlineStr">
        <is>
          <t>LIM</t>
        </is>
      </c>
      <c r="H779" s="4" t="inlineStr">
        <is>
          <t>16:35:00</t>
        </is>
      </c>
      <c r="I779" s="4" t="inlineStr">
        <is>
          <t>18:10:00</t>
        </is>
      </c>
      <c r="J779" s="4" t="n">
        <v>320</v>
      </c>
      <c r="K779">
        <f>TEXT(TIMEVALUE(H779)-TIMEVALUE(I778)+(TIMEVALUE(H779)&lt;TIMEVALUE(I778)),"[h]:mm")</f>
        <v/>
      </c>
      <c r="L779" s="4" t="inlineStr">
        <is>
          <t>01:35:00</t>
        </is>
      </c>
      <c r="O779">
        <f>"LIM-"&amp;G778&amp;"-LIM   LA "&amp;E778&amp;" ("&amp;LEFT(H778,5)&amp;"-"&amp;LEFT(I778,5)&amp;" hrs)  /  LA "&amp;E779&amp;" ("&amp;LEFT(H779,5)&amp;"-"&amp;LEFT(I779,5)&amp;" hrs)"</f>
        <v/>
      </c>
    </row>
    <row r="780">
      <c r="J780" s="8" t="inlineStr">
        <is>
          <t>PSV total:</t>
        </is>
      </c>
      <c r="K780" s="9">
        <f>TEXT(TIMEVALUE(I779)-TIMEVALUE(H778)+(I779&lt;H778),"[h]:mm")</f>
        <v/>
      </c>
    </row>
    <row r="782">
      <c r="B782" s="3" t="inlineStr">
        <is>
          <t>Pairing ID</t>
        </is>
      </c>
      <c r="C782" s="3" t="inlineStr">
        <is>
          <t>FECHA REAL</t>
        </is>
      </c>
      <c r="D782" s="3" t="inlineStr">
        <is>
          <t>Day of Week</t>
        </is>
      </c>
      <c r="E782" s="3" t="inlineStr">
        <is>
          <t>Flight No</t>
        </is>
      </c>
      <c r="F782" s="3" t="inlineStr">
        <is>
          <t>Dep Stn</t>
        </is>
      </c>
      <c r="G782" s="3" t="inlineStr">
        <is>
          <t>Arr Stn</t>
        </is>
      </c>
      <c r="H782" s="3" t="inlineStr">
        <is>
          <t>STD</t>
        </is>
      </c>
      <c r="I782" s="3" t="inlineStr">
        <is>
          <t>STA</t>
        </is>
      </c>
      <c r="J782" s="3" t="inlineStr">
        <is>
          <t>subflota</t>
        </is>
      </c>
      <c r="K782" s="3" t="inlineStr">
        <is>
          <t>Conexion</t>
        </is>
      </c>
      <c r="L782" s="3" t="inlineStr">
        <is>
          <t>HBT</t>
        </is>
      </c>
    </row>
    <row r="783">
      <c r="B783" s="4" t="n">
        <v>826</v>
      </c>
      <c r="C783" s="4" t="inlineStr">
        <is>
          <t>09/09/2026</t>
        </is>
      </c>
      <c r="D783" s="4" t="inlineStr">
        <is>
          <t>miércoles</t>
        </is>
      </c>
      <c r="E783" s="4" t="n">
        <v>2282</v>
      </c>
      <c r="F783" s="4" t="inlineStr">
        <is>
          <t>LIM</t>
        </is>
      </c>
      <c r="G783" s="4" t="inlineStr">
        <is>
          <t>CIX</t>
        </is>
      </c>
      <c r="H783" s="4" t="inlineStr">
        <is>
          <t>14:45:00</t>
        </is>
      </c>
      <c r="I783" s="4" t="inlineStr">
        <is>
          <t>16:15:00</t>
        </is>
      </c>
      <c r="J783" s="4" t="n">
        <v>319</v>
      </c>
      <c r="L783" s="4" t="inlineStr">
        <is>
          <t>01:30:00</t>
        </is>
      </c>
      <c r="M783" s="5" t="n"/>
      <c r="N783" s="6" t="n"/>
      <c r="O783" s="5" t="n"/>
      <c r="Q783" s="4">
        <f>B783</f>
        <v/>
      </c>
      <c r="R783" s="4">
        <f>C783</f>
        <v/>
      </c>
      <c r="S783" s="4">
        <f>D783</f>
        <v/>
      </c>
      <c r="T783" s="4">
        <f>E783&amp;"/"&amp;E784</f>
        <v/>
      </c>
      <c r="U783" s="4">
        <f>F783&amp;"-"&amp;G783&amp;"-"&amp;F783</f>
        <v/>
      </c>
      <c r="V783" s="4">
        <f>IF($M$783="","",$M$783)</f>
        <v/>
      </c>
      <c r="W783" s="4">
        <f>IF($O$783="","",$O$783)</f>
        <v/>
      </c>
      <c r="X783" s="4">
        <f>J783</f>
        <v/>
      </c>
    </row>
    <row r="784">
      <c r="B784" s="4" t="n">
        <v>826</v>
      </c>
      <c r="C784" s="4" t="inlineStr">
        <is>
          <t>09/09/2026</t>
        </is>
      </c>
      <c r="D784" s="4" t="inlineStr">
        <is>
          <t>miércoles</t>
        </is>
      </c>
      <c r="E784" s="4" t="n">
        <v>2283</v>
      </c>
      <c r="F784" s="4" t="inlineStr">
        <is>
          <t>CIX</t>
        </is>
      </c>
      <c r="G784" s="4" t="inlineStr">
        <is>
          <t>LIM</t>
        </is>
      </c>
      <c r="H784" s="4" t="inlineStr">
        <is>
          <t>16:50:00</t>
        </is>
      </c>
      <c r="I784" s="4" t="inlineStr">
        <is>
          <t>18:10:00</t>
        </is>
      </c>
      <c r="J784" s="4" t="n">
        <v>319</v>
      </c>
      <c r="K784">
        <f>TEXT(TIMEVALUE(H784)-TIMEVALUE(I783)+(TIMEVALUE(H784)&lt;TIMEVALUE(I783)),"[h]:mm")</f>
        <v/>
      </c>
      <c r="L784" s="4" t="inlineStr">
        <is>
          <t>01:20:00</t>
        </is>
      </c>
      <c r="O784">
        <f>"LIM-"&amp;G783&amp;"-LIM   LA "&amp;E783&amp;" ("&amp;LEFT(H783,5)&amp;"-"&amp;LEFT(I783,5)&amp;" hrs)  /  LA "&amp;E784&amp;" ("&amp;LEFT(H784,5)&amp;"-"&amp;LEFT(I784,5)&amp;" hrs)"</f>
        <v/>
      </c>
    </row>
    <row r="785">
      <c r="J785" s="8" t="inlineStr">
        <is>
          <t>PSV total:</t>
        </is>
      </c>
      <c r="K785" s="9">
        <f>TEXT(TIMEVALUE(I784)-TIMEVALUE(H783)+(I784&lt;H783),"[h]:mm")</f>
        <v/>
      </c>
    </row>
    <row r="787">
      <c r="B787" s="3" t="inlineStr">
        <is>
          <t>Pairing ID</t>
        </is>
      </c>
      <c r="C787" s="3" t="inlineStr">
        <is>
          <t>FECHA REAL</t>
        </is>
      </c>
      <c r="D787" s="3" t="inlineStr">
        <is>
          <t>Day of Week</t>
        </is>
      </c>
      <c r="E787" s="3" t="inlineStr">
        <is>
          <t>Flight No</t>
        </is>
      </c>
      <c r="F787" s="3" t="inlineStr">
        <is>
          <t>Dep Stn</t>
        </is>
      </c>
      <c r="G787" s="3" t="inlineStr">
        <is>
          <t>Arr Stn</t>
        </is>
      </c>
      <c r="H787" s="3" t="inlineStr">
        <is>
          <t>STD</t>
        </is>
      </c>
      <c r="I787" s="3" t="inlineStr">
        <is>
          <t>STA</t>
        </is>
      </c>
      <c r="J787" s="3" t="inlineStr">
        <is>
          <t>subflota</t>
        </is>
      </c>
      <c r="K787" s="3" t="inlineStr">
        <is>
          <t>Conexion</t>
        </is>
      </c>
      <c r="L787" s="3" t="inlineStr">
        <is>
          <t>HBT</t>
        </is>
      </c>
    </row>
    <row r="788">
      <c r="B788" s="4" t="n">
        <v>827</v>
      </c>
      <c r="C788" s="4" t="inlineStr">
        <is>
          <t>09/09/2026</t>
        </is>
      </c>
      <c r="D788" s="4" t="inlineStr">
        <is>
          <t>miércoles</t>
        </is>
      </c>
      <c r="E788" s="4" t="n">
        <v>2338</v>
      </c>
      <c r="F788" s="4" t="inlineStr">
        <is>
          <t>LIM</t>
        </is>
      </c>
      <c r="G788" s="4" t="inlineStr">
        <is>
          <t>PIU</t>
        </is>
      </c>
      <c r="H788" s="4" t="inlineStr">
        <is>
          <t>15:00:00</t>
        </is>
      </c>
      <c r="I788" s="4" t="inlineStr">
        <is>
          <t>16:45:00</t>
        </is>
      </c>
      <c r="J788" s="4" t="n">
        <v>319</v>
      </c>
      <c r="L788" s="4" t="inlineStr">
        <is>
          <t>01:45:00</t>
        </is>
      </c>
      <c r="M788" s="5" t="n"/>
      <c r="N788" s="6" t="n"/>
      <c r="O788" s="5" t="n"/>
      <c r="Q788" s="4">
        <f>B788</f>
        <v/>
      </c>
      <c r="R788" s="4">
        <f>C788</f>
        <v/>
      </c>
      <c r="S788" s="4">
        <f>D788</f>
        <v/>
      </c>
      <c r="T788" s="4">
        <f>E788&amp;"/"&amp;E789</f>
        <v/>
      </c>
      <c r="U788" s="4">
        <f>F788&amp;"-"&amp;G788&amp;"-"&amp;F788</f>
        <v/>
      </c>
      <c r="V788" s="4">
        <f>IF($M$788="","",$M$788)</f>
        <v/>
      </c>
      <c r="W788" s="4">
        <f>IF($O$788="","",$O$788)</f>
        <v/>
      </c>
      <c r="X788" s="4">
        <f>J788</f>
        <v/>
      </c>
    </row>
    <row r="789">
      <c r="B789" s="4" t="n">
        <v>827</v>
      </c>
      <c r="C789" s="4" t="inlineStr">
        <is>
          <t>09/09/2026</t>
        </is>
      </c>
      <c r="D789" s="4" t="inlineStr">
        <is>
          <t>miércoles</t>
        </is>
      </c>
      <c r="E789" s="4" t="n">
        <v>2339</v>
      </c>
      <c r="F789" s="4" t="inlineStr">
        <is>
          <t>PIU</t>
        </is>
      </c>
      <c r="G789" s="4" t="inlineStr">
        <is>
          <t>LIM</t>
        </is>
      </c>
      <c r="H789" s="4" t="inlineStr">
        <is>
          <t>17:20:00</t>
        </is>
      </c>
      <c r="I789" s="4" t="inlineStr">
        <is>
          <t>18:50:00</t>
        </is>
      </c>
      <c r="J789" s="4" t="n">
        <v>319</v>
      </c>
      <c r="K789">
        <f>TEXT(TIMEVALUE(H789)-TIMEVALUE(I788)+(TIMEVALUE(H789)&lt;TIMEVALUE(I788)),"[h]:mm")</f>
        <v/>
      </c>
      <c r="L789" s="4" t="inlineStr">
        <is>
          <t>01:30:00</t>
        </is>
      </c>
      <c r="O789">
        <f>"LIM-"&amp;G788&amp;"-LIM   LA "&amp;E788&amp;" ("&amp;LEFT(H788,5)&amp;"-"&amp;LEFT(I788,5)&amp;" hrs)  /  LA "&amp;E789&amp;" ("&amp;LEFT(H789,5)&amp;"-"&amp;LEFT(I789,5)&amp;" hrs)"</f>
        <v/>
      </c>
    </row>
    <row r="790">
      <c r="J790" s="8" t="inlineStr">
        <is>
          <t>PSV total:</t>
        </is>
      </c>
      <c r="K790" s="9">
        <f>TEXT(TIMEVALUE(I789)-TIMEVALUE(H788)+(I789&lt;H788),"[h]:mm")</f>
        <v/>
      </c>
    </row>
    <row r="792">
      <c r="B792" s="3" t="inlineStr">
        <is>
          <t>Pairing ID</t>
        </is>
      </c>
      <c r="C792" s="3" t="inlineStr">
        <is>
          <t>FECHA REAL</t>
        </is>
      </c>
      <c r="D792" s="3" t="inlineStr">
        <is>
          <t>Day of Week</t>
        </is>
      </c>
      <c r="E792" s="3" t="inlineStr">
        <is>
          <t>Flight No</t>
        </is>
      </c>
      <c r="F792" s="3" t="inlineStr">
        <is>
          <t>Dep Stn</t>
        </is>
      </c>
      <c r="G792" s="3" t="inlineStr">
        <is>
          <t>Arr Stn</t>
        </is>
      </c>
      <c r="H792" s="3" t="inlineStr">
        <is>
          <t>STD</t>
        </is>
      </c>
      <c r="I792" s="3" t="inlineStr">
        <is>
          <t>STA</t>
        </is>
      </c>
      <c r="J792" s="3" t="inlineStr">
        <is>
          <t>subflota</t>
        </is>
      </c>
      <c r="K792" s="3" t="inlineStr">
        <is>
          <t>Conexion</t>
        </is>
      </c>
      <c r="L792" s="3" t="inlineStr">
        <is>
          <t>HBT</t>
        </is>
      </c>
    </row>
    <row r="793">
      <c r="B793" s="4" t="n">
        <v>828</v>
      </c>
      <c r="C793" s="4" t="inlineStr">
        <is>
          <t>09/09/2026</t>
        </is>
      </c>
      <c r="D793" s="4" t="inlineStr">
        <is>
          <t>miércoles</t>
        </is>
      </c>
      <c r="E793" s="4" t="n">
        <v>2113</v>
      </c>
      <c r="F793" s="4" t="inlineStr">
        <is>
          <t>LIM</t>
        </is>
      </c>
      <c r="G793" s="4" t="inlineStr">
        <is>
          <t>AQP</t>
        </is>
      </c>
      <c r="H793" s="4" t="inlineStr">
        <is>
          <t>15:05:00</t>
        </is>
      </c>
      <c r="I793" s="4" t="inlineStr">
        <is>
          <t>16:35:00</t>
        </is>
      </c>
      <c r="J793" s="4" t="n">
        <v>319</v>
      </c>
      <c r="L793" s="4" t="inlineStr">
        <is>
          <t>01:30:00</t>
        </is>
      </c>
      <c r="M793" s="5" t="n"/>
      <c r="N793" s="6" t="n"/>
      <c r="O793" s="5" t="n"/>
      <c r="Q793" s="4">
        <f>B793</f>
        <v/>
      </c>
      <c r="R793" s="4">
        <f>C793</f>
        <v/>
      </c>
      <c r="S793" s="4">
        <f>D793</f>
        <v/>
      </c>
      <c r="T793" s="4">
        <f>E793&amp;"/"&amp;E794</f>
        <v/>
      </c>
      <c r="U793" s="4">
        <f>F793&amp;"-"&amp;G793&amp;"-"&amp;F793</f>
        <v/>
      </c>
      <c r="V793" s="4">
        <f>IF($M$793="","",$M$793)</f>
        <v/>
      </c>
      <c r="W793" s="4">
        <f>IF($O$793="","",$O$793)</f>
        <v/>
      </c>
      <c r="X793" s="4">
        <f>J793</f>
        <v/>
      </c>
    </row>
    <row r="794">
      <c r="B794" s="4" t="n">
        <v>828</v>
      </c>
      <c r="C794" s="4" t="inlineStr">
        <is>
          <t>09/09/2026</t>
        </is>
      </c>
      <c r="D794" s="4" t="inlineStr">
        <is>
          <t>miércoles</t>
        </is>
      </c>
      <c r="E794" s="4" t="n">
        <v>2112</v>
      </c>
      <c r="F794" s="4" t="inlineStr">
        <is>
          <t>AQP</t>
        </is>
      </c>
      <c r="G794" s="4" t="inlineStr">
        <is>
          <t>LIM</t>
        </is>
      </c>
      <c r="H794" s="4" t="inlineStr">
        <is>
          <t>17:15:00</t>
        </is>
      </c>
      <c r="I794" s="4" t="inlineStr">
        <is>
          <t>18:55:00</t>
        </is>
      </c>
      <c r="J794" s="4" t="n">
        <v>319</v>
      </c>
      <c r="K794">
        <f>TEXT(TIMEVALUE(H794)-TIMEVALUE(I793)+(TIMEVALUE(H794)&lt;TIMEVALUE(I793)),"[h]:mm")</f>
        <v/>
      </c>
      <c r="L794" s="4" t="inlineStr">
        <is>
          <t>01:40:00</t>
        </is>
      </c>
      <c r="O794">
        <f>"LIM-"&amp;G793&amp;"-LIM   LA "&amp;E793&amp;" ("&amp;LEFT(H793,5)&amp;"-"&amp;LEFT(I793,5)&amp;" hrs)  /  LA "&amp;E794&amp;" ("&amp;LEFT(H794,5)&amp;"-"&amp;LEFT(I794,5)&amp;" hrs)"</f>
        <v/>
      </c>
    </row>
    <row r="795">
      <c r="J795" s="8" t="inlineStr">
        <is>
          <t>PSV total:</t>
        </is>
      </c>
      <c r="K795" s="9">
        <f>TEXT(TIMEVALUE(I794)-TIMEVALUE(H793)+(I794&lt;H793),"[h]:mm")</f>
        <v/>
      </c>
    </row>
    <row r="797">
      <c r="B797" s="3" t="inlineStr">
        <is>
          <t>Pairing ID</t>
        </is>
      </c>
      <c r="C797" s="3" t="inlineStr">
        <is>
          <t>FECHA REAL</t>
        </is>
      </c>
      <c r="D797" s="3" t="inlineStr">
        <is>
          <t>Day of Week</t>
        </is>
      </c>
      <c r="E797" s="3" t="inlineStr">
        <is>
          <t>Flight No</t>
        </is>
      </c>
      <c r="F797" s="3" t="inlineStr">
        <is>
          <t>Dep Stn</t>
        </is>
      </c>
      <c r="G797" s="3" t="inlineStr">
        <is>
          <t>Arr Stn</t>
        </is>
      </c>
      <c r="H797" s="3" t="inlineStr">
        <is>
          <t>STD</t>
        </is>
      </c>
      <c r="I797" s="3" t="inlineStr">
        <is>
          <t>STA</t>
        </is>
      </c>
      <c r="J797" s="3" t="inlineStr">
        <is>
          <t>subflota</t>
        </is>
      </c>
      <c r="K797" s="3" t="inlineStr">
        <is>
          <t>Conexion</t>
        </is>
      </c>
      <c r="L797" s="3" t="inlineStr">
        <is>
          <t>HBT</t>
        </is>
      </c>
    </row>
    <row r="798">
      <c r="B798" s="4" t="n">
        <v>830</v>
      </c>
      <c r="C798" s="4" t="inlineStr">
        <is>
          <t>09/09/2026</t>
        </is>
      </c>
      <c r="D798" s="4" t="inlineStr">
        <is>
          <t>miércoles</t>
        </is>
      </c>
      <c r="E798" s="4" t="n">
        <v>2297</v>
      </c>
      <c r="F798" s="4" t="inlineStr">
        <is>
          <t>LIM</t>
        </is>
      </c>
      <c r="G798" s="4" t="inlineStr">
        <is>
          <t>CJA</t>
        </is>
      </c>
      <c r="H798" s="4" t="inlineStr">
        <is>
          <t>15:15:00</t>
        </is>
      </c>
      <c r="I798" s="4" t="inlineStr">
        <is>
          <t>16:35:00</t>
        </is>
      </c>
      <c r="J798" s="4" t="n">
        <v>320</v>
      </c>
      <c r="L798" s="4" t="inlineStr">
        <is>
          <t>01:20:00</t>
        </is>
      </c>
      <c r="M798" s="5" t="n"/>
      <c r="N798" s="6" t="n"/>
      <c r="O798" s="5" t="n"/>
      <c r="Q798" s="4">
        <f>B798</f>
        <v/>
      </c>
      <c r="R798" s="4">
        <f>C798</f>
        <v/>
      </c>
      <c r="S798" s="4">
        <f>D798</f>
        <v/>
      </c>
      <c r="T798" s="4">
        <f>E798&amp;"/"&amp;E799</f>
        <v/>
      </c>
      <c r="U798" s="4">
        <f>F798&amp;"-"&amp;G798&amp;"-"&amp;F798</f>
        <v/>
      </c>
      <c r="V798" s="4">
        <f>IF($M$798="","",$M$798)</f>
        <v/>
      </c>
      <c r="W798" s="4">
        <f>IF($O$798="","",$O$798)</f>
        <v/>
      </c>
      <c r="X798" s="4">
        <f>J798</f>
        <v/>
      </c>
    </row>
    <row r="799">
      <c r="B799" s="4" t="n">
        <v>830</v>
      </c>
      <c r="C799" s="4" t="inlineStr">
        <is>
          <t>09/09/2026</t>
        </is>
      </c>
      <c r="D799" s="4" t="inlineStr">
        <is>
          <t>miércoles</t>
        </is>
      </c>
      <c r="E799" s="4" t="n">
        <v>2296</v>
      </c>
      <c r="F799" s="4" t="inlineStr">
        <is>
          <t>CJA</t>
        </is>
      </c>
      <c r="G799" s="4" t="inlineStr">
        <is>
          <t>LIM</t>
        </is>
      </c>
      <c r="H799" s="4" t="inlineStr">
        <is>
          <t>17:20:00</t>
        </is>
      </c>
      <c r="I799" s="4" t="inlineStr">
        <is>
          <t>18:25:00</t>
        </is>
      </c>
      <c r="J799" s="4" t="n">
        <v>320</v>
      </c>
      <c r="K799">
        <f>TEXT(TIMEVALUE(H799)-TIMEVALUE(I798)+(TIMEVALUE(H799)&lt;TIMEVALUE(I798)),"[h]:mm")</f>
        <v/>
      </c>
      <c r="L799" s="4" t="inlineStr">
        <is>
          <t>01:05:00</t>
        </is>
      </c>
      <c r="O799">
        <f>"LIM-"&amp;G798&amp;"-LIM   LA "&amp;E798&amp;" ("&amp;LEFT(H798,5)&amp;"-"&amp;LEFT(I798,5)&amp;" hrs)  /  LA "&amp;E799&amp;" ("&amp;LEFT(H799,5)&amp;"-"&amp;LEFT(I799,5)&amp;" hrs)"</f>
        <v/>
      </c>
    </row>
    <row r="800">
      <c r="J800" s="8" t="inlineStr">
        <is>
          <t>PSV total:</t>
        </is>
      </c>
      <c r="K800" s="9">
        <f>TEXT(TIMEVALUE(I799)-TIMEVALUE(H798)+(I799&lt;H798),"[h]:mm")</f>
        <v/>
      </c>
    </row>
    <row r="802">
      <c r="B802" s="3" t="inlineStr">
        <is>
          <t>Pairing ID</t>
        </is>
      </c>
      <c r="C802" s="3" t="inlineStr">
        <is>
          <t>FECHA REAL</t>
        </is>
      </c>
      <c r="D802" s="3" t="inlineStr">
        <is>
          <t>Day of Week</t>
        </is>
      </c>
      <c r="E802" s="3" t="inlineStr">
        <is>
          <t>Flight No</t>
        </is>
      </c>
      <c r="F802" s="3" t="inlineStr">
        <is>
          <t>Dep Stn</t>
        </is>
      </c>
      <c r="G802" s="3" t="inlineStr">
        <is>
          <t>Arr Stn</t>
        </is>
      </c>
      <c r="H802" s="3" t="inlineStr">
        <is>
          <t>STD</t>
        </is>
      </c>
      <c r="I802" s="3" t="inlineStr">
        <is>
          <t>STA</t>
        </is>
      </c>
      <c r="J802" s="3" t="inlineStr">
        <is>
          <t>subflota</t>
        </is>
      </c>
      <c r="K802" s="3" t="inlineStr">
        <is>
          <t>Conexion</t>
        </is>
      </c>
      <c r="L802" s="3" t="inlineStr">
        <is>
          <t>HBT</t>
        </is>
      </c>
    </row>
    <row r="803">
      <c r="B803" s="4" t="n">
        <v>831</v>
      </c>
      <c r="C803" s="4" t="inlineStr">
        <is>
          <t>09/09/2026</t>
        </is>
      </c>
      <c r="D803" s="4" t="inlineStr">
        <is>
          <t>miércoles</t>
        </is>
      </c>
      <c r="E803" s="4" t="n">
        <v>2360</v>
      </c>
      <c r="F803" s="4" t="inlineStr">
        <is>
          <t>LIM</t>
        </is>
      </c>
      <c r="G803" s="4" t="inlineStr">
        <is>
          <t>PCL</t>
        </is>
      </c>
      <c r="H803" s="4" t="inlineStr">
        <is>
          <t>15:25:00</t>
        </is>
      </c>
      <c r="I803" s="4" t="inlineStr">
        <is>
          <t>16:40:00</t>
        </is>
      </c>
      <c r="J803" s="4" t="n">
        <v>320</v>
      </c>
      <c r="L803" s="4" t="inlineStr">
        <is>
          <t>01:15:00</t>
        </is>
      </c>
      <c r="M803" s="5" t="n"/>
      <c r="N803" s="6" t="n"/>
      <c r="O803" s="5" t="n"/>
      <c r="Q803" s="4">
        <f>B803</f>
        <v/>
      </c>
      <c r="R803" s="4">
        <f>C803</f>
        <v/>
      </c>
      <c r="S803" s="4">
        <f>D803</f>
        <v/>
      </c>
      <c r="T803" s="4">
        <f>E803&amp;"/"&amp;E804</f>
        <v/>
      </c>
      <c r="U803" s="4">
        <f>F803&amp;"-"&amp;G803&amp;"-"&amp;F803</f>
        <v/>
      </c>
      <c r="V803" s="4">
        <f>IF($M$803="","",$M$803)</f>
        <v/>
      </c>
      <c r="W803" s="4">
        <f>IF($O$803="","",$O$803)</f>
        <v/>
      </c>
      <c r="X803" s="4">
        <f>J803</f>
        <v/>
      </c>
    </row>
    <row r="804">
      <c r="B804" s="4" t="n">
        <v>831</v>
      </c>
      <c r="C804" s="4" t="inlineStr">
        <is>
          <t>09/09/2026</t>
        </is>
      </c>
      <c r="D804" s="4" t="inlineStr">
        <is>
          <t>miércoles</t>
        </is>
      </c>
      <c r="E804" s="4" t="n">
        <v>2361</v>
      </c>
      <c r="F804" s="4" t="inlineStr">
        <is>
          <t>PCL</t>
        </is>
      </c>
      <c r="G804" s="4" t="inlineStr">
        <is>
          <t>LIM</t>
        </is>
      </c>
      <c r="H804" s="4" t="inlineStr">
        <is>
          <t>17:20:00</t>
        </is>
      </c>
      <c r="I804" s="4" t="inlineStr">
        <is>
          <t>18:35:00</t>
        </is>
      </c>
      <c r="J804" s="4" t="n">
        <v>320</v>
      </c>
      <c r="K804">
        <f>TEXT(TIMEVALUE(H804)-TIMEVALUE(I803)+(TIMEVALUE(H804)&lt;TIMEVALUE(I803)),"[h]:mm")</f>
        <v/>
      </c>
      <c r="L804" s="4" t="inlineStr">
        <is>
          <t>01:15:00</t>
        </is>
      </c>
      <c r="O804">
        <f>"LIM-"&amp;G803&amp;"-LIM   LA "&amp;E803&amp;" ("&amp;LEFT(H803,5)&amp;"-"&amp;LEFT(I803,5)&amp;" hrs)  /  LA "&amp;E804&amp;" ("&amp;LEFT(H804,5)&amp;"-"&amp;LEFT(I804,5)&amp;" hrs)"</f>
        <v/>
      </c>
    </row>
    <row r="805">
      <c r="J805" s="8" t="inlineStr">
        <is>
          <t>PSV total:</t>
        </is>
      </c>
      <c r="K805" s="9">
        <f>TEXT(TIMEVALUE(I804)-TIMEVALUE(H803)+(I804&lt;H803),"[h]:mm")</f>
        <v/>
      </c>
    </row>
    <row r="807">
      <c r="B807" s="3" t="inlineStr">
        <is>
          <t>Pairing ID</t>
        </is>
      </c>
      <c r="C807" s="3" t="inlineStr">
        <is>
          <t>FECHA REAL</t>
        </is>
      </c>
      <c r="D807" s="3" t="inlineStr">
        <is>
          <t>Day of Week</t>
        </is>
      </c>
      <c r="E807" s="3" t="inlineStr">
        <is>
          <t>Flight No</t>
        </is>
      </c>
      <c r="F807" s="3" t="inlineStr">
        <is>
          <t>Dep Stn</t>
        </is>
      </c>
      <c r="G807" s="3" t="inlineStr">
        <is>
          <t>Arr Stn</t>
        </is>
      </c>
      <c r="H807" s="3" t="inlineStr">
        <is>
          <t>STD</t>
        </is>
      </c>
      <c r="I807" s="3" t="inlineStr">
        <is>
          <t>STA</t>
        </is>
      </c>
      <c r="J807" s="3" t="inlineStr">
        <is>
          <t>subflota</t>
        </is>
      </c>
      <c r="K807" s="3" t="inlineStr">
        <is>
          <t>Conexion</t>
        </is>
      </c>
      <c r="L807" s="3" t="inlineStr">
        <is>
          <t>HBT</t>
        </is>
      </c>
    </row>
    <row r="808">
      <c r="B808" s="4" t="n">
        <v>832</v>
      </c>
      <c r="C808" s="4" t="inlineStr">
        <is>
          <t>09/09/2026</t>
        </is>
      </c>
      <c r="D808" s="4" t="inlineStr">
        <is>
          <t>miércoles</t>
        </is>
      </c>
      <c r="E808" s="4" t="n">
        <v>2312</v>
      </c>
      <c r="F808" s="4" t="inlineStr">
        <is>
          <t>LIM</t>
        </is>
      </c>
      <c r="G808" s="4" t="inlineStr">
        <is>
          <t>CIX</t>
        </is>
      </c>
      <c r="H808" s="4" t="inlineStr">
        <is>
          <t>15:35:00</t>
        </is>
      </c>
      <c r="I808" s="4" t="inlineStr">
        <is>
          <t>17:05:00</t>
        </is>
      </c>
      <c r="J808" s="4" t="n">
        <v>320</v>
      </c>
      <c r="L808" s="4" t="inlineStr">
        <is>
          <t>01:30:00</t>
        </is>
      </c>
      <c r="M808" s="5" t="n"/>
      <c r="N808" s="6" t="n"/>
      <c r="O808" s="5" t="n"/>
      <c r="Q808" s="4">
        <f>B808</f>
        <v/>
      </c>
      <c r="R808" s="4">
        <f>C808</f>
        <v/>
      </c>
      <c r="S808" s="4">
        <f>D808</f>
        <v/>
      </c>
      <c r="T808" s="4">
        <f>E808&amp;"/"&amp;E809</f>
        <v/>
      </c>
      <c r="U808" s="4">
        <f>F808&amp;"-"&amp;G808&amp;"-"&amp;F808</f>
        <v/>
      </c>
      <c r="V808" s="4">
        <f>IF($M$808="","",$M$808)</f>
        <v/>
      </c>
      <c r="W808" s="4">
        <f>IF($O$808="","",$O$808)</f>
        <v/>
      </c>
      <c r="X808" s="4">
        <f>J808</f>
        <v/>
      </c>
    </row>
    <row r="809">
      <c r="B809" s="4" t="n">
        <v>832</v>
      </c>
      <c r="C809" s="4" t="inlineStr">
        <is>
          <t>09/09/2026</t>
        </is>
      </c>
      <c r="D809" s="4" t="inlineStr">
        <is>
          <t>miércoles</t>
        </is>
      </c>
      <c r="E809" s="4" t="n">
        <v>2313</v>
      </c>
      <c r="F809" s="4" t="inlineStr">
        <is>
          <t>CIX</t>
        </is>
      </c>
      <c r="G809" s="4" t="inlineStr">
        <is>
          <t>LIM</t>
        </is>
      </c>
      <c r="H809" s="4" t="inlineStr">
        <is>
          <t>17:50:00</t>
        </is>
      </c>
      <c r="I809" s="4" t="inlineStr">
        <is>
          <t>19:10:00</t>
        </is>
      </c>
      <c r="J809" s="4" t="n">
        <v>320</v>
      </c>
      <c r="K809">
        <f>TEXT(TIMEVALUE(H809)-TIMEVALUE(I808)+(TIMEVALUE(H809)&lt;TIMEVALUE(I808)),"[h]:mm")</f>
        <v/>
      </c>
      <c r="L809" s="4" t="inlineStr">
        <is>
          <t>01:20:00</t>
        </is>
      </c>
      <c r="O809">
        <f>"LIM-"&amp;G808&amp;"-LIM   LA "&amp;E808&amp;" ("&amp;LEFT(H808,5)&amp;"-"&amp;LEFT(I808,5)&amp;" hrs)  /  LA "&amp;E809&amp;" ("&amp;LEFT(H809,5)&amp;"-"&amp;LEFT(I809,5)&amp;" hrs)"</f>
        <v/>
      </c>
    </row>
    <row r="810">
      <c r="J810" s="8" t="inlineStr">
        <is>
          <t>PSV total:</t>
        </is>
      </c>
      <c r="K810" s="9">
        <f>TEXT(TIMEVALUE(I809)-TIMEVALUE(H808)+(I809&lt;H808),"[h]:mm")</f>
        <v/>
      </c>
    </row>
    <row r="812">
      <c r="B812" s="3" t="inlineStr">
        <is>
          <t>Pairing ID</t>
        </is>
      </c>
      <c r="C812" s="3" t="inlineStr">
        <is>
          <t>FECHA REAL</t>
        </is>
      </c>
      <c r="D812" s="3" t="inlineStr">
        <is>
          <t>Day of Week</t>
        </is>
      </c>
      <c r="E812" s="3" t="inlineStr">
        <is>
          <t>Flight No</t>
        </is>
      </c>
      <c r="F812" s="3" t="inlineStr">
        <is>
          <t>Dep Stn</t>
        </is>
      </c>
      <c r="G812" s="3" t="inlineStr">
        <is>
          <t>Arr Stn</t>
        </is>
      </c>
      <c r="H812" s="3" t="inlineStr">
        <is>
          <t>STD</t>
        </is>
      </c>
      <c r="I812" s="3" t="inlineStr">
        <is>
          <t>STA</t>
        </is>
      </c>
      <c r="J812" s="3" t="inlineStr">
        <is>
          <t>subflota</t>
        </is>
      </c>
      <c r="K812" s="3" t="inlineStr">
        <is>
          <t>Conexion</t>
        </is>
      </c>
      <c r="L812" s="3" t="inlineStr">
        <is>
          <t>HBT</t>
        </is>
      </c>
    </row>
    <row r="813">
      <c r="B813" s="4" t="n">
        <v>833</v>
      </c>
      <c r="C813" s="4" t="inlineStr">
        <is>
          <t>09/09/2026</t>
        </is>
      </c>
      <c r="D813" s="4" t="inlineStr">
        <is>
          <t>miércoles</t>
        </is>
      </c>
      <c r="E813" s="4" t="n">
        <v>2312</v>
      </c>
      <c r="F813" s="4" t="inlineStr">
        <is>
          <t>LIM</t>
        </is>
      </c>
      <c r="G813" s="4" t="inlineStr">
        <is>
          <t>CIX</t>
        </is>
      </c>
      <c r="H813" s="4" t="inlineStr">
        <is>
          <t>15:35:00</t>
        </is>
      </c>
      <c r="I813" s="4" t="inlineStr">
        <is>
          <t>17:05:00</t>
        </is>
      </c>
      <c r="J813" s="4" t="n">
        <v>320</v>
      </c>
      <c r="L813" s="4" t="inlineStr">
        <is>
          <t>01:30:00</t>
        </is>
      </c>
      <c r="M813" s="5" t="n"/>
      <c r="N813" s="6" t="n"/>
      <c r="O813" s="5" t="n"/>
      <c r="Q813" s="4">
        <f>B813</f>
        <v/>
      </c>
      <c r="R813" s="4">
        <f>C813</f>
        <v/>
      </c>
      <c r="S813" s="4">
        <f>D813</f>
        <v/>
      </c>
      <c r="T813" s="4">
        <f>E813&amp;"/"&amp;E814</f>
        <v/>
      </c>
      <c r="U813" s="4">
        <f>F813&amp;"-"&amp;G813&amp;"-"&amp;F813</f>
        <v/>
      </c>
      <c r="V813" s="4">
        <f>IF($M$813="","",$M$813)</f>
        <v/>
      </c>
      <c r="W813" s="4">
        <f>IF($O$813="","",$O$813)</f>
        <v/>
      </c>
      <c r="X813" s="4">
        <f>J813</f>
        <v/>
      </c>
    </row>
    <row r="814">
      <c r="B814" s="4" t="n">
        <v>833</v>
      </c>
      <c r="C814" s="4" t="inlineStr">
        <is>
          <t>09/09/2026</t>
        </is>
      </c>
      <c r="D814" s="4" t="inlineStr">
        <is>
          <t>miércoles</t>
        </is>
      </c>
      <c r="E814" s="4" t="n">
        <v>2313</v>
      </c>
      <c r="F814" s="4" t="inlineStr">
        <is>
          <t>CIX</t>
        </is>
      </c>
      <c r="G814" s="4" t="inlineStr">
        <is>
          <t>LIM</t>
        </is>
      </c>
      <c r="H814" s="4" t="inlineStr">
        <is>
          <t>17:50:00</t>
        </is>
      </c>
      <c r="I814" s="4" t="inlineStr">
        <is>
          <t>19:10:00</t>
        </is>
      </c>
      <c r="J814" s="4" t="n">
        <v>320</v>
      </c>
      <c r="K814">
        <f>TEXT(TIMEVALUE(H814)-TIMEVALUE(I813)+(TIMEVALUE(H814)&lt;TIMEVALUE(I813)),"[h]:mm")</f>
        <v/>
      </c>
      <c r="L814" s="4" t="inlineStr">
        <is>
          <t>01:20:00</t>
        </is>
      </c>
      <c r="O814">
        <f>"LIM-"&amp;G813&amp;"-LIM   LA "&amp;E813&amp;" ("&amp;LEFT(H813,5)&amp;"-"&amp;LEFT(I813,5)&amp;" hrs)  /  LA "&amp;E814&amp;" ("&amp;LEFT(H814,5)&amp;"-"&amp;LEFT(I814,5)&amp;" hrs)"</f>
        <v/>
      </c>
    </row>
    <row r="815">
      <c r="J815" s="8" t="inlineStr">
        <is>
          <t>PSV total:</t>
        </is>
      </c>
      <c r="K815" s="9">
        <f>TEXT(TIMEVALUE(I814)-TIMEVALUE(H813)+(I814&lt;H813),"[h]:mm")</f>
        <v/>
      </c>
    </row>
    <row r="817">
      <c r="B817" s="3" t="inlineStr">
        <is>
          <t>Pairing ID</t>
        </is>
      </c>
      <c r="C817" s="3" t="inlineStr">
        <is>
          <t>FECHA REAL</t>
        </is>
      </c>
      <c r="D817" s="3" t="inlineStr">
        <is>
          <t>Day of Week</t>
        </is>
      </c>
      <c r="E817" s="3" t="inlineStr">
        <is>
          <t>Flight No</t>
        </is>
      </c>
      <c r="F817" s="3" t="inlineStr">
        <is>
          <t>Dep Stn</t>
        </is>
      </c>
      <c r="G817" s="3" t="inlineStr">
        <is>
          <t>Arr Stn</t>
        </is>
      </c>
      <c r="H817" s="3" t="inlineStr">
        <is>
          <t>STD</t>
        </is>
      </c>
      <c r="I817" s="3" t="inlineStr">
        <is>
          <t>STA</t>
        </is>
      </c>
      <c r="J817" s="3" t="inlineStr">
        <is>
          <t>subflota</t>
        </is>
      </c>
      <c r="K817" s="3" t="inlineStr">
        <is>
          <t>Conexion</t>
        </is>
      </c>
      <c r="L817" s="3" t="inlineStr">
        <is>
          <t>HBT</t>
        </is>
      </c>
    </row>
    <row r="818">
      <c r="B818" s="4" t="n">
        <v>834</v>
      </c>
      <c r="C818" s="4" t="inlineStr">
        <is>
          <t>09/09/2026</t>
        </is>
      </c>
      <c r="D818" s="4" t="inlineStr">
        <is>
          <t>miércoles</t>
        </is>
      </c>
      <c r="E818" s="4" t="n">
        <v>2301</v>
      </c>
      <c r="F818" s="4" t="inlineStr">
        <is>
          <t>LIM</t>
        </is>
      </c>
      <c r="G818" s="4" t="inlineStr">
        <is>
          <t>TPP</t>
        </is>
      </c>
      <c r="H818" s="4" t="inlineStr">
        <is>
          <t>15:40:00</t>
        </is>
      </c>
      <c r="I818" s="4" t="inlineStr">
        <is>
          <t>17:05:00</t>
        </is>
      </c>
      <c r="J818" s="4" t="n">
        <v>320</v>
      </c>
      <c r="L818" s="4" t="inlineStr">
        <is>
          <t>01:25:00</t>
        </is>
      </c>
      <c r="M818" s="5" t="n"/>
      <c r="N818" s="6" t="n"/>
      <c r="O818" s="5" t="n"/>
      <c r="Q818" s="4">
        <f>B818</f>
        <v/>
      </c>
      <c r="R818" s="4">
        <f>C818</f>
        <v/>
      </c>
      <c r="S818" s="4">
        <f>D818</f>
        <v/>
      </c>
      <c r="T818" s="4">
        <f>E818&amp;"/"&amp;E819</f>
        <v/>
      </c>
      <c r="U818" s="4">
        <f>F818&amp;"-"&amp;G818&amp;"-"&amp;F818</f>
        <v/>
      </c>
      <c r="V818" s="4">
        <f>IF($M$818="","",$M$818)</f>
        <v/>
      </c>
      <c r="W818" s="4">
        <f>IF($O$818="","",$O$818)</f>
        <v/>
      </c>
      <c r="X818" s="4">
        <f>J818</f>
        <v/>
      </c>
    </row>
    <row r="819">
      <c r="B819" s="4" t="n">
        <v>834</v>
      </c>
      <c r="C819" s="4" t="inlineStr">
        <is>
          <t>09/09/2026</t>
        </is>
      </c>
      <c r="D819" s="4" t="inlineStr">
        <is>
          <t>miércoles</t>
        </is>
      </c>
      <c r="E819" s="4" t="n">
        <v>2300</v>
      </c>
      <c r="F819" s="4" t="inlineStr">
        <is>
          <t>TPP</t>
        </is>
      </c>
      <c r="G819" s="4" t="inlineStr">
        <is>
          <t>LIM</t>
        </is>
      </c>
      <c r="H819" s="4" t="inlineStr">
        <is>
          <t>17:50:00</t>
        </is>
      </c>
      <c r="I819" s="4" t="inlineStr">
        <is>
          <t>19:20:00</t>
        </is>
      </c>
      <c r="J819" s="4" t="n">
        <v>320</v>
      </c>
      <c r="K819">
        <f>TEXT(TIMEVALUE(H819)-TIMEVALUE(I818)+(TIMEVALUE(H819)&lt;TIMEVALUE(I818)),"[h]:mm")</f>
        <v/>
      </c>
      <c r="L819" s="4" t="inlineStr">
        <is>
          <t>01:30:00</t>
        </is>
      </c>
      <c r="O819">
        <f>"LIM-"&amp;G818&amp;"-LIM   LA "&amp;E818&amp;" ("&amp;LEFT(H818,5)&amp;"-"&amp;LEFT(I818,5)&amp;" hrs)  /  LA "&amp;E819&amp;" ("&amp;LEFT(H819,5)&amp;"-"&amp;LEFT(I819,5)&amp;" hrs)"</f>
        <v/>
      </c>
    </row>
    <row r="820">
      <c r="J820" s="8" t="inlineStr">
        <is>
          <t>PSV total:</t>
        </is>
      </c>
      <c r="K820" s="9">
        <f>TEXT(TIMEVALUE(I819)-TIMEVALUE(H818)+(I819&lt;H818),"[h]:mm")</f>
        <v/>
      </c>
    </row>
    <row r="822">
      <c r="B822" s="3" t="inlineStr">
        <is>
          <t>Pairing ID</t>
        </is>
      </c>
      <c r="C822" s="3" t="inlineStr">
        <is>
          <t>FECHA REAL</t>
        </is>
      </c>
      <c r="D822" s="3" t="inlineStr">
        <is>
          <t>Day of Week</t>
        </is>
      </c>
      <c r="E822" s="3" t="inlineStr">
        <is>
          <t>Flight No</t>
        </is>
      </c>
      <c r="F822" s="3" t="inlineStr">
        <is>
          <t>Dep Stn</t>
        </is>
      </c>
      <c r="G822" s="3" t="inlineStr">
        <is>
          <t>Arr Stn</t>
        </is>
      </c>
      <c r="H822" s="3" t="inlineStr">
        <is>
          <t>STD</t>
        </is>
      </c>
      <c r="I822" s="3" t="inlineStr">
        <is>
          <t>STA</t>
        </is>
      </c>
      <c r="J822" s="3" t="inlineStr">
        <is>
          <t>subflota</t>
        </is>
      </c>
      <c r="K822" s="3" t="inlineStr">
        <is>
          <t>Conexion</t>
        </is>
      </c>
      <c r="L822" s="3" t="inlineStr">
        <is>
          <t>HBT</t>
        </is>
      </c>
    </row>
    <row r="823">
      <c r="B823" s="4" t="n">
        <v>839</v>
      </c>
      <c r="C823" s="4" t="inlineStr">
        <is>
          <t>09/09/2026</t>
        </is>
      </c>
      <c r="D823" s="4" t="inlineStr">
        <is>
          <t>miércoles</t>
        </is>
      </c>
      <c r="E823" s="4" t="n">
        <v>2276</v>
      </c>
      <c r="F823" s="4" t="inlineStr">
        <is>
          <t>LIM</t>
        </is>
      </c>
      <c r="G823" s="4" t="inlineStr">
        <is>
          <t>CUZ</t>
        </is>
      </c>
      <c r="H823" s="4" t="inlineStr">
        <is>
          <t>16:35:00</t>
        </is>
      </c>
      <c r="I823" s="4" t="inlineStr">
        <is>
          <t>17:55:00</t>
        </is>
      </c>
      <c r="J823" s="4" t="n">
        <v>320</v>
      </c>
      <c r="L823" s="4" t="inlineStr">
        <is>
          <t>01:20:00</t>
        </is>
      </c>
      <c r="M823" s="5" t="n"/>
      <c r="N823" s="6" t="n"/>
      <c r="O823" s="5" t="n"/>
      <c r="Q823" s="4">
        <f>B823</f>
        <v/>
      </c>
      <c r="R823" s="4">
        <f>C823</f>
        <v/>
      </c>
      <c r="S823" s="4">
        <f>D823</f>
        <v/>
      </c>
      <c r="T823" s="4">
        <f>E823&amp;"/"&amp;E824</f>
        <v/>
      </c>
      <c r="U823" s="4">
        <f>F823&amp;"-"&amp;G823&amp;"-"&amp;F823</f>
        <v/>
      </c>
      <c r="V823" s="4">
        <f>IF($M$823="","",$M$823)</f>
        <v/>
      </c>
      <c r="W823" s="4">
        <f>IF($O$823="","",$O$823)</f>
        <v/>
      </c>
      <c r="X823" s="4">
        <f>J823</f>
        <v/>
      </c>
    </row>
    <row r="824">
      <c r="B824" s="4" t="n">
        <v>839</v>
      </c>
      <c r="C824" s="4" t="inlineStr">
        <is>
          <t>09/09/2026</t>
        </is>
      </c>
      <c r="D824" s="4" t="inlineStr">
        <is>
          <t>miércoles</t>
        </is>
      </c>
      <c r="E824" s="4" t="n">
        <v>2277</v>
      </c>
      <c r="F824" s="4" t="inlineStr">
        <is>
          <t>CUZ</t>
        </is>
      </c>
      <c r="G824" s="4" t="inlineStr">
        <is>
          <t>LIM</t>
        </is>
      </c>
      <c r="H824" s="4" t="inlineStr">
        <is>
          <t>18:50:00</t>
        </is>
      </c>
      <c r="I824" s="4" t="inlineStr">
        <is>
          <t>20:25:00</t>
        </is>
      </c>
      <c r="J824" s="4" t="n">
        <v>320</v>
      </c>
      <c r="K824">
        <f>TEXT(TIMEVALUE(H824)-TIMEVALUE(I823)+(TIMEVALUE(H824)&lt;TIMEVALUE(I823)),"[h]:mm")</f>
        <v/>
      </c>
      <c r="L824" s="4" t="inlineStr">
        <is>
          <t>01:35:00</t>
        </is>
      </c>
      <c r="O824">
        <f>"LIM-"&amp;G823&amp;"-LIM   LA "&amp;E823&amp;" ("&amp;LEFT(H823,5)&amp;"-"&amp;LEFT(I823,5)&amp;" hrs)  /  LA "&amp;E824&amp;" ("&amp;LEFT(H824,5)&amp;"-"&amp;LEFT(I824,5)&amp;" hrs)"</f>
        <v/>
      </c>
    </row>
    <row r="825">
      <c r="J825" s="8" t="inlineStr">
        <is>
          <t>PSV total:</t>
        </is>
      </c>
      <c r="K825" s="9">
        <f>TEXT(TIMEVALUE(I824)-TIMEVALUE(H823)+(I824&lt;H823),"[h]:mm")</f>
        <v/>
      </c>
    </row>
    <row r="827">
      <c r="B827" s="3" t="inlineStr">
        <is>
          <t>Pairing ID</t>
        </is>
      </c>
      <c r="C827" s="3" t="inlineStr">
        <is>
          <t>FECHA REAL</t>
        </is>
      </c>
      <c r="D827" s="3" t="inlineStr">
        <is>
          <t>Day of Week</t>
        </is>
      </c>
      <c r="E827" s="3" t="inlineStr">
        <is>
          <t>Flight No</t>
        </is>
      </c>
      <c r="F827" s="3" t="inlineStr">
        <is>
          <t>Dep Stn</t>
        </is>
      </c>
      <c r="G827" s="3" t="inlineStr">
        <is>
          <t>Arr Stn</t>
        </is>
      </c>
      <c r="H827" s="3" t="inlineStr">
        <is>
          <t>STD</t>
        </is>
      </c>
      <c r="I827" s="3" t="inlineStr">
        <is>
          <t>STA</t>
        </is>
      </c>
      <c r="J827" s="3" t="inlineStr">
        <is>
          <t>subflota</t>
        </is>
      </c>
      <c r="K827" s="3" t="inlineStr">
        <is>
          <t>Conexion</t>
        </is>
      </c>
      <c r="L827" s="3" t="inlineStr">
        <is>
          <t>HBT</t>
        </is>
      </c>
    </row>
    <row r="828">
      <c r="B828" s="4" t="n">
        <v>840</v>
      </c>
      <c r="C828" s="4" t="inlineStr">
        <is>
          <t>09/09/2026</t>
        </is>
      </c>
      <c r="D828" s="4" t="inlineStr">
        <is>
          <t>miércoles</t>
        </is>
      </c>
      <c r="E828" s="4" t="n">
        <v>2276</v>
      </c>
      <c r="F828" s="4" t="inlineStr">
        <is>
          <t>LIM</t>
        </is>
      </c>
      <c r="G828" s="4" t="inlineStr">
        <is>
          <t>CUZ</t>
        </is>
      </c>
      <c r="H828" s="4" t="inlineStr">
        <is>
          <t>16:35:00</t>
        </is>
      </c>
      <c r="I828" s="4" t="inlineStr">
        <is>
          <t>17:55:00</t>
        </is>
      </c>
      <c r="J828" s="4" t="n">
        <v>320</v>
      </c>
      <c r="L828" s="4" t="inlineStr">
        <is>
          <t>01:20:00</t>
        </is>
      </c>
      <c r="M828" s="5" t="n"/>
      <c r="N828" s="6" t="n"/>
      <c r="O828" s="5" t="n"/>
      <c r="Q828" s="4">
        <f>B828</f>
        <v/>
      </c>
      <c r="R828" s="4">
        <f>C828</f>
        <v/>
      </c>
      <c r="S828" s="4">
        <f>D828</f>
        <v/>
      </c>
      <c r="T828" s="4">
        <f>E828&amp;"/"&amp;E829</f>
        <v/>
      </c>
      <c r="U828" s="4">
        <f>F828&amp;"-"&amp;G828&amp;"-"&amp;F828</f>
        <v/>
      </c>
      <c r="V828" s="4">
        <f>IF($M$828="","",$M$828)</f>
        <v/>
      </c>
      <c r="W828" s="4">
        <f>IF($O$828="","",$O$828)</f>
        <v/>
      </c>
      <c r="X828" s="4">
        <f>J828</f>
        <v/>
      </c>
    </row>
    <row r="829">
      <c r="B829" s="4" t="n">
        <v>840</v>
      </c>
      <c r="C829" s="4" t="inlineStr">
        <is>
          <t>09/09/2026</t>
        </is>
      </c>
      <c r="D829" s="4" t="inlineStr">
        <is>
          <t>miércoles</t>
        </is>
      </c>
      <c r="E829" s="4" t="n">
        <v>2277</v>
      </c>
      <c r="F829" s="4" t="inlineStr">
        <is>
          <t>CUZ</t>
        </is>
      </c>
      <c r="G829" s="4" t="inlineStr">
        <is>
          <t>LIM</t>
        </is>
      </c>
      <c r="H829" s="4" t="inlineStr">
        <is>
          <t>18:50:00</t>
        </is>
      </c>
      <c r="I829" s="4" t="inlineStr">
        <is>
          <t>20:25:00</t>
        </is>
      </c>
      <c r="J829" s="4" t="n">
        <v>320</v>
      </c>
      <c r="K829">
        <f>TEXT(TIMEVALUE(H829)-TIMEVALUE(I828)+(TIMEVALUE(H829)&lt;TIMEVALUE(I828)),"[h]:mm")</f>
        <v/>
      </c>
      <c r="L829" s="4" t="inlineStr">
        <is>
          <t>01:35:00</t>
        </is>
      </c>
      <c r="O829">
        <f>"LIM-"&amp;G828&amp;"-LIM   LA "&amp;E828&amp;" ("&amp;LEFT(H828,5)&amp;"-"&amp;LEFT(I828,5)&amp;" hrs)  /  LA "&amp;E829&amp;" ("&amp;LEFT(H829,5)&amp;"-"&amp;LEFT(I829,5)&amp;" hrs)"</f>
        <v/>
      </c>
    </row>
    <row r="830">
      <c r="J830" s="8" t="inlineStr">
        <is>
          <t>PSV total:</t>
        </is>
      </c>
      <c r="K830" s="9">
        <f>TEXT(TIMEVALUE(I829)-TIMEVALUE(H828)+(I829&lt;H828),"[h]:mm")</f>
        <v/>
      </c>
    </row>
    <row r="832">
      <c r="B832" s="3" t="inlineStr">
        <is>
          <t>Pairing ID</t>
        </is>
      </c>
      <c r="C832" s="3" t="inlineStr">
        <is>
          <t>FECHA REAL</t>
        </is>
      </c>
      <c r="D832" s="3" t="inlineStr">
        <is>
          <t>Day of Week</t>
        </is>
      </c>
      <c r="E832" s="3" t="inlineStr">
        <is>
          <t>Flight No</t>
        </is>
      </c>
      <c r="F832" s="3" t="inlineStr">
        <is>
          <t>Dep Stn</t>
        </is>
      </c>
      <c r="G832" s="3" t="inlineStr">
        <is>
          <t>Arr Stn</t>
        </is>
      </c>
      <c r="H832" s="3" t="inlineStr">
        <is>
          <t>STD</t>
        </is>
      </c>
      <c r="I832" s="3" t="inlineStr">
        <is>
          <t>STA</t>
        </is>
      </c>
      <c r="J832" s="3" t="inlineStr">
        <is>
          <t>subflota</t>
        </is>
      </c>
      <c r="K832" s="3" t="inlineStr">
        <is>
          <t>Conexion</t>
        </is>
      </c>
      <c r="L832" s="3" t="inlineStr">
        <is>
          <t>HBT</t>
        </is>
      </c>
    </row>
    <row r="833">
      <c r="B833" s="4" t="n">
        <v>843</v>
      </c>
      <c r="C833" s="4" t="inlineStr">
        <is>
          <t>09/09/2026</t>
        </is>
      </c>
      <c r="D833" s="4" t="inlineStr">
        <is>
          <t>miércoles</t>
        </is>
      </c>
      <c r="E833" s="4" t="n">
        <v>2310</v>
      </c>
      <c r="F833" s="4" t="inlineStr">
        <is>
          <t>LIM</t>
        </is>
      </c>
      <c r="G833" s="4" t="inlineStr">
        <is>
          <t>CIX</t>
        </is>
      </c>
      <c r="H833" s="4" t="inlineStr">
        <is>
          <t>18:20:00</t>
        </is>
      </c>
      <c r="I833" s="4" t="inlineStr">
        <is>
          <t>19:45:00</t>
        </is>
      </c>
      <c r="J833" s="4" t="n">
        <v>320</v>
      </c>
      <c r="L833" s="4" t="inlineStr">
        <is>
          <t>01:25:00</t>
        </is>
      </c>
      <c r="M833" s="5" t="n"/>
      <c r="N833" s="6" t="n"/>
      <c r="O833" s="5" t="n"/>
      <c r="Q833" s="4">
        <f>B833</f>
        <v/>
      </c>
      <c r="R833" s="4">
        <f>C833</f>
        <v/>
      </c>
      <c r="S833" s="4">
        <f>D833</f>
        <v/>
      </c>
      <c r="T833" s="4">
        <f>E833&amp;"/"&amp;E834</f>
        <v/>
      </c>
      <c r="U833" s="4">
        <f>F833&amp;"-"&amp;G833&amp;"-"&amp;F833</f>
        <v/>
      </c>
      <c r="V833" s="4">
        <f>IF($M$833="","",$M$833)</f>
        <v/>
      </c>
      <c r="W833" s="4">
        <f>IF($O$833="","",$O$833)</f>
        <v/>
      </c>
      <c r="X833" s="4">
        <f>J833</f>
        <v/>
      </c>
    </row>
    <row r="834">
      <c r="B834" s="4" t="n">
        <v>843</v>
      </c>
      <c r="C834" s="4" t="inlineStr">
        <is>
          <t>09/09/2026</t>
        </is>
      </c>
      <c r="D834" s="4" t="inlineStr">
        <is>
          <t>miércoles</t>
        </is>
      </c>
      <c r="E834" s="4" t="n">
        <v>2311</v>
      </c>
      <c r="F834" s="4" t="inlineStr">
        <is>
          <t>CIX</t>
        </is>
      </c>
      <c r="G834" s="4" t="inlineStr">
        <is>
          <t>LIM</t>
        </is>
      </c>
      <c r="H834" s="4" t="inlineStr">
        <is>
          <t>20:20:00</t>
        </is>
      </c>
      <c r="I834" s="4" t="inlineStr">
        <is>
          <t>21:35:00</t>
        </is>
      </c>
      <c r="J834" s="4" t="n">
        <v>320</v>
      </c>
      <c r="K834">
        <f>TEXT(TIMEVALUE(H834)-TIMEVALUE(I833)+(TIMEVALUE(H834)&lt;TIMEVALUE(I833)),"[h]:mm")</f>
        <v/>
      </c>
      <c r="L834" s="4" t="inlineStr">
        <is>
          <t>01:15:00</t>
        </is>
      </c>
      <c r="O834">
        <f>"LIM-"&amp;G833&amp;"-LIM   LA "&amp;E833&amp;" ("&amp;LEFT(H833,5)&amp;"-"&amp;LEFT(I833,5)&amp;" hrs)  /  LA "&amp;E834&amp;" ("&amp;LEFT(H834,5)&amp;"-"&amp;LEFT(I834,5)&amp;" hrs)"</f>
        <v/>
      </c>
    </row>
    <row r="835">
      <c r="J835" s="8" t="inlineStr">
        <is>
          <t>PSV total:</t>
        </is>
      </c>
      <c r="K835" s="9">
        <f>TEXT(TIMEVALUE(I834)-TIMEVALUE(H833)+(I834&lt;H833),"[h]:mm")</f>
        <v/>
      </c>
    </row>
    <row r="837">
      <c r="B837" s="3" t="inlineStr">
        <is>
          <t>Pairing ID</t>
        </is>
      </c>
      <c r="C837" s="3" t="inlineStr">
        <is>
          <t>FECHA REAL</t>
        </is>
      </c>
      <c r="D837" s="3" t="inlineStr">
        <is>
          <t>Day of Week</t>
        </is>
      </c>
      <c r="E837" s="3" t="inlineStr">
        <is>
          <t>Flight No</t>
        </is>
      </c>
      <c r="F837" s="3" t="inlineStr">
        <is>
          <t>Dep Stn</t>
        </is>
      </c>
      <c r="G837" s="3" t="inlineStr">
        <is>
          <t>Arr Stn</t>
        </is>
      </c>
      <c r="H837" s="3" t="inlineStr">
        <is>
          <t>STD</t>
        </is>
      </c>
      <c r="I837" s="3" t="inlineStr">
        <is>
          <t>STA</t>
        </is>
      </c>
      <c r="J837" s="3" t="inlineStr">
        <is>
          <t>subflota</t>
        </is>
      </c>
      <c r="K837" s="3" t="inlineStr">
        <is>
          <t>Conexion</t>
        </is>
      </c>
      <c r="L837" s="3" t="inlineStr">
        <is>
          <t>HBT</t>
        </is>
      </c>
    </row>
    <row r="838">
      <c r="B838" s="4" t="n">
        <v>888</v>
      </c>
      <c r="C838" s="4" t="inlineStr">
        <is>
          <t>10/09/2026</t>
        </is>
      </c>
      <c r="D838" s="4" t="inlineStr">
        <is>
          <t>jueves</t>
        </is>
      </c>
      <c r="E838" s="4" t="n">
        <v>2007</v>
      </c>
      <c r="F838" s="4" t="inlineStr">
        <is>
          <t>LIM</t>
        </is>
      </c>
      <c r="G838" s="4" t="inlineStr">
        <is>
          <t>CUZ</t>
        </is>
      </c>
      <c r="H838" s="4" t="inlineStr">
        <is>
          <t>09:10:00</t>
        </is>
      </c>
      <c r="I838" s="4" t="inlineStr">
        <is>
          <t>10:30:00</t>
        </is>
      </c>
      <c r="J838" s="4" t="n">
        <v>319</v>
      </c>
      <c r="L838" s="4" t="inlineStr">
        <is>
          <t>01:20:00</t>
        </is>
      </c>
      <c r="M838" s="5" t="n"/>
      <c r="N838" s="6" t="n"/>
      <c r="O838" s="5" t="n"/>
      <c r="Q838" s="4">
        <f>B838</f>
        <v/>
      </c>
      <c r="R838" s="4">
        <f>C838</f>
        <v/>
      </c>
      <c r="S838" s="4">
        <f>D838</f>
        <v/>
      </c>
      <c r="T838" s="4">
        <f>E838&amp;"/"&amp;E839</f>
        <v/>
      </c>
      <c r="U838" s="4">
        <f>F838&amp;"-"&amp;G838&amp;"-"&amp;F838</f>
        <v/>
      </c>
      <c r="V838" s="4">
        <f>IF($M$838="","",$M$838)</f>
        <v/>
      </c>
      <c r="W838" s="4">
        <f>IF($O$838="","",$O$838)</f>
        <v/>
      </c>
      <c r="X838" s="4">
        <f>J838</f>
        <v/>
      </c>
    </row>
    <row r="839">
      <c r="B839" s="4" t="n">
        <v>888</v>
      </c>
      <c r="C839" s="4" t="inlineStr">
        <is>
          <t>10/09/2026</t>
        </is>
      </c>
      <c r="D839" s="4" t="inlineStr">
        <is>
          <t>jueves</t>
        </is>
      </c>
      <c r="E839" s="4" t="n">
        <v>2008</v>
      </c>
      <c r="F839" s="4" t="inlineStr">
        <is>
          <t>CUZ</t>
        </is>
      </c>
      <c r="G839" s="4" t="inlineStr">
        <is>
          <t>LIM</t>
        </is>
      </c>
      <c r="H839" s="4" t="inlineStr">
        <is>
          <t>11:20:00</t>
        </is>
      </c>
      <c r="I839" s="4" t="inlineStr">
        <is>
          <t>12:55:00</t>
        </is>
      </c>
      <c r="J839" s="4" t="n">
        <v>319</v>
      </c>
      <c r="K839">
        <f>TEXT(TIMEVALUE(H839)-TIMEVALUE(I838)+(TIMEVALUE(H839)&lt;TIMEVALUE(I838)),"[h]:mm")</f>
        <v/>
      </c>
      <c r="L839" s="4" t="inlineStr">
        <is>
          <t>01:35:00</t>
        </is>
      </c>
      <c r="O839">
        <f>"LIM-"&amp;G838&amp;"-LIM   LA "&amp;E838&amp;" ("&amp;LEFT(H838,5)&amp;"-"&amp;LEFT(I838,5)&amp;" hrs)  /  LA "&amp;E839&amp;" ("&amp;LEFT(H839,5)&amp;"-"&amp;LEFT(I839,5)&amp;" hrs)"</f>
        <v/>
      </c>
    </row>
    <row r="840">
      <c r="B840" s="4" t="n">
        <v>909</v>
      </c>
      <c r="C840" s="4" t="inlineStr">
        <is>
          <t>10/09/2026</t>
        </is>
      </c>
      <c r="D840" s="4" t="inlineStr">
        <is>
          <t>jueves</t>
        </is>
      </c>
      <c r="E840" s="4" t="n">
        <v>2055</v>
      </c>
      <c r="F840" s="4" t="inlineStr">
        <is>
          <t>LIM</t>
        </is>
      </c>
      <c r="G840" s="4" t="inlineStr">
        <is>
          <t>AQP</t>
        </is>
      </c>
      <c r="H840" s="4" t="inlineStr">
        <is>
          <t>13:50:00</t>
        </is>
      </c>
      <c r="I840" s="4" t="inlineStr">
        <is>
          <t>15:20:00</t>
        </is>
      </c>
      <c r="J840" s="4" t="n">
        <v>320</v>
      </c>
      <c r="K840" s="7">
        <f>TEXT(TIMEVALUE(H840)-TIMEVALUE(I839)+(TIMEVALUE(H840)&lt;TIMEVALUE(I839)),"[h]:mm")</f>
        <v/>
      </c>
      <c r="L840" s="4" t="inlineStr">
        <is>
          <t>01:30:00</t>
        </is>
      </c>
      <c r="M840">
        <f>IF($M$838="","",$M$838)</f>
        <v/>
      </c>
      <c r="O840">
        <f>IF($O$838="","",$O$838)</f>
        <v/>
      </c>
      <c r="Q840" s="4">
        <f>B840</f>
        <v/>
      </c>
      <c r="R840" s="4">
        <f>C840</f>
        <v/>
      </c>
      <c r="S840" s="4">
        <f>D840</f>
        <v/>
      </c>
      <c r="T840" s="4">
        <f>E840&amp;"/"&amp;E841</f>
        <v/>
      </c>
      <c r="U840" s="4">
        <f>F840&amp;"-"&amp;G840&amp;"-"&amp;F840</f>
        <v/>
      </c>
      <c r="V840" s="4">
        <f>IF($M$838="","",$M$838)</f>
        <v/>
      </c>
      <c r="W840" s="4">
        <f>IF($O$838="","",$O$838)</f>
        <v/>
      </c>
      <c r="X840" s="4">
        <f>J840</f>
        <v/>
      </c>
    </row>
    <row r="841">
      <c r="B841" s="4" t="n">
        <v>909</v>
      </c>
      <c r="C841" s="4" t="inlineStr">
        <is>
          <t>10/09/2026</t>
        </is>
      </c>
      <c r="D841" s="4" t="inlineStr">
        <is>
          <t>jueves</t>
        </is>
      </c>
      <c r="E841" s="4" t="n">
        <v>2056</v>
      </c>
      <c r="F841" s="4" t="inlineStr">
        <is>
          <t>AQP</t>
        </is>
      </c>
      <c r="G841" s="4" t="inlineStr">
        <is>
          <t>LIM</t>
        </is>
      </c>
      <c r="H841" s="4" t="inlineStr">
        <is>
          <t>16:10:00</t>
        </is>
      </c>
      <c r="I841" s="4" t="inlineStr">
        <is>
          <t>17:50:00</t>
        </is>
      </c>
      <c r="J841" s="4" t="n">
        <v>320</v>
      </c>
      <c r="K841">
        <f>TEXT(TIMEVALUE(H841)-TIMEVALUE(I840)+(TIMEVALUE(H841)&lt;TIMEVALUE(I840)),"[h]:mm")</f>
        <v/>
      </c>
      <c r="L841" s="4" t="inlineStr">
        <is>
          <t>01:40:00</t>
        </is>
      </c>
      <c r="O841">
        <f>"LIM-"&amp;G840&amp;"-LIM   LA "&amp;E840&amp;" ("&amp;LEFT(H840,5)&amp;"-"&amp;LEFT(I840,5)&amp;" hrs)  /  LA "&amp;E841&amp;" ("&amp;LEFT(H841,5)&amp;"-"&amp;LEFT(I841,5)&amp;" hrs)"</f>
        <v/>
      </c>
    </row>
    <row r="842">
      <c r="J842" s="8" t="inlineStr">
        <is>
          <t>PSV total:</t>
        </is>
      </c>
      <c r="K842" s="9">
        <f>TEXT(TIMEVALUE(I841)-TIMEVALUE(H838)+(I841&lt;H838),"[h]:mm")</f>
        <v/>
      </c>
    </row>
    <row r="844">
      <c r="B844" s="3" t="inlineStr">
        <is>
          <t>Pairing ID</t>
        </is>
      </c>
      <c r="C844" s="3" t="inlineStr">
        <is>
          <t>FECHA REAL</t>
        </is>
      </c>
      <c r="D844" s="3" t="inlineStr">
        <is>
          <t>Day of Week</t>
        </is>
      </c>
      <c r="E844" s="3" t="inlineStr">
        <is>
          <t>Flight No</t>
        </is>
      </c>
      <c r="F844" s="3" t="inlineStr">
        <is>
          <t>Dep Stn</t>
        </is>
      </c>
      <c r="G844" s="3" t="inlineStr">
        <is>
          <t>Arr Stn</t>
        </is>
      </c>
      <c r="H844" s="3" t="inlineStr">
        <is>
          <t>STD</t>
        </is>
      </c>
      <c r="I844" s="3" t="inlineStr">
        <is>
          <t>STA</t>
        </is>
      </c>
      <c r="J844" s="3" t="inlineStr">
        <is>
          <t>subflota</t>
        </is>
      </c>
      <c r="K844" s="3" t="inlineStr">
        <is>
          <t>Conexion</t>
        </is>
      </c>
      <c r="L844" s="3" t="inlineStr">
        <is>
          <t>HBT</t>
        </is>
      </c>
    </row>
    <row r="845">
      <c r="B845" s="4" t="n">
        <v>893</v>
      </c>
      <c r="C845" s="4" t="inlineStr">
        <is>
          <t>10/09/2026</t>
        </is>
      </c>
      <c r="D845" s="4" t="inlineStr">
        <is>
          <t>jueves</t>
        </is>
      </c>
      <c r="E845" s="4" t="n">
        <v>2299</v>
      </c>
      <c r="F845" s="4" t="inlineStr">
        <is>
          <t>LIM</t>
        </is>
      </c>
      <c r="G845" s="4" t="inlineStr">
        <is>
          <t>CJA</t>
        </is>
      </c>
      <c r="H845" s="4" t="inlineStr">
        <is>
          <t>11:35:00</t>
        </is>
      </c>
      <c r="I845" s="4" t="inlineStr">
        <is>
          <t>12:55:00</t>
        </is>
      </c>
      <c r="J845" s="4" t="n">
        <v>320</v>
      </c>
      <c r="L845" s="4" t="inlineStr">
        <is>
          <t>01:20:00</t>
        </is>
      </c>
      <c r="M845" s="5" t="n"/>
      <c r="N845" s="6" t="n"/>
      <c r="O845" s="5" t="n"/>
      <c r="Q845" s="4">
        <f>B845</f>
        <v/>
      </c>
      <c r="R845" s="4">
        <f>C845</f>
        <v/>
      </c>
      <c r="S845" s="4">
        <f>D845</f>
        <v/>
      </c>
      <c r="T845" s="4">
        <f>E845&amp;"/"&amp;E846</f>
        <v/>
      </c>
      <c r="U845" s="4">
        <f>F845&amp;"-"&amp;G845&amp;"-"&amp;F845</f>
        <v/>
      </c>
      <c r="V845" s="4">
        <f>IF($M$845="","",$M$845)</f>
        <v/>
      </c>
      <c r="W845" s="4">
        <f>IF($O$845="","",$O$845)</f>
        <v/>
      </c>
      <c r="X845" s="4">
        <f>J845</f>
        <v/>
      </c>
    </row>
    <row r="846">
      <c r="B846" s="4" t="n">
        <v>893</v>
      </c>
      <c r="C846" s="4" t="inlineStr">
        <is>
          <t>10/09/2026</t>
        </is>
      </c>
      <c r="D846" s="4" t="inlineStr">
        <is>
          <t>jueves</t>
        </is>
      </c>
      <c r="E846" s="4" t="n">
        <v>2298</v>
      </c>
      <c r="F846" s="4" t="inlineStr">
        <is>
          <t>CJA</t>
        </is>
      </c>
      <c r="G846" s="4" t="inlineStr">
        <is>
          <t>LIM</t>
        </is>
      </c>
      <c r="H846" s="4" t="inlineStr">
        <is>
          <t>13:40:00</t>
        </is>
      </c>
      <c r="I846" s="4" t="inlineStr">
        <is>
          <t>14:50:00</t>
        </is>
      </c>
      <c r="J846" s="4" t="n">
        <v>320</v>
      </c>
      <c r="K846">
        <f>TEXT(TIMEVALUE(H846)-TIMEVALUE(I845)+(TIMEVALUE(H846)&lt;TIMEVALUE(I845)),"[h]:mm")</f>
        <v/>
      </c>
      <c r="L846" s="4" t="inlineStr">
        <is>
          <t>01:10:00</t>
        </is>
      </c>
      <c r="O846">
        <f>"LIM-"&amp;G845&amp;"-LIM   LA "&amp;E845&amp;" ("&amp;LEFT(H845,5)&amp;"-"&amp;LEFT(I845,5)&amp;" hrs)  /  LA "&amp;E846&amp;" ("&amp;LEFT(H846,5)&amp;"-"&amp;LEFT(I846,5)&amp;" hrs)"</f>
        <v/>
      </c>
    </row>
    <row r="847">
      <c r="J847" s="8" t="inlineStr">
        <is>
          <t>PSV total:</t>
        </is>
      </c>
      <c r="K847" s="9">
        <f>TEXT(TIMEVALUE(I846)-TIMEVALUE(H845)+(I846&lt;H845),"[h]:mm")</f>
        <v/>
      </c>
    </row>
    <row r="849">
      <c r="B849" s="3" t="inlineStr">
        <is>
          <t>Pairing ID</t>
        </is>
      </c>
      <c r="C849" s="3" t="inlineStr">
        <is>
          <t>FECHA REAL</t>
        </is>
      </c>
      <c r="D849" s="3" t="inlineStr">
        <is>
          <t>Day of Week</t>
        </is>
      </c>
      <c r="E849" s="3" t="inlineStr">
        <is>
          <t>Flight No</t>
        </is>
      </c>
      <c r="F849" s="3" t="inlineStr">
        <is>
          <t>Dep Stn</t>
        </is>
      </c>
      <c r="G849" s="3" t="inlineStr">
        <is>
          <t>Arr Stn</t>
        </is>
      </c>
      <c r="H849" s="3" t="inlineStr">
        <is>
          <t>STD</t>
        </is>
      </c>
      <c r="I849" s="3" t="inlineStr">
        <is>
          <t>STA</t>
        </is>
      </c>
      <c r="J849" s="3" t="inlineStr">
        <is>
          <t>subflota</t>
        </is>
      </c>
      <c r="K849" s="3" t="inlineStr">
        <is>
          <t>Conexion</t>
        </is>
      </c>
      <c r="L849" s="3" t="inlineStr">
        <is>
          <t>HBT</t>
        </is>
      </c>
    </row>
    <row r="850">
      <c r="B850" s="4" t="n">
        <v>895</v>
      </c>
      <c r="C850" s="4" t="inlineStr">
        <is>
          <t>10/09/2026</t>
        </is>
      </c>
      <c r="D850" s="4" t="inlineStr">
        <is>
          <t>jueves</t>
        </is>
      </c>
      <c r="E850" s="4" t="n">
        <v>2061</v>
      </c>
      <c r="F850" s="4" t="inlineStr">
        <is>
          <t>LIM</t>
        </is>
      </c>
      <c r="G850" s="4" t="inlineStr">
        <is>
          <t>CUZ</t>
        </is>
      </c>
      <c r="H850" s="4" t="inlineStr">
        <is>
          <t>11:40:00</t>
        </is>
      </c>
      <c r="I850" s="4" t="inlineStr">
        <is>
          <t>13:00:00</t>
        </is>
      </c>
      <c r="J850" s="4" t="n">
        <v>320</v>
      </c>
      <c r="L850" s="4" t="inlineStr">
        <is>
          <t>01:20:00</t>
        </is>
      </c>
      <c r="M850" s="5" t="n"/>
      <c r="N850" s="6" t="n"/>
      <c r="O850" s="5" t="n"/>
      <c r="Q850" s="4">
        <f>B850</f>
        <v/>
      </c>
      <c r="R850" s="4">
        <f>C850</f>
        <v/>
      </c>
      <c r="S850" s="4">
        <f>D850</f>
        <v/>
      </c>
      <c r="T850" s="4">
        <f>E850&amp;"/"&amp;E851</f>
        <v/>
      </c>
      <c r="U850" s="4">
        <f>F850&amp;"-"&amp;G850&amp;"-"&amp;F850</f>
        <v/>
      </c>
      <c r="V850" s="4">
        <f>IF($M$850="","",$M$850)</f>
        <v/>
      </c>
      <c r="W850" s="4">
        <f>IF($O$850="","",$O$850)</f>
        <v/>
      </c>
      <c r="X850" s="4">
        <f>J850</f>
        <v/>
      </c>
    </row>
    <row r="851">
      <c r="B851" s="4" t="n">
        <v>895</v>
      </c>
      <c r="C851" s="4" t="inlineStr">
        <is>
          <t>10/09/2026</t>
        </is>
      </c>
      <c r="D851" s="4" t="inlineStr">
        <is>
          <t>jueves</t>
        </is>
      </c>
      <c r="E851" s="4" t="n">
        <v>2062</v>
      </c>
      <c r="F851" s="4" t="inlineStr">
        <is>
          <t>CUZ</t>
        </is>
      </c>
      <c r="G851" s="4" t="inlineStr">
        <is>
          <t>LIM</t>
        </is>
      </c>
      <c r="H851" s="4" t="inlineStr">
        <is>
          <t>13:40:00</t>
        </is>
      </c>
      <c r="I851" s="4" t="inlineStr">
        <is>
          <t>15:15:00</t>
        </is>
      </c>
      <c r="J851" s="4" t="n">
        <v>320</v>
      </c>
      <c r="K851">
        <f>TEXT(TIMEVALUE(H851)-TIMEVALUE(I850)+(TIMEVALUE(H851)&lt;TIMEVALUE(I850)),"[h]:mm")</f>
        <v/>
      </c>
      <c r="L851" s="4" t="inlineStr">
        <is>
          <t>01:35:00</t>
        </is>
      </c>
      <c r="O851">
        <f>"LIM-"&amp;G850&amp;"-LIM   LA "&amp;E850&amp;" ("&amp;LEFT(H850,5)&amp;"-"&amp;LEFT(I850,5)&amp;" hrs)  /  LA "&amp;E851&amp;" ("&amp;LEFT(H851,5)&amp;"-"&amp;LEFT(I851,5)&amp;" hrs)"</f>
        <v/>
      </c>
    </row>
    <row r="852">
      <c r="B852" s="4" t="n">
        <v>923</v>
      </c>
      <c r="C852" s="4" t="inlineStr">
        <is>
          <t>10/09/2026</t>
        </is>
      </c>
      <c r="D852" s="4" t="inlineStr">
        <is>
          <t>jueves</t>
        </is>
      </c>
      <c r="E852" s="4" t="n">
        <v>2276</v>
      </c>
      <c r="F852" s="4" t="inlineStr">
        <is>
          <t>LIM</t>
        </is>
      </c>
      <c r="G852" s="4" t="inlineStr">
        <is>
          <t>CUZ</t>
        </is>
      </c>
      <c r="H852" s="4" t="inlineStr">
        <is>
          <t>16:35:00</t>
        </is>
      </c>
      <c r="I852" s="4" t="inlineStr">
        <is>
          <t>17:55:00</t>
        </is>
      </c>
      <c r="J852" s="4" t="n">
        <v>320</v>
      </c>
      <c r="K852" s="7">
        <f>TEXT(TIMEVALUE(H852)-TIMEVALUE(I851)+(TIMEVALUE(H852)&lt;TIMEVALUE(I851)),"[h]:mm")</f>
        <v/>
      </c>
      <c r="L852" s="4" t="inlineStr">
        <is>
          <t>01:20:00</t>
        </is>
      </c>
      <c r="M852">
        <f>IF($M$850="","",$M$850)</f>
        <v/>
      </c>
      <c r="O852">
        <f>IF($O$850="","",$O$850)</f>
        <v/>
      </c>
      <c r="Q852" s="4">
        <f>B852</f>
        <v/>
      </c>
      <c r="R852" s="4">
        <f>C852</f>
        <v/>
      </c>
      <c r="S852" s="4">
        <f>D852</f>
        <v/>
      </c>
      <c r="T852" s="4">
        <f>E852&amp;"/"&amp;E853</f>
        <v/>
      </c>
      <c r="U852" s="4">
        <f>F852&amp;"-"&amp;G852&amp;"-"&amp;F852</f>
        <v/>
      </c>
      <c r="V852" s="4">
        <f>IF($M$850="","",$M$850)</f>
        <v/>
      </c>
      <c r="W852" s="4">
        <f>IF($O$850="","",$O$850)</f>
        <v/>
      </c>
      <c r="X852" s="4">
        <f>J852</f>
        <v/>
      </c>
    </row>
    <row r="853">
      <c r="B853" s="4" t="n">
        <v>923</v>
      </c>
      <c r="C853" s="4" t="inlineStr">
        <is>
          <t>10/09/2026</t>
        </is>
      </c>
      <c r="D853" s="4" t="inlineStr">
        <is>
          <t>jueves</t>
        </is>
      </c>
      <c r="E853" s="4" t="n">
        <v>2277</v>
      </c>
      <c r="F853" s="4" t="inlineStr">
        <is>
          <t>CUZ</t>
        </is>
      </c>
      <c r="G853" s="4" t="inlineStr">
        <is>
          <t>LIM</t>
        </is>
      </c>
      <c r="H853" s="4" t="inlineStr">
        <is>
          <t>18:50:00</t>
        </is>
      </c>
      <c r="I853" s="4" t="inlineStr">
        <is>
          <t>20:25:00</t>
        </is>
      </c>
      <c r="J853" s="4" t="n">
        <v>320</v>
      </c>
      <c r="K853">
        <f>TEXT(TIMEVALUE(H853)-TIMEVALUE(I852)+(TIMEVALUE(H853)&lt;TIMEVALUE(I852)),"[h]:mm")</f>
        <v/>
      </c>
      <c r="L853" s="4" t="inlineStr">
        <is>
          <t>01:35:00</t>
        </is>
      </c>
      <c r="O853">
        <f>"LIM-"&amp;G852&amp;"-LIM   LA "&amp;E852&amp;" ("&amp;LEFT(H852,5)&amp;"-"&amp;LEFT(I852,5)&amp;" hrs)  /  LA "&amp;E853&amp;" ("&amp;LEFT(H853,5)&amp;"-"&amp;LEFT(I853,5)&amp;" hrs)"</f>
        <v/>
      </c>
    </row>
    <row r="854">
      <c r="J854" s="8" t="inlineStr">
        <is>
          <t>PSV total:</t>
        </is>
      </c>
      <c r="K854" s="9">
        <f>TEXT(TIMEVALUE(I853)-TIMEVALUE(H850)+(I853&lt;H850),"[h]:mm")</f>
        <v/>
      </c>
    </row>
    <row r="856">
      <c r="B856" s="3" t="inlineStr">
        <is>
          <t>Pairing ID</t>
        </is>
      </c>
      <c r="C856" s="3" t="inlineStr">
        <is>
          <t>FECHA REAL</t>
        </is>
      </c>
      <c r="D856" s="3" t="inlineStr">
        <is>
          <t>Day of Week</t>
        </is>
      </c>
      <c r="E856" s="3" t="inlineStr">
        <is>
          <t>Flight No</t>
        </is>
      </c>
      <c r="F856" s="3" t="inlineStr">
        <is>
          <t>Dep Stn</t>
        </is>
      </c>
      <c r="G856" s="3" t="inlineStr">
        <is>
          <t>Arr Stn</t>
        </is>
      </c>
      <c r="H856" s="3" t="inlineStr">
        <is>
          <t>STD</t>
        </is>
      </c>
      <c r="I856" s="3" t="inlineStr">
        <is>
          <t>STA</t>
        </is>
      </c>
      <c r="J856" s="3" t="inlineStr">
        <is>
          <t>subflota</t>
        </is>
      </c>
      <c r="K856" s="3" t="inlineStr">
        <is>
          <t>Conexion</t>
        </is>
      </c>
      <c r="L856" s="3" t="inlineStr">
        <is>
          <t>HBT</t>
        </is>
      </c>
    </row>
    <row r="857">
      <c r="B857" s="4" t="n">
        <v>902</v>
      </c>
      <c r="C857" s="4" t="inlineStr">
        <is>
          <t>10/09/2026</t>
        </is>
      </c>
      <c r="D857" s="4" t="inlineStr">
        <is>
          <t>jueves</t>
        </is>
      </c>
      <c r="E857" s="4" t="n">
        <v>2043</v>
      </c>
      <c r="F857" s="4" t="inlineStr">
        <is>
          <t>LIM</t>
        </is>
      </c>
      <c r="G857" s="4" t="inlineStr">
        <is>
          <t>AQP</t>
        </is>
      </c>
      <c r="H857" s="4" t="inlineStr">
        <is>
          <t>12:45:00</t>
        </is>
      </c>
      <c r="I857" s="4" t="inlineStr">
        <is>
          <t>14:15:00</t>
        </is>
      </c>
      <c r="J857" s="4" t="n">
        <v>320</v>
      </c>
      <c r="L857" s="4" t="inlineStr">
        <is>
          <t>01:30:00</t>
        </is>
      </c>
      <c r="M857" s="5" t="n"/>
      <c r="N857" s="6" t="n"/>
      <c r="O857" s="5" t="n"/>
      <c r="Q857" s="4">
        <f>B857</f>
        <v/>
      </c>
      <c r="R857" s="4">
        <f>C857</f>
        <v/>
      </c>
      <c r="S857" s="4">
        <f>D857</f>
        <v/>
      </c>
      <c r="T857" s="4">
        <f>E857&amp;"/"&amp;E858</f>
        <v/>
      </c>
      <c r="U857" s="4">
        <f>F857&amp;"-"&amp;G857&amp;"-"&amp;F857</f>
        <v/>
      </c>
      <c r="V857" s="4">
        <f>IF($M$857="","",$M$857)</f>
        <v/>
      </c>
      <c r="W857" s="4">
        <f>IF($O$857="","",$O$857)</f>
        <v/>
      </c>
      <c r="X857" s="4">
        <f>J857</f>
        <v/>
      </c>
    </row>
    <row r="858">
      <c r="B858" s="4" t="n">
        <v>902</v>
      </c>
      <c r="C858" s="4" t="inlineStr">
        <is>
          <t>10/09/2026</t>
        </is>
      </c>
      <c r="D858" s="4" t="inlineStr">
        <is>
          <t>jueves</t>
        </is>
      </c>
      <c r="E858" s="4" t="n">
        <v>2044</v>
      </c>
      <c r="F858" s="4" t="inlineStr">
        <is>
          <t>AQP</t>
        </is>
      </c>
      <c r="G858" s="4" t="inlineStr">
        <is>
          <t>LIM</t>
        </is>
      </c>
      <c r="H858" s="4" t="inlineStr">
        <is>
          <t>15:00:00</t>
        </is>
      </c>
      <c r="I858" s="4" t="inlineStr">
        <is>
          <t>16:35:00</t>
        </is>
      </c>
      <c r="J858" s="4" t="n">
        <v>320</v>
      </c>
      <c r="K858">
        <f>TEXT(TIMEVALUE(H858)-TIMEVALUE(I857)+(TIMEVALUE(H858)&lt;TIMEVALUE(I857)),"[h]:mm")</f>
        <v/>
      </c>
      <c r="L858" s="4" t="inlineStr">
        <is>
          <t>01:35:00</t>
        </is>
      </c>
      <c r="O858">
        <f>"LIM-"&amp;G857&amp;"-LIM   LA "&amp;E857&amp;" ("&amp;LEFT(H857,5)&amp;"-"&amp;LEFT(I857,5)&amp;" hrs)  /  LA "&amp;E858&amp;" ("&amp;LEFT(H858,5)&amp;"-"&amp;LEFT(I858,5)&amp;" hrs)"</f>
        <v/>
      </c>
    </row>
    <row r="859">
      <c r="J859" s="8" t="inlineStr">
        <is>
          <t>PSV total:</t>
        </is>
      </c>
      <c r="K859" s="9">
        <f>TEXT(TIMEVALUE(I858)-TIMEVALUE(H857)+(I858&lt;H857),"[h]:mm")</f>
        <v/>
      </c>
    </row>
    <row r="861">
      <c r="B861" s="3" t="inlineStr">
        <is>
          <t>Pairing ID</t>
        </is>
      </c>
      <c r="C861" s="3" t="inlineStr">
        <is>
          <t>FECHA REAL</t>
        </is>
      </c>
      <c r="D861" s="3" t="inlineStr">
        <is>
          <t>Day of Week</t>
        </is>
      </c>
      <c r="E861" s="3" t="inlineStr">
        <is>
          <t>Flight No</t>
        </is>
      </c>
      <c r="F861" s="3" t="inlineStr">
        <is>
          <t>Dep Stn</t>
        </is>
      </c>
      <c r="G861" s="3" t="inlineStr">
        <is>
          <t>Arr Stn</t>
        </is>
      </c>
      <c r="H861" s="3" t="inlineStr">
        <is>
          <t>STD</t>
        </is>
      </c>
      <c r="I861" s="3" t="inlineStr">
        <is>
          <t>STA</t>
        </is>
      </c>
      <c r="J861" s="3" t="inlineStr">
        <is>
          <t>subflota</t>
        </is>
      </c>
      <c r="K861" s="3" t="inlineStr">
        <is>
          <t>Conexion</t>
        </is>
      </c>
      <c r="L861" s="3" t="inlineStr">
        <is>
          <t>HBT</t>
        </is>
      </c>
    </row>
    <row r="862">
      <c r="B862" s="4" t="n">
        <v>903</v>
      </c>
      <c r="C862" s="4" t="inlineStr">
        <is>
          <t>10/09/2026</t>
        </is>
      </c>
      <c r="D862" s="4" t="inlineStr">
        <is>
          <t>jueves</t>
        </is>
      </c>
      <c r="E862" s="4" t="n">
        <v>2308</v>
      </c>
      <c r="F862" s="4" t="inlineStr">
        <is>
          <t>LIM</t>
        </is>
      </c>
      <c r="G862" s="4" t="inlineStr">
        <is>
          <t>PIU</t>
        </is>
      </c>
      <c r="H862" s="4" t="inlineStr">
        <is>
          <t>12:50:00</t>
        </is>
      </c>
      <c r="I862" s="4" t="inlineStr">
        <is>
          <t>14:35:00</t>
        </is>
      </c>
      <c r="J862" s="4" t="n">
        <v>320</v>
      </c>
      <c r="L862" s="4" t="inlineStr">
        <is>
          <t>01:45:00</t>
        </is>
      </c>
      <c r="M862" s="5" t="n"/>
      <c r="N862" s="6" t="n"/>
      <c r="O862" s="5" t="n"/>
      <c r="Q862" s="4">
        <f>B862</f>
        <v/>
      </c>
      <c r="R862" s="4">
        <f>C862</f>
        <v/>
      </c>
      <c r="S862" s="4">
        <f>D862</f>
        <v/>
      </c>
      <c r="T862" s="4">
        <f>E862&amp;"/"&amp;E863</f>
        <v/>
      </c>
      <c r="U862" s="4">
        <f>F862&amp;"-"&amp;G862&amp;"-"&amp;F862</f>
        <v/>
      </c>
      <c r="V862" s="4">
        <f>IF($M$862="","",$M$862)</f>
        <v/>
      </c>
      <c r="W862" s="4">
        <f>IF($O$862="","",$O$862)</f>
        <v/>
      </c>
      <c r="X862" s="4">
        <f>J862</f>
        <v/>
      </c>
    </row>
    <row r="863">
      <c r="B863" s="4" t="n">
        <v>903</v>
      </c>
      <c r="C863" s="4" t="inlineStr">
        <is>
          <t>10/09/2026</t>
        </is>
      </c>
      <c r="D863" s="4" t="inlineStr">
        <is>
          <t>jueves</t>
        </is>
      </c>
      <c r="E863" s="4" t="n">
        <v>2309</v>
      </c>
      <c r="F863" s="4" t="inlineStr">
        <is>
          <t>PIU</t>
        </is>
      </c>
      <c r="G863" s="4" t="inlineStr">
        <is>
          <t>LIM</t>
        </is>
      </c>
      <c r="H863" s="4" t="inlineStr">
        <is>
          <t>15:25:00</t>
        </is>
      </c>
      <c r="I863" s="4" t="inlineStr">
        <is>
          <t>16:55:00</t>
        </is>
      </c>
      <c r="J863" s="4" t="n">
        <v>320</v>
      </c>
      <c r="K863">
        <f>TEXT(TIMEVALUE(H863)-TIMEVALUE(I862)+(TIMEVALUE(H863)&lt;TIMEVALUE(I862)),"[h]:mm")</f>
        <v/>
      </c>
      <c r="L863" s="4" t="inlineStr">
        <is>
          <t>01:30:00</t>
        </is>
      </c>
      <c r="O863">
        <f>"LIM-"&amp;G862&amp;"-LIM   LA "&amp;E862&amp;" ("&amp;LEFT(H862,5)&amp;"-"&amp;LEFT(I862,5)&amp;" hrs)  /  LA "&amp;E863&amp;" ("&amp;LEFT(H863,5)&amp;"-"&amp;LEFT(I863,5)&amp;" hrs)"</f>
        <v/>
      </c>
    </row>
    <row r="864">
      <c r="B864" s="4" t="n">
        <v>925</v>
      </c>
      <c r="C864" s="4" t="inlineStr">
        <is>
          <t>10/09/2026</t>
        </is>
      </c>
      <c r="D864" s="4" t="inlineStr">
        <is>
          <t>jueves</t>
        </is>
      </c>
      <c r="E864" s="4" t="n">
        <v>2039</v>
      </c>
      <c r="F864" s="4" t="inlineStr">
        <is>
          <t>LIM</t>
        </is>
      </c>
      <c r="G864" s="4" t="inlineStr">
        <is>
          <t>PCL</t>
        </is>
      </c>
      <c r="H864" s="4" t="inlineStr">
        <is>
          <t>18:15:00</t>
        </is>
      </c>
      <c r="I864" s="4" t="inlineStr">
        <is>
          <t>19:30:00</t>
        </is>
      </c>
      <c r="J864" s="4" t="n">
        <v>320</v>
      </c>
      <c r="K864" s="7">
        <f>TEXT(TIMEVALUE(H864)-TIMEVALUE(I863)+(TIMEVALUE(H864)&lt;TIMEVALUE(I863)),"[h]:mm")</f>
        <v/>
      </c>
      <c r="L864" s="4" t="inlineStr">
        <is>
          <t>01:15:00</t>
        </is>
      </c>
      <c r="M864">
        <f>IF($M$862="","",$M$862)</f>
        <v/>
      </c>
      <c r="O864">
        <f>IF($O$862="","",$O$862)</f>
        <v/>
      </c>
      <c r="Q864" s="4">
        <f>B864</f>
        <v/>
      </c>
      <c r="R864" s="4">
        <f>C864</f>
        <v/>
      </c>
      <c r="S864" s="4">
        <f>D864</f>
        <v/>
      </c>
      <c r="T864" s="4">
        <f>E864&amp;"/"&amp;E865</f>
        <v/>
      </c>
      <c r="U864" s="4">
        <f>F864&amp;"-"&amp;G864&amp;"-"&amp;F864</f>
        <v/>
      </c>
      <c r="V864" s="4">
        <f>IF($M$862="","",$M$862)</f>
        <v/>
      </c>
      <c r="W864" s="4">
        <f>IF($O$862="","",$O$862)</f>
        <v/>
      </c>
      <c r="X864" s="4">
        <f>J864</f>
        <v/>
      </c>
    </row>
    <row r="865">
      <c r="B865" s="4" t="n">
        <v>925</v>
      </c>
      <c r="C865" s="4" t="inlineStr">
        <is>
          <t>10/09/2026</t>
        </is>
      </c>
      <c r="D865" s="4" t="inlineStr">
        <is>
          <t>jueves</t>
        </is>
      </c>
      <c r="E865" s="4" t="n">
        <v>2040</v>
      </c>
      <c r="F865" s="4" t="inlineStr">
        <is>
          <t>PCL</t>
        </is>
      </c>
      <c r="G865" s="4" t="inlineStr">
        <is>
          <t>LIM</t>
        </is>
      </c>
      <c r="H865" s="4" t="inlineStr">
        <is>
          <t>20:15:00</t>
        </is>
      </c>
      <c r="I865" s="4" t="inlineStr">
        <is>
          <t>21:30:00</t>
        </is>
      </c>
      <c r="J865" s="4" t="n">
        <v>320</v>
      </c>
      <c r="K865">
        <f>TEXT(TIMEVALUE(H865)-TIMEVALUE(I864)+(TIMEVALUE(H865)&lt;TIMEVALUE(I864)),"[h]:mm")</f>
        <v/>
      </c>
      <c r="L865" s="4" t="inlineStr">
        <is>
          <t>01:15:00</t>
        </is>
      </c>
      <c r="O865">
        <f>"LIM-"&amp;G864&amp;"-LIM   LA "&amp;E864&amp;" ("&amp;LEFT(H864,5)&amp;"-"&amp;LEFT(I864,5)&amp;" hrs)  /  LA "&amp;E865&amp;" ("&amp;LEFT(H865,5)&amp;"-"&amp;LEFT(I865,5)&amp;" hrs)"</f>
        <v/>
      </c>
    </row>
    <row r="866">
      <c r="J866" s="8" t="inlineStr">
        <is>
          <t>PSV total:</t>
        </is>
      </c>
      <c r="K866" s="9">
        <f>TEXT(TIMEVALUE(I865)-TIMEVALUE(H862)+(I865&lt;H862),"[h]:mm")</f>
        <v/>
      </c>
    </row>
    <row r="868">
      <c r="B868" s="3" t="inlineStr">
        <is>
          <t>Pairing ID</t>
        </is>
      </c>
      <c r="C868" s="3" t="inlineStr">
        <is>
          <t>FECHA REAL</t>
        </is>
      </c>
      <c r="D868" s="3" t="inlineStr">
        <is>
          <t>Day of Week</t>
        </is>
      </c>
      <c r="E868" s="3" t="inlineStr">
        <is>
          <t>Flight No</t>
        </is>
      </c>
      <c r="F868" s="3" t="inlineStr">
        <is>
          <t>Dep Stn</t>
        </is>
      </c>
      <c r="G868" s="3" t="inlineStr">
        <is>
          <t>Arr Stn</t>
        </is>
      </c>
      <c r="H868" s="3" t="inlineStr">
        <is>
          <t>STD</t>
        </is>
      </c>
      <c r="I868" s="3" t="inlineStr">
        <is>
          <t>STA</t>
        </is>
      </c>
      <c r="J868" s="3" t="inlineStr">
        <is>
          <t>subflota</t>
        </is>
      </c>
      <c r="K868" s="3" t="inlineStr">
        <is>
          <t>Conexion</t>
        </is>
      </c>
      <c r="L868" s="3" t="inlineStr">
        <is>
          <t>HBT</t>
        </is>
      </c>
    </row>
    <row r="869">
      <c r="B869" s="4" t="n">
        <v>907</v>
      </c>
      <c r="C869" s="4" t="inlineStr">
        <is>
          <t>10/09/2026</t>
        </is>
      </c>
      <c r="D869" s="4" t="inlineStr">
        <is>
          <t>jueves</t>
        </is>
      </c>
      <c r="E869" s="4" t="n">
        <v>2234</v>
      </c>
      <c r="F869" s="4" t="inlineStr">
        <is>
          <t>LIM</t>
        </is>
      </c>
      <c r="G869" s="4" t="inlineStr">
        <is>
          <t>IQT</t>
        </is>
      </c>
      <c r="H869" s="4" t="inlineStr">
        <is>
          <t>13:35:00</t>
        </is>
      </c>
      <c r="I869" s="4" t="inlineStr">
        <is>
          <t>15:25:00</t>
        </is>
      </c>
      <c r="J869" s="4" t="n">
        <v>320</v>
      </c>
      <c r="L869" s="4" t="inlineStr">
        <is>
          <t>01:50:00</t>
        </is>
      </c>
      <c r="M869" s="5" t="n"/>
      <c r="N869" s="6" t="n"/>
      <c r="O869" s="5" t="n"/>
      <c r="Q869" s="4">
        <f>B869</f>
        <v/>
      </c>
      <c r="R869" s="4">
        <f>C869</f>
        <v/>
      </c>
      <c r="S869" s="4">
        <f>D869</f>
        <v/>
      </c>
      <c r="T869" s="4">
        <f>E869&amp;"/"&amp;E870</f>
        <v/>
      </c>
      <c r="U869" s="4">
        <f>F869&amp;"-"&amp;G869&amp;"-"&amp;F869</f>
        <v/>
      </c>
      <c r="V869" s="4">
        <f>IF($M$869="","",$M$869)</f>
        <v/>
      </c>
      <c r="W869" s="4">
        <f>IF($O$869="","",$O$869)</f>
        <v/>
      </c>
      <c r="X869" s="4">
        <f>J869</f>
        <v/>
      </c>
    </row>
    <row r="870">
      <c r="B870" s="4" t="n">
        <v>907</v>
      </c>
      <c r="C870" s="4" t="inlineStr">
        <is>
          <t>10/09/2026</t>
        </is>
      </c>
      <c r="D870" s="4" t="inlineStr">
        <is>
          <t>jueves</t>
        </is>
      </c>
      <c r="E870" s="4" t="n">
        <v>2235</v>
      </c>
      <c r="F870" s="4" t="inlineStr">
        <is>
          <t>IQT</t>
        </is>
      </c>
      <c r="G870" s="4" t="inlineStr">
        <is>
          <t>LIM</t>
        </is>
      </c>
      <c r="H870" s="4" t="inlineStr">
        <is>
          <t>16:05:00</t>
        </is>
      </c>
      <c r="I870" s="4" t="inlineStr">
        <is>
          <t>17:55:00</t>
        </is>
      </c>
      <c r="J870" s="4" t="n">
        <v>320</v>
      </c>
      <c r="K870">
        <f>TEXT(TIMEVALUE(H870)-TIMEVALUE(I869)+(TIMEVALUE(H870)&lt;TIMEVALUE(I869)),"[h]:mm")</f>
        <v/>
      </c>
      <c r="L870" s="4" t="inlineStr">
        <is>
          <t>01:50:00</t>
        </is>
      </c>
      <c r="O870">
        <f>"LIM-"&amp;G869&amp;"-LIM   LA "&amp;E869&amp;" ("&amp;LEFT(H869,5)&amp;"-"&amp;LEFT(I869,5)&amp;" hrs)  /  LA "&amp;E870&amp;" ("&amp;LEFT(H870,5)&amp;"-"&amp;LEFT(I870,5)&amp;" hrs)"</f>
        <v/>
      </c>
    </row>
    <row r="871">
      <c r="J871" s="8" t="inlineStr">
        <is>
          <t>PSV total:</t>
        </is>
      </c>
      <c r="K871" s="9">
        <f>TEXT(TIMEVALUE(I870)-TIMEVALUE(H869)+(I870&lt;H869),"[h]:mm")</f>
        <v/>
      </c>
    </row>
    <row r="873">
      <c r="B873" s="3" t="inlineStr">
        <is>
          <t>Pairing ID</t>
        </is>
      </c>
      <c r="C873" s="3" t="inlineStr">
        <is>
          <t>FECHA REAL</t>
        </is>
      </c>
      <c r="D873" s="3" t="inlineStr">
        <is>
          <t>Day of Week</t>
        </is>
      </c>
      <c r="E873" s="3" t="inlineStr">
        <is>
          <t>Flight No</t>
        </is>
      </c>
      <c r="F873" s="3" t="inlineStr">
        <is>
          <t>Dep Stn</t>
        </is>
      </c>
      <c r="G873" s="3" t="inlineStr">
        <is>
          <t>Arr Stn</t>
        </is>
      </c>
      <c r="H873" s="3" t="inlineStr">
        <is>
          <t>STD</t>
        </is>
      </c>
      <c r="I873" s="3" t="inlineStr">
        <is>
          <t>STA</t>
        </is>
      </c>
      <c r="J873" s="3" t="inlineStr">
        <is>
          <t>subflota</t>
        </is>
      </c>
      <c r="K873" s="3" t="inlineStr">
        <is>
          <t>Conexion</t>
        </is>
      </c>
      <c r="L873" s="3" t="inlineStr">
        <is>
          <t>HBT</t>
        </is>
      </c>
    </row>
    <row r="874">
      <c r="B874" s="4" t="n">
        <v>910</v>
      </c>
      <c r="C874" s="4" t="inlineStr">
        <is>
          <t>10/09/2026</t>
        </is>
      </c>
      <c r="D874" s="4" t="inlineStr">
        <is>
          <t>jueves</t>
        </is>
      </c>
      <c r="E874" s="4" t="n">
        <v>2055</v>
      </c>
      <c r="F874" s="4" t="inlineStr">
        <is>
          <t>LIM</t>
        </is>
      </c>
      <c r="G874" s="4" t="inlineStr">
        <is>
          <t>AQP</t>
        </is>
      </c>
      <c r="H874" s="4" t="inlineStr">
        <is>
          <t>13:50:00</t>
        </is>
      </c>
      <c r="I874" s="4" t="inlineStr">
        <is>
          <t>15:20:00</t>
        </is>
      </c>
      <c r="J874" s="4" t="n">
        <v>320</v>
      </c>
      <c r="L874" s="4" t="inlineStr">
        <is>
          <t>01:30:00</t>
        </is>
      </c>
      <c r="M874" s="5" t="n"/>
      <c r="N874" s="6" t="n"/>
      <c r="O874" s="5" t="n"/>
      <c r="Q874" s="4">
        <f>B874</f>
        <v/>
      </c>
      <c r="R874" s="4">
        <f>C874</f>
        <v/>
      </c>
      <c r="S874" s="4">
        <f>D874</f>
        <v/>
      </c>
      <c r="T874" s="4">
        <f>E874&amp;"/"&amp;E875</f>
        <v/>
      </c>
      <c r="U874" s="4">
        <f>F874&amp;"-"&amp;G874&amp;"-"&amp;F874</f>
        <v/>
      </c>
      <c r="V874" s="4">
        <f>IF($M$874="","",$M$874)</f>
        <v/>
      </c>
      <c r="W874" s="4">
        <f>IF($O$874="","",$O$874)</f>
        <v/>
      </c>
      <c r="X874" s="4">
        <f>J874</f>
        <v/>
      </c>
    </row>
    <row r="875">
      <c r="B875" s="4" t="n">
        <v>910</v>
      </c>
      <c r="C875" s="4" t="inlineStr">
        <is>
          <t>10/09/2026</t>
        </is>
      </c>
      <c r="D875" s="4" t="inlineStr">
        <is>
          <t>jueves</t>
        </is>
      </c>
      <c r="E875" s="4" t="n">
        <v>2056</v>
      </c>
      <c r="F875" s="4" t="inlineStr">
        <is>
          <t>AQP</t>
        </is>
      </c>
      <c r="G875" s="4" t="inlineStr">
        <is>
          <t>LIM</t>
        </is>
      </c>
      <c r="H875" s="4" t="inlineStr">
        <is>
          <t>16:10:00</t>
        </is>
      </c>
      <c r="I875" s="4" t="inlineStr">
        <is>
          <t>17:50:00</t>
        </is>
      </c>
      <c r="J875" s="4" t="n">
        <v>320</v>
      </c>
      <c r="K875">
        <f>TEXT(TIMEVALUE(H875)-TIMEVALUE(I874)+(TIMEVALUE(H875)&lt;TIMEVALUE(I874)),"[h]:mm")</f>
        <v/>
      </c>
      <c r="L875" s="4" t="inlineStr">
        <is>
          <t>01:40:00</t>
        </is>
      </c>
      <c r="O875">
        <f>"LIM-"&amp;G874&amp;"-LIM   LA "&amp;E874&amp;" ("&amp;LEFT(H874,5)&amp;"-"&amp;LEFT(I874,5)&amp;" hrs)  /  LA "&amp;E875&amp;" ("&amp;LEFT(H875,5)&amp;"-"&amp;LEFT(I875,5)&amp;" hrs)"</f>
        <v/>
      </c>
    </row>
    <row r="876">
      <c r="J876" s="8" t="inlineStr">
        <is>
          <t>PSV total:</t>
        </is>
      </c>
      <c r="K876" s="9">
        <f>TEXT(TIMEVALUE(I875)-TIMEVALUE(H874)+(I875&lt;H874),"[h]:mm")</f>
        <v/>
      </c>
    </row>
    <row r="878">
      <c r="B878" s="3" t="inlineStr">
        <is>
          <t>Pairing ID</t>
        </is>
      </c>
      <c r="C878" s="3" t="inlineStr">
        <is>
          <t>FECHA REAL</t>
        </is>
      </c>
      <c r="D878" s="3" t="inlineStr">
        <is>
          <t>Day of Week</t>
        </is>
      </c>
      <c r="E878" s="3" t="inlineStr">
        <is>
          <t>Flight No</t>
        </is>
      </c>
      <c r="F878" s="3" t="inlineStr">
        <is>
          <t>Dep Stn</t>
        </is>
      </c>
      <c r="G878" s="3" t="inlineStr">
        <is>
          <t>Arr Stn</t>
        </is>
      </c>
      <c r="H878" s="3" t="inlineStr">
        <is>
          <t>STD</t>
        </is>
      </c>
      <c r="I878" s="3" t="inlineStr">
        <is>
          <t>STA</t>
        </is>
      </c>
      <c r="J878" s="3" t="inlineStr">
        <is>
          <t>subflota</t>
        </is>
      </c>
      <c r="K878" s="3" t="inlineStr">
        <is>
          <t>Conexion</t>
        </is>
      </c>
      <c r="L878" s="3" t="inlineStr">
        <is>
          <t>HBT</t>
        </is>
      </c>
    </row>
    <row r="879">
      <c r="B879" s="4" t="n">
        <v>912</v>
      </c>
      <c r="C879" s="4" t="inlineStr">
        <is>
          <t>10/09/2026</t>
        </is>
      </c>
      <c r="D879" s="4" t="inlineStr">
        <is>
          <t>jueves</t>
        </is>
      </c>
      <c r="E879" s="4" t="n">
        <v>2087</v>
      </c>
      <c r="F879" s="4" t="inlineStr">
        <is>
          <t>LIM</t>
        </is>
      </c>
      <c r="G879" s="4" t="inlineStr">
        <is>
          <t>TPP</t>
        </is>
      </c>
      <c r="H879" s="4" t="inlineStr">
        <is>
          <t>14:05:00</t>
        </is>
      </c>
      <c r="I879" s="4" t="inlineStr">
        <is>
          <t>15:30:00</t>
        </is>
      </c>
      <c r="J879" s="4" t="n">
        <v>319</v>
      </c>
      <c r="L879" s="4" t="inlineStr">
        <is>
          <t>01:25:00</t>
        </is>
      </c>
      <c r="M879" s="5" t="n"/>
      <c r="N879" s="6" t="n"/>
      <c r="O879" s="5" t="n"/>
      <c r="Q879" s="4">
        <f>B879</f>
        <v/>
      </c>
      <c r="R879" s="4">
        <f>C879</f>
        <v/>
      </c>
      <c r="S879" s="4">
        <f>D879</f>
        <v/>
      </c>
      <c r="T879" s="4">
        <f>E879&amp;"/"&amp;E880</f>
        <v/>
      </c>
      <c r="U879" s="4">
        <f>F879&amp;"-"&amp;G879&amp;"-"&amp;F879</f>
        <v/>
      </c>
      <c r="V879" s="4">
        <f>IF($M$879="","",$M$879)</f>
        <v/>
      </c>
      <c r="W879" s="4">
        <f>IF($O$879="","",$O$879)</f>
        <v/>
      </c>
      <c r="X879" s="4">
        <f>J879</f>
        <v/>
      </c>
    </row>
    <row r="880">
      <c r="B880" s="4" t="n">
        <v>912</v>
      </c>
      <c r="C880" s="4" t="inlineStr">
        <is>
          <t>10/09/2026</t>
        </is>
      </c>
      <c r="D880" s="4" t="inlineStr">
        <is>
          <t>jueves</t>
        </is>
      </c>
      <c r="E880" s="4" t="n">
        <v>2088</v>
      </c>
      <c r="F880" s="4" t="inlineStr">
        <is>
          <t>TPP</t>
        </is>
      </c>
      <c r="G880" s="4" t="inlineStr">
        <is>
          <t>LIM</t>
        </is>
      </c>
      <c r="H880" s="4" t="inlineStr">
        <is>
          <t>16:05:00</t>
        </is>
      </c>
      <c r="I880" s="4" t="inlineStr">
        <is>
          <t>17:30:00</t>
        </is>
      </c>
      <c r="J880" s="4" t="n">
        <v>319</v>
      </c>
      <c r="K880">
        <f>TEXT(TIMEVALUE(H880)-TIMEVALUE(I879)+(TIMEVALUE(H880)&lt;TIMEVALUE(I879)),"[h]:mm")</f>
        <v/>
      </c>
      <c r="L880" s="4" t="inlineStr">
        <is>
          <t>01:25:00</t>
        </is>
      </c>
      <c r="O880">
        <f>"LIM-"&amp;G879&amp;"-LIM   LA "&amp;E879&amp;" ("&amp;LEFT(H879,5)&amp;"-"&amp;LEFT(I879,5)&amp;" hrs)  /  LA "&amp;E880&amp;" ("&amp;LEFT(H880,5)&amp;"-"&amp;LEFT(I880,5)&amp;" hrs)"</f>
        <v/>
      </c>
    </row>
    <row r="881">
      <c r="J881" s="8" t="inlineStr">
        <is>
          <t>PSV total:</t>
        </is>
      </c>
      <c r="K881" s="9">
        <f>TEXT(TIMEVALUE(I880)-TIMEVALUE(H879)+(I880&lt;H879),"[h]:mm")</f>
        <v/>
      </c>
    </row>
    <row r="883">
      <c r="B883" s="3" t="inlineStr">
        <is>
          <t>Pairing ID</t>
        </is>
      </c>
      <c r="C883" s="3" t="inlineStr">
        <is>
          <t>FECHA REAL</t>
        </is>
      </c>
      <c r="D883" s="3" t="inlineStr">
        <is>
          <t>Day of Week</t>
        </is>
      </c>
      <c r="E883" s="3" t="inlineStr">
        <is>
          <t>Flight No</t>
        </is>
      </c>
      <c r="F883" s="3" t="inlineStr">
        <is>
          <t>Dep Stn</t>
        </is>
      </c>
      <c r="G883" s="3" t="inlineStr">
        <is>
          <t>Arr Stn</t>
        </is>
      </c>
      <c r="H883" s="3" t="inlineStr">
        <is>
          <t>STD</t>
        </is>
      </c>
      <c r="I883" s="3" t="inlineStr">
        <is>
          <t>STA</t>
        </is>
      </c>
      <c r="J883" s="3" t="inlineStr">
        <is>
          <t>subflota</t>
        </is>
      </c>
      <c r="K883" s="3" t="inlineStr">
        <is>
          <t>Conexion</t>
        </is>
      </c>
      <c r="L883" s="3" t="inlineStr">
        <is>
          <t>HBT</t>
        </is>
      </c>
    </row>
    <row r="884">
      <c r="B884" s="4" t="n">
        <v>913</v>
      </c>
      <c r="C884" s="4" t="inlineStr">
        <is>
          <t>10/09/2026</t>
        </is>
      </c>
      <c r="D884" s="4" t="inlineStr">
        <is>
          <t>jueves</t>
        </is>
      </c>
      <c r="E884" s="4" t="n">
        <v>2282</v>
      </c>
      <c r="F884" s="4" t="inlineStr">
        <is>
          <t>LIM</t>
        </is>
      </c>
      <c r="G884" s="4" t="inlineStr">
        <is>
          <t>CIX</t>
        </is>
      </c>
      <c r="H884" s="4" t="inlineStr">
        <is>
          <t>14:35:00</t>
        </is>
      </c>
      <c r="I884" s="4" t="inlineStr">
        <is>
          <t>16:05:00</t>
        </is>
      </c>
      <c r="J884" s="4" t="n">
        <v>320</v>
      </c>
      <c r="L884" s="4" t="inlineStr">
        <is>
          <t>01:30:00</t>
        </is>
      </c>
      <c r="M884" s="5" t="n"/>
      <c r="N884" s="6" t="n"/>
      <c r="O884" s="5" t="n"/>
      <c r="Q884" s="4">
        <f>B884</f>
        <v/>
      </c>
      <c r="R884" s="4">
        <f>C884</f>
        <v/>
      </c>
      <c r="S884" s="4">
        <f>D884</f>
        <v/>
      </c>
      <c r="T884" s="4">
        <f>E884&amp;"/"&amp;E885</f>
        <v/>
      </c>
      <c r="U884" s="4">
        <f>F884&amp;"-"&amp;G884&amp;"-"&amp;F884</f>
        <v/>
      </c>
      <c r="V884" s="4">
        <f>IF($M$884="","",$M$884)</f>
        <v/>
      </c>
      <c r="W884" s="4">
        <f>IF($O$884="","",$O$884)</f>
        <v/>
      </c>
      <c r="X884" s="4">
        <f>J884</f>
        <v/>
      </c>
    </row>
    <row r="885">
      <c r="B885" s="4" t="n">
        <v>913</v>
      </c>
      <c r="C885" s="4" t="inlineStr">
        <is>
          <t>10/09/2026</t>
        </is>
      </c>
      <c r="D885" s="4" t="inlineStr">
        <is>
          <t>jueves</t>
        </is>
      </c>
      <c r="E885" s="4" t="n">
        <v>2283</v>
      </c>
      <c r="F885" s="4" t="inlineStr">
        <is>
          <t>CIX</t>
        </is>
      </c>
      <c r="G885" s="4" t="inlineStr">
        <is>
          <t>LIM</t>
        </is>
      </c>
      <c r="H885" s="4" t="inlineStr">
        <is>
          <t>16:50:00</t>
        </is>
      </c>
      <c r="I885" s="4" t="inlineStr">
        <is>
          <t>18:10:00</t>
        </is>
      </c>
      <c r="J885" s="4" t="n">
        <v>320</v>
      </c>
      <c r="K885">
        <f>TEXT(TIMEVALUE(H885)-TIMEVALUE(I884)+(TIMEVALUE(H885)&lt;TIMEVALUE(I884)),"[h]:mm")</f>
        <v/>
      </c>
      <c r="L885" s="4" t="inlineStr">
        <is>
          <t>01:20:00</t>
        </is>
      </c>
      <c r="O885">
        <f>"LIM-"&amp;G884&amp;"-LIM   LA "&amp;E884&amp;" ("&amp;LEFT(H884,5)&amp;"-"&amp;LEFT(I884,5)&amp;" hrs)  /  LA "&amp;E885&amp;" ("&amp;LEFT(H885,5)&amp;"-"&amp;LEFT(I885,5)&amp;" hrs)"</f>
        <v/>
      </c>
    </row>
    <row r="886">
      <c r="J886" s="8" t="inlineStr">
        <is>
          <t>PSV total:</t>
        </is>
      </c>
      <c r="K886" s="9">
        <f>TEXT(TIMEVALUE(I885)-TIMEVALUE(H884)+(I885&lt;H884),"[h]:mm")</f>
        <v/>
      </c>
    </row>
    <row r="888">
      <c r="B888" s="3" t="inlineStr">
        <is>
          <t>Pairing ID</t>
        </is>
      </c>
      <c r="C888" s="3" t="inlineStr">
        <is>
          <t>FECHA REAL</t>
        </is>
      </c>
      <c r="D888" s="3" t="inlineStr">
        <is>
          <t>Day of Week</t>
        </is>
      </c>
      <c r="E888" s="3" t="inlineStr">
        <is>
          <t>Flight No</t>
        </is>
      </c>
      <c r="F888" s="3" t="inlineStr">
        <is>
          <t>Dep Stn</t>
        </is>
      </c>
      <c r="G888" s="3" t="inlineStr">
        <is>
          <t>Arr Stn</t>
        </is>
      </c>
      <c r="H888" s="3" t="inlineStr">
        <is>
          <t>STD</t>
        </is>
      </c>
      <c r="I888" s="3" t="inlineStr">
        <is>
          <t>STA</t>
        </is>
      </c>
      <c r="J888" s="3" t="inlineStr">
        <is>
          <t>subflota</t>
        </is>
      </c>
      <c r="K888" s="3" t="inlineStr">
        <is>
          <t>Conexion</t>
        </is>
      </c>
      <c r="L888" s="3" t="inlineStr">
        <is>
          <t>HBT</t>
        </is>
      </c>
    </row>
    <row r="889">
      <c r="B889" s="4" t="n">
        <v>914</v>
      </c>
      <c r="C889" s="4" t="inlineStr">
        <is>
          <t>10/09/2026</t>
        </is>
      </c>
      <c r="D889" s="4" t="inlineStr">
        <is>
          <t>jueves</t>
        </is>
      </c>
      <c r="E889" s="4" t="n">
        <v>2338</v>
      </c>
      <c r="F889" s="4" t="inlineStr">
        <is>
          <t>LIM</t>
        </is>
      </c>
      <c r="G889" s="4" t="inlineStr">
        <is>
          <t>PIU</t>
        </is>
      </c>
      <c r="H889" s="4" t="inlineStr">
        <is>
          <t>15:00:00</t>
        </is>
      </c>
      <c r="I889" s="4" t="inlineStr">
        <is>
          <t>16:45:00</t>
        </is>
      </c>
      <c r="J889" s="4" t="n">
        <v>320</v>
      </c>
      <c r="L889" s="4" t="inlineStr">
        <is>
          <t>01:45:00</t>
        </is>
      </c>
      <c r="M889" s="5" t="n"/>
      <c r="N889" s="6" t="n"/>
      <c r="O889" s="5" t="n"/>
      <c r="Q889" s="4">
        <f>B889</f>
        <v/>
      </c>
      <c r="R889" s="4">
        <f>C889</f>
        <v/>
      </c>
      <c r="S889" s="4">
        <f>D889</f>
        <v/>
      </c>
      <c r="T889" s="4">
        <f>E889&amp;"/"&amp;E890</f>
        <v/>
      </c>
      <c r="U889" s="4">
        <f>F889&amp;"-"&amp;G889&amp;"-"&amp;F889</f>
        <v/>
      </c>
      <c r="V889" s="4">
        <f>IF($M$889="","",$M$889)</f>
        <v/>
      </c>
      <c r="W889" s="4">
        <f>IF($O$889="","",$O$889)</f>
        <v/>
      </c>
      <c r="X889" s="4">
        <f>J889</f>
        <v/>
      </c>
    </row>
    <row r="890">
      <c r="B890" s="4" t="n">
        <v>914</v>
      </c>
      <c r="C890" s="4" t="inlineStr">
        <is>
          <t>10/09/2026</t>
        </is>
      </c>
      <c r="D890" s="4" t="inlineStr">
        <is>
          <t>jueves</t>
        </is>
      </c>
      <c r="E890" s="4" t="n">
        <v>2339</v>
      </c>
      <c r="F890" s="4" t="inlineStr">
        <is>
          <t>PIU</t>
        </is>
      </c>
      <c r="G890" s="4" t="inlineStr">
        <is>
          <t>LIM</t>
        </is>
      </c>
      <c r="H890" s="4" t="inlineStr">
        <is>
          <t>17:20:00</t>
        </is>
      </c>
      <c r="I890" s="4" t="inlineStr">
        <is>
          <t>18:50:00</t>
        </is>
      </c>
      <c r="J890" s="4" t="n">
        <v>320</v>
      </c>
      <c r="K890">
        <f>TEXT(TIMEVALUE(H890)-TIMEVALUE(I889)+(TIMEVALUE(H890)&lt;TIMEVALUE(I889)),"[h]:mm")</f>
        <v/>
      </c>
      <c r="L890" s="4" t="inlineStr">
        <is>
          <t>01:30:00</t>
        </is>
      </c>
      <c r="O890">
        <f>"LIM-"&amp;G889&amp;"-LIM   LA "&amp;E889&amp;" ("&amp;LEFT(H889,5)&amp;"-"&amp;LEFT(I889,5)&amp;" hrs)  /  LA "&amp;E890&amp;" ("&amp;LEFT(H890,5)&amp;"-"&amp;LEFT(I890,5)&amp;" hrs)"</f>
        <v/>
      </c>
    </row>
    <row r="891">
      <c r="J891" s="8" t="inlineStr">
        <is>
          <t>PSV total:</t>
        </is>
      </c>
      <c r="K891" s="9">
        <f>TEXT(TIMEVALUE(I890)-TIMEVALUE(H889)+(I890&lt;H889),"[h]:mm")</f>
        <v/>
      </c>
    </row>
    <row r="893">
      <c r="B893" s="3" t="inlineStr">
        <is>
          <t>Pairing ID</t>
        </is>
      </c>
      <c r="C893" s="3" t="inlineStr">
        <is>
          <t>FECHA REAL</t>
        </is>
      </c>
      <c r="D893" s="3" t="inlineStr">
        <is>
          <t>Day of Week</t>
        </is>
      </c>
      <c r="E893" s="3" t="inlineStr">
        <is>
          <t>Flight No</t>
        </is>
      </c>
      <c r="F893" s="3" t="inlineStr">
        <is>
          <t>Dep Stn</t>
        </is>
      </c>
      <c r="G893" s="3" t="inlineStr">
        <is>
          <t>Arr Stn</t>
        </is>
      </c>
      <c r="H893" s="3" t="inlineStr">
        <is>
          <t>STD</t>
        </is>
      </c>
      <c r="I893" s="3" t="inlineStr">
        <is>
          <t>STA</t>
        </is>
      </c>
      <c r="J893" s="3" t="inlineStr">
        <is>
          <t>subflota</t>
        </is>
      </c>
      <c r="K893" s="3" t="inlineStr">
        <is>
          <t>Conexion</t>
        </is>
      </c>
      <c r="L893" s="3" t="inlineStr">
        <is>
          <t>HBT</t>
        </is>
      </c>
    </row>
    <row r="894">
      <c r="B894" s="4" t="n">
        <v>915</v>
      </c>
      <c r="C894" s="4" t="inlineStr">
        <is>
          <t>10/09/2026</t>
        </is>
      </c>
      <c r="D894" s="4" t="inlineStr">
        <is>
          <t>jueves</t>
        </is>
      </c>
      <c r="E894" s="4" t="n">
        <v>2113</v>
      </c>
      <c r="F894" s="4" t="inlineStr">
        <is>
          <t>LIM</t>
        </is>
      </c>
      <c r="G894" s="4" t="inlineStr">
        <is>
          <t>AQP</t>
        </is>
      </c>
      <c r="H894" s="4" t="inlineStr">
        <is>
          <t>15:05:00</t>
        </is>
      </c>
      <c r="I894" s="4" t="inlineStr">
        <is>
          <t>16:35:00</t>
        </is>
      </c>
      <c r="J894" s="4" t="n">
        <v>320</v>
      </c>
      <c r="L894" s="4" t="inlineStr">
        <is>
          <t>01:30:00</t>
        </is>
      </c>
      <c r="M894" s="5" t="n"/>
      <c r="N894" s="6" t="n"/>
      <c r="O894" s="5" t="n"/>
      <c r="Q894" s="4">
        <f>B894</f>
        <v/>
      </c>
      <c r="R894" s="4">
        <f>C894</f>
        <v/>
      </c>
      <c r="S894" s="4">
        <f>D894</f>
        <v/>
      </c>
      <c r="T894" s="4">
        <f>E894&amp;"/"&amp;E895</f>
        <v/>
      </c>
      <c r="U894" s="4">
        <f>F894&amp;"-"&amp;G894&amp;"-"&amp;F894</f>
        <v/>
      </c>
      <c r="V894" s="4">
        <f>IF($M$894="","",$M$894)</f>
        <v/>
      </c>
      <c r="W894" s="4">
        <f>IF($O$894="","",$O$894)</f>
        <v/>
      </c>
      <c r="X894" s="4">
        <f>J894</f>
        <v/>
      </c>
    </row>
    <row r="895">
      <c r="B895" s="4" t="n">
        <v>915</v>
      </c>
      <c r="C895" s="4" t="inlineStr">
        <is>
          <t>10/09/2026</t>
        </is>
      </c>
      <c r="D895" s="4" t="inlineStr">
        <is>
          <t>jueves</t>
        </is>
      </c>
      <c r="E895" s="4" t="n">
        <v>2112</v>
      </c>
      <c r="F895" s="4" t="inlineStr">
        <is>
          <t>AQP</t>
        </is>
      </c>
      <c r="G895" s="4" t="inlineStr">
        <is>
          <t>LIM</t>
        </is>
      </c>
      <c r="H895" s="4" t="inlineStr">
        <is>
          <t>17:15:00</t>
        </is>
      </c>
      <c r="I895" s="4" t="inlineStr">
        <is>
          <t>18:55:00</t>
        </is>
      </c>
      <c r="J895" s="4" t="n">
        <v>320</v>
      </c>
      <c r="K895">
        <f>TEXT(TIMEVALUE(H895)-TIMEVALUE(I894)+(TIMEVALUE(H895)&lt;TIMEVALUE(I894)),"[h]:mm")</f>
        <v/>
      </c>
      <c r="L895" s="4" t="inlineStr">
        <is>
          <t>01:40:00</t>
        </is>
      </c>
      <c r="O895">
        <f>"LIM-"&amp;G894&amp;"-LIM   LA "&amp;E894&amp;" ("&amp;LEFT(H894,5)&amp;"-"&amp;LEFT(I894,5)&amp;" hrs)  /  LA "&amp;E895&amp;" ("&amp;LEFT(H895,5)&amp;"-"&amp;LEFT(I895,5)&amp;" hrs)"</f>
        <v/>
      </c>
    </row>
    <row r="896">
      <c r="J896" s="8" t="inlineStr">
        <is>
          <t>PSV total:</t>
        </is>
      </c>
      <c r="K896" s="9">
        <f>TEXT(TIMEVALUE(I895)-TIMEVALUE(H894)+(I895&lt;H894),"[h]:mm")</f>
        <v/>
      </c>
    </row>
    <row r="898">
      <c r="B898" s="3" t="inlineStr">
        <is>
          <t>Pairing ID</t>
        </is>
      </c>
      <c r="C898" s="3" t="inlineStr">
        <is>
          <t>FECHA REAL</t>
        </is>
      </c>
      <c r="D898" s="3" t="inlineStr">
        <is>
          <t>Day of Week</t>
        </is>
      </c>
      <c r="E898" s="3" t="inlineStr">
        <is>
          <t>Flight No</t>
        </is>
      </c>
      <c r="F898" s="3" t="inlineStr">
        <is>
          <t>Dep Stn</t>
        </is>
      </c>
      <c r="G898" s="3" t="inlineStr">
        <is>
          <t>Arr Stn</t>
        </is>
      </c>
      <c r="H898" s="3" t="inlineStr">
        <is>
          <t>STD</t>
        </is>
      </c>
      <c r="I898" s="3" t="inlineStr">
        <is>
          <t>STA</t>
        </is>
      </c>
      <c r="J898" s="3" t="inlineStr">
        <is>
          <t>subflota</t>
        </is>
      </c>
      <c r="K898" s="3" t="inlineStr">
        <is>
          <t>Conexion</t>
        </is>
      </c>
      <c r="L898" s="3" t="inlineStr">
        <is>
          <t>HBT</t>
        </is>
      </c>
    </row>
    <row r="899">
      <c r="B899" s="4" t="n">
        <v>917</v>
      </c>
      <c r="C899" s="4" t="inlineStr">
        <is>
          <t>10/09/2026</t>
        </is>
      </c>
      <c r="D899" s="4" t="inlineStr">
        <is>
          <t>jueves</t>
        </is>
      </c>
      <c r="E899" s="4" t="n">
        <v>2297</v>
      </c>
      <c r="F899" s="4" t="inlineStr">
        <is>
          <t>LIM</t>
        </is>
      </c>
      <c r="G899" s="4" t="inlineStr">
        <is>
          <t>CJA</t>
        </is>
      </c>
      <c r="H899" s="4" t="inlineStr">
        <is>
          <t>15:15:00</t>
        </is>
      </c>
      <c r="I899" s="4" t="inlineStr">
        <is>
          <t>16:35:00</t>
        </is>
      </c>
      <c r="J899" s="4" t="n">
        <v>320</v>
      </c>
      <c r="L899" s="4" t="inlineStr">
        <is>
          <t>01:20:00</t>
        </is>
      </c>
      <c r="M899" s="5" t="n"/>
      <c r="N899" s="6" t="n"/>
      <c r="O899" s="5" t="n"/>
      <c r="Q899" s="4">
        <f>B899</f>
        <v/>
      </c>
      <c r="R899" s="4">
        <f>C899</f>
        <v/>
      </c>
      <c r="S899" s="4">
        <f>D899</f>
        <v/>
      </c>
      <c r="T899" s="4">
        <f>E899&amp;"/"&amp;E900</f>
        <v/>
      </c>
      <c r="U899" s="4">
        <f>F899&amp;"-"&amp;G899&amp;"-"&amp;F899</f>
        <v/>
      </c>
      <c r="V899" s="4">
        <f>IF($M$899="","",$M$899)</f>
        <v/>
      </c>
      <c r="W899" s="4">
        <f>IF($O$899="","",$O$899)</f>
        <v/>
      </c>
      <c r="X899" s="4">
        <f>J899</f>
        <v/>
      </c>
    </row>
    <row r="900">
      <c r="B900" s="4" t="n">
        <v>917</v>
      </c>
      <c r="C900" s="4" t="inlineStr">
        <is>
          <t>10/09/2026</t>
        </is>
      </c>
      <c r="D900" s="4" t="inlineStr">
        <is>
          <t>jueves</t>
        </is>
      </c>
      <c r="E900" s="4" t="n">
        <v>2296</v>
      </c>
      <c r="F900" s="4" t="inlineStr">
        <is>
          <t>CJA</t>
        </is>
      </c>
      <c r="G900" s="4" t="inlineStr">
        <is>
          <t>LIM</t>
        </is>
      </c>
      <c r="H900" s="4" t="inlineStr">
        <is>
          <t>17:20:00</t>
        </is>
      </c>
      <c r="I900" s="4" t="inlineStr">
        <is>
          <t>18:25:00</t>
        </is>
      </c>
      <c r="J900" s="4" t="n">
        <v>320</v>
      </c>
      <c r="K900">
        <f>TEXT(TIMEVALUE(H900)-TIMEVALUE(I899)+(TIMEVALUE(H900)&lt;TIMEVALUE(I899)),"[h]:mm")</f>
        <v/>
      </c>
      <c r="L900" s="4" t="inlineStr">
        <is>
          <t>01:05:00</t>
        </is>
      </c>
      <c r="O900">
        <f>"LIM-"&amp;G899&amp;"-LIM   LA "&amp;E899&amp;" ("&amp;LEFT(H899,5)&amp;"-"&amp;LEFT(I899,5)&amp;" hrs)  /  LA "&amp;E900&amp;" ("&amp;LEFT(H900,5)&amp;"-"&amp;LEFT(I900,5)&amp;" hrs)"</f>
        <v/>
      </c>
    </row>
    <row r="901">
      <c r="J901" s="8" t="inlineStr">
        <is>
          <t>PSV total:</t>
        </is>
      </c>
      <c r="K901" s="9">
        <f>TEXT(TIMEVALUE(I900)-TIMEVALUE(H899)+(I900&lt;H899),"[h]:mm")</f>
        <v/>
      </c>
    </row>
    <row r="903">
      <c r="B903" s="3" t="inlineStr">
        <is>
          <t>Pairing ID</t>
        </is>
      </c>
      <c r="C903" s="3" t="inlineStr">
        <is>
          <t>FECHA REAL</t>
        </is>
      </c>
      <c r="D903" s="3" t="inlineStr">
        <is>
          <t>Day of Week</t>
        </is>
      </c>
      <c r="E903" s="3" t="inlineStr">
        <is>
          <t>Flight No</t>
        </is>
      </c>
      <c r="F903" s="3" t="inlineStr">
        <is>
          <t>Dep Stn</t>
        </is>
      </c>
      <c r="G903" s="3" t="inlineStr">
        <is>
          <t>Arr Stn</t>
        </is>
      </c>
      <c r="H903" s="3" t="inlineStr">
        <is>
          <t>STD</t>
        </is>
      </c>
      <c r="I903" s="3" t="inlineStr">
        <is>
          <t>STA</t>
        </is>
      </c>
      <c r="J903" s="3" t="inlineStr">
        <is>
          <t>subflota</t>
        </is>
      </c>
      <c r="K903" s="3" t="inlineStr">
        <is>
          <t>Conexion</t>
        </is>
      </c>
      <c r="L903" s="3" t="inlineStr">
        <is>
          <t>HBT</t>
        </is>
      </c>
    </row>
    <row r="904">
      <c r="B904" s="4" t="n">
        <v>918</v>
      </c>
      <c r="C904" s="4" t="inlineStr">
        <is>
          <t>10/09/2026</t>
        </is>
      </c>
      <c r="D904" s="4" t="inlineStr">
        <is>
          <t>jueves</t>
        </is>
      </c>
      <c r="E904" s="4" t="n">
        <v>2360</v>
      </c>
      <c r="F904" s="4" t="inlineStr">
        <is>
          <t>LIM</t>
        </is>
      </c>
      <c r="G904" s="4" t="inlineStr">
        <is>
          <t>PCL</t>
        </is>
      </c>
      <c r="H904" s="4" t="inlineStr">
        <is>
          <t>15:25:00</t>
        </is>
      </c>
      <c r="I904" s="4" t="inlineStr">
        <is>
          <t>16:40:00</t>
        </is>
      </c>
      <c r="J904" s="4" t="n">
        <v>319</v>
      </c>
      <c r="L904" s="4" t="inlineStr">
        <is>
          <t>01:15:00</t>
        </is>
      </c>
      <c r="M904" s="5" t="n"/>
      <c r="N904" s="6" t="n"/>
      <c r="O904" s="5" t="n"/>
      <c r="Q904" s="4">
        <f>B904</f>
        <v/>
      </c>
      <c r="R904" s="4">
        <f>C904</f>
        <v/>
      </c>
      <c r="S904" s="4">
        <f>D904</f>
        <v/>
      </c>
      <c r="T904" s="4">
        <f>E904&amp;"/"&amp;E905</f>
        <v/>
      </c>
      <c r="U904" s="4">
        <f>F904&amp;"-"&amp;G904&amp;"-"&amp;F904</f>
        <v/>
      </c>
      <c r="V904" s="4">
        <f>IF($M$904="","",$M$904)</f>
        <v/>
      </c>
      <c r="W904" s="4">
        <f>IF($O$904="","",$O$904)</f>
        <v/>
      </c>
      <c r="X904" s="4">
        <f>J904</f>
        <v/>
      </c>
    </row>
    <row r="905">
      <c r="B905" s="4" t="n">
        <v>918</v>
      </c>
      <c r="C905" s="4" t="inlineStr">
        <is>
          <t>10/09/2026</t>
        </is>
      </c>
      <c r="D905" s="4" t="inlineStr">
        <is>
          <t>jueves</t>
        </is>
      </c>
      <c r="E905" s="4" t="n">
        <v>2361</v>
      </c>
      <c r="F905" s="4" t="inlineStr">
        <is>
          <t>PCL</t>
        </is>
      </c>
      <c r="G905" s="4" t="inlineStr">
        <is>
          <t>LIM</t>
        </is>
      </c>
      <c r="H905" s="4" t="inlineStr">
        <is>
          <t>17:20:00</t>
        </is>
      </c>
      <c r="I905" s="4" t="inlineStr">
        <is>
          <t>18:35:00</t>
        </is>
      </c>
      <c r="J905" s="4" t="n">
        <v>319</v>
      </c>
      <c r="K905">
        <f>TEXT(TIMEVALUE(H905)-TIMEVALUE(I904)+(TIMEVALUE(H905)&lt;TIMEVALUE(I904)),"[h]:mm")</f>
        <v/>
      </c>
      <c r="L905" s="4" t="inlineStr">
        <is>
          <t>01:15:00</t>
        </is>
      </c>
      <c r="O905">
        <f>"LIM-"&amp;G904&amp;"-LIM   LA "&amp;E904&amp;" ("&amp;LEFT(H904,5)&amp;"-"&amp;LEFT(I904,5)&amp;" hrs)  /  LA "&amp;E905&amp;" ("&amp;LEFT(H905,5)&amp;"-"&amp;LEFT(I905,5)&amp;" hrs)"</f>
        <v/>
      </c>
    </row>
    <row r="906">
      <c r="J906" s="8" t="inlineStr">
        <is>
          <t>PSV total:</t>
        </is>
      </c>
      <c r="K906" s="9">
        <f>TEXT(TIMEVALUE(I905)-TIMEVALUE(H904)+(I905&lt;H904),"[h]:mm")</f>
        <v/>
      </c>
    </row>
    <row r="908">
      <c r="B908" s="3" t="inlineStr">
        <is>
          <t>Pairing ID</t>
        </is>
      </c>
      <c r="C908" s="3" t="inlineStr">
        <is>
          <t>FECHA REAL</t>
        </is>
      </c>
      <c r="D908" s="3" t="inlineStr">
        <is>
          <t>Day of Week</t>
        </is>
      </c>
      <c r="E908" s="3" t="inlineStr">
        <is>
          <t>Flight No</t>
        </is>
      </c>
      <c r="F908" s="3" t="inlineStr">
        <is>
          <t>Dep Stn</t>
        </is>
      </c>
      <c r="G908" s="3" t="inlineStr">
        <is>
          <t>Arr Stn</t>
        </is>
      </c>
      <c r="H908" s="3" t="inlineStr">
        <is>
          <t>STD</t>
        </is>
      </c>
      <c r="I908" s="3" t="inlineStr">
        <is>
          <t>STA</t>
        </is>
      </c>
      <c r="J908" s="3" t="inlineStr">
        <is>
          <t>subflota</t>
        </is>
      </c>
      <c r="K908" s="3" t="inlineStr">
        <is>
          <t>Conexion</t>
        </is>
      </c>
      <c r="L908" s="3" t="inlineStr">
        <is>
          <t>HBT</t>
        </is>
      </c>
    </row>
    <row r="909">
      <c r="B909" s="4" t="n">
        <v>919</v>
      </c>
      <c r="C909" s="4" t="inlineStr">
        <is>
          <t>10/09/2026</t>
        </is>
      </c>
      <c r="D909" s="4" t="inlineStr">
        <is>
          <t>jueves</t>
        </is>
      </c>
      <c r="E909" s="4" t="n">
        <v>2312</v>
      </c>
      <c r="F909" s="4" t="inlineStr">
        <is>
          <t>LIM</t>
        </is>
      </c>
      <c r="G909" s="4" t="inlineStr">
        <is>
          <t>CIX</t>
        </is>
      </c>
      <c r="H909" s="4" t="inlineStr">
        <is>
          <t>15:35:00</t>
        </is>
      </c>
      <c r="I909" s="4" t="inlineStr">
        <is>
          <t>17:05:00</t>
        </is>
      </c>
      <c r="J909" s="4" t="n">
        <v>320</v>
      </c>
      <c r="L909" s="4" t="inlineStr">
        <is>
          <t>01:30:00</t>
        </is>
      </c>
      <c r="M909" s="5" t="n"/>
      <c r="N909" s="6" t="n"/>
      <c r="O909" s="5" t="n"/>
      <c r="Q909" s="4">
        <f>B909</f>
        <v/>
      </c>
      <c r="R909" s="4">
        <f>C909</f>
        <v/>
      </c>
      <c r="S909" s="4">
        <f>D909</f>
        <v/>
      </c>
      <c r="T909" s="4">
        <f>E909&amp;"/"&amp;E910</f>
        <v/>
      </c>
      <c r="U909" s="4">
        <f>F909&amp;"-"&amp;G909&amp;"-"&amp;F909</f>
        <v/>
      </c>
      <c r="V909" s="4">
        <f>IF($M$909="","",$M$909)</f>
        <v/>
      </c>
      <c r="W909" s="4">
        <f>IF($O$909="","",$O$909)</f>
        <v/>
      </c>
      <c r="X909" s="4">
        <f>J909</f>
        <v/>
      </c>
    </row>
    <row r="910">
      <c r="B910" s="4" t="n">
        <v>919</v>
      </c>
      <c r="C910" s="4" t="inlineStr">
        <is>
          <t>10/09/2026</t>
        </is>
      </c>
      <c r="D910" s="4" t="inlineStr">
        <is>
          <t>jueves</t>
        </is>
      </c>
      <c r="E910" s="4" t="n">
        <v>2313</v>
      </c>
      <c r="F910" s="4" t="inlineStr">
        <is>
          <t>CIX</t>
        </is>
      </c>
      <c r="G910" s="4" t="inlineStr">
        <is>
          <t>LIM</t>
        </is>
      </c>
      <c r="H910" s="4" t="inlineStr">
        <is>
          <t>17:50:00</t>
        </is>
      </c>
      <c r="I910" s="4" t="inlineStr">
        <is>
          <t>19:10:00</t>
        </is>
      </c>
      <c r="J910" s="4" t="n">
        <v>320</v>
      </c>
      <c r="K910">
        <f>TEXT(TIMEVALUE(H910)-TIMEVALUE(I909)+(TIMEVALUE(H910)&lt;TIMEVALUE(I909)),"[h]:mm")</f>
        <v/>
      </c>
      <c r="L910" s="4" t="inlineStr">
        <is>
          <t>01:20:00</t>
        </is>
      </c>
      <c r="O910">
        <f>"LIM-"&amp;G909&amp;"-LIM   LA "&amp;E909&amp;" ("&amp;LEFT(H909,5)&amp;"-"&amp;LEFT(I909,5)&amp;" hrs)  /  LA "&amp;E910&amp;" ("&amp;LEFT(H910,5)&amp;"-"&amp;LEFT(I910,5)&amp;" hrs)"</f>
        <v/>
      </c>
    </row>
    <row r="911">
      <c r="J911" s="8" t="inlineStr">
        <is>
          <t>PSV total:</t>
        </is>
      </c>
      <c r="K911" s="9">
        <f>TEXT(TIMEVALUE(I910)-TIMEVALUE(H909)+(I910&lt;H909),"[h]:mm")</f>
        <v/>
      </c>
    </row>
    <row r="913">
      <c r="B913" s="3" t="inlineStr">
        <is>
          <t>Pairing ID</t>
        </is>
      </c>
      <c r="C913" s="3" t="inlineStr">
        <is>
          <t>FECHA REAL</t>
        </is>
      </c>
      <c r="D913" s="3" t="inlineStr">
        <is>
          <t>Day of Week</t>
        </is>
      </c>
      <c r="E913" s="3" t="inlineStr">
        <is>
          <t>Flight No</t>
        </is>
      </c>
      <c r="F913" s="3" t="inlineStr">
        <is>
          <t>Dep Stn</t>
        </is>
      </c>
      <c r="G913" s="3" t="inlineStr">
        <is>
          <t>Arr Stn</t>
        </is>
      </c>
      <c r="H913" s="3" t="inlineStr">
        <is>
          <t>STD</t>
        </is>
      </c>
      <c r="I913" s="3" t="inlineStr">
        <is>
          <t>STA</t>
        </is>
      </c>
      <c r="J913" s="3" t="inlineStr">
        <is>
          <t>subflota</t>
        </is>
      </c>
      <c r="K913" s="3" t="inlineStr">
        <is>
          <t>Conexion</t>
        </is>
      </c>
      <c r="L913" s="3" t="inlineStr">
        <is>
          <t>HBT</t>
        </is>
      </c>
    </row>
    <row r="914">
      <c r="B914" s="4" t="n">
        <v>920</v>
      </c>
      <c r="C914" s="4" t="inlineStr">
        <is>
          <t>10/09/2026</t>
        </is>
      </c>
      <c r="D914" s="4" t="inlineStr">
        <is>
          <t>jueves</t>
        </is>
      </c>
      <c r="E914" s="4" t="n">
        <v>2301</v>
      </c>
      <c r="F914" s="4" t="inlineStr">
        <is>
          <t>LIM</t>
        </is>
      </c>
      <c r="G914" s="4" t="inlineStr">
        <is>
          <t>TPP</t>
        </is>
      </c>
      <c r="H914" s="4" t="inlineStr">
        <is>
          <t>15:40:00</t>
        </is>
      </c>
      <c r="I914" s="4" t="inlineStr">
        <is>
          <t>17:05:00</t>
        </is>
      </c>
      <c r="J914" s="4" t="n">
        <v>320</v>
      </c>
      <c r="L914" s="4" t="inlineStr">
        <is>
          <t>01:25:00</t>
        </is>
      </c>
      <c r="M914" s="5" t="n"/>
      <c r="N914" s="6" t="n"/>
      <c r="O914" s="5" t="n"/>
      <c r="Q914" s="4">
        <f>B914</f>
        <v/>
      </c>
      <c r="R914" s="4">
        <f>C914</f>
        <v/>
      </c>
      <c r="S914" s="4">
        <f>D914</f>
        <v/>
      </c>
      <c r="T914" s="4">
        <f>E914&amp;"/"&amp;E915</f>
        <v/>
      </c>
      <c r="U914" s="4">
        <f>F914&amp;"-"&amp;G914&amp;"-"&amp;F914</f>
        <v/>
      </c>
      <c r="V914" s="4">
        <f>IF($M$914="","",$M$914)</f>
        <v/>
      </c>
      <c r="W914" s="4">
        <f>IF($O$914="","",$O$914)</f>
        <v/>
      </c>
      <c r="X914" s="4">
        <f>J914</f>
        <v/>
      </c>
    </row>
    <row r="915">
      <c r="B915" s="4" t="n">
        <v>920</v>
      </c>
      <c r="C915" s="4" t="inlineStr">
        <is>
          <t>10/09/2026</t>
        </is>
      </c>
      <c r="D915" s="4" t="inlineStr">
        <is>
          <t>jueves</t>
        </is>
      </c>
      <c r="E915" s="4" t="n">
        <v>2300</v>
      </c>
      <c r="F915" s="4" t="inlineStr">
        <is>
          <t>TPP</t>
        </is>
      </c>
      <c r="G915" s="4" t="inlineStr">
        <is>
          <t>LIM</t>
        </is>
      </c>
      <c r="H915" s="4" t="inlineStr">
        <is>
          <t>17:50:00</t>
        </is>
      </c>
      <c r="I915" s="4" t="inlineStr">
        <is>
          <t>19:20:00</t>
        </is>
      </c>
      <c r="J915" s="4" t="n">
        <v>320</v>
      </c>
      <c r="K915">
        <f>TEXT(TIMEVALUE(H915)-TIMEVALUE(I914)+(TIMEVALUE(H915)&lt;TIMEVALUE(I914)),"[h]:mm")</f>
        <v/>
      </c>
      <c r="L915" s="4" t="inlineStr">
        <is>
          <t>01:30:00</t>
        </is>
      </c>
      <c r="O915">
        <f>"LIM-"&amp;G914&amp;"-LIM   LA "&amp;E914&amp;" ("&amp;LEFT(H914,5)&amp;"-"&amp;LEFT(I914,5)&amp;" hrs)  /  LA "&amp;E915&amp;" ("&amp;LEFT(H915,5)&amp;"-"&amp;LEFT(I915,5)&amp;" hrs)"</f>
        <v/>
      </c>
    </row>
    <row r="916">
      <c r="J916" s="8" t="inlineStr">
        <is>
          <t>PSV total:</t>
        </is>
      </c>
      <c r="K916" s="9">
        <f>TEXT(TIMEVALUE(I915)-TIMEVALUE(H914)+(I915&lt;H914),"[h]:mm")</f>
        <v/>
      </c>
    </row>
    <row r="918">
      <c r="B918" s="3" t="inlineStr">
        <is>
          <t>Pairing ID</t>
        </is>
      </c>
      <c r="C918" s="3" t="inlineStr">
        <is>
          <t>FECHA REAL</t>
        </is>
      </c>
      <c r="D918" s="3" t="inlineStr">
        <is>
          <t>Day of Week</t>
        </is>
      </c>
      <c r="E918" s="3" t="inlineStr">
        <is>
          <t>Flight No</t>
        </is>
      </c>
      <c r="F918" s="3" t="inlineStr">
        <is>
          <t>Dep Stn</t>
        </is>
      </c>
      <c r="G918" s="3" t="inlineStr">
        <is>
          <t>Arr Stn</t>
        </is>
      </c>
      <c r="H918" s="3" t="inlineStr">
        <is>
          <t>STD</t>
        </is>
      </c>
      <c r="I918" s="3" t="inlineStr">
        <is>
          <t>STA</t>
        </is>
      </c>
      <c r="J918" s="3" t="inlineStr">
        <is>
          <t>subflota</t>
        </is>
      </c>
      <c r="K918" s="3" t="inlineStr">
        <is>
          <t>Conexion</t>
        </is>
      </c>
      <c r="L918" s="3" t="inlineStr">
        <is>
          <t>HBT</t>
        </is>
      </c>
    </row>
    <row r="919">
      <c r="B919" s="4" t="n">
        <v>966</v>
      </c>
      <c r="C919" s="4" t="inlineStr">
        <is>
          <t>11/09/2026</t>
        </is>
      </c>
      <c r="D919" s="4" t="inlineStr">
        <is>
          <t>viernes</t>
        </is>
      </c>
      <c r="E919" s="4" t="n">
        <v>2013</v>
      </c>
      <c r="F919" s="4" t="inlineStr">
        <is>
          <t>LIM</t>
        </is>
      </c>
      <c r="G919" s="4" t="inlineStr">
        <is>
          <t>CUZ</t>
        </is>
      </c>
      <c r="H919" s="4" t="inlineStr">
        <is>
          <t>08:35:00</t>
        </is>
      </c>
      <c r="I919" s="4" t="inlineStr">
        <is>
          <t>09:55:00</t>
        </is>
      </c>
      <c r="J919" s="4" t="n">
        <v>319</v>
      </c>
      <c r="L919" s="4" t="inlineStr">
        <is>
          <t>01:20:00</t>
        </is>
      </c>
      <c r="M919" s="5" t="n"/>
      <c r="N919" s="6" t="n"/>
      <c r="O919" s="5" t="n"/>
      <c r="Q919" s="4">
        <f>B919</f>
        <v/>
      </c>
      <c r="R919" s="4">
        <f>C919</f>
        <v/>
      </c>
      <c r="S919" s="4">
        <f>D919</f>
        <v/>
      </c>
      <c r="T919" s="4">
        <f>E919&amp;"/"&amp;E920</f>
        <v/>
      </c>
      <c r="U919" s="4">
        <f>F919&amp;"-"&amp;G919&amp;"-"&amp;F919</f>
        <v/>
      </c>
      <c r="V919" s="4">
        <f>IF($M$919="","",$M$919)</f>
        <v/>
      </c>
      <c r="W919" s="4">
        <f>IF($O$919="","",$O$919)</f>
        <v/>
      </c>
      <c r="X919" s="4">
        <f>J919</f>
        <v/>
      </c>
    </row>
    <row r="920">
      <c r="B920" s="4" t="n">
        <v>966</v>
      </c>
      <c r="C920" s="4" t="inlineStr">
        <is>
          <t>11/09/2026</t>
        </is>
      </c>
      <c r="D920" s="4" t="inlineStr">
        <is>
          <t>viernes</t>
        </is>
      </c>
      <c r="E920" s="4" t="n">
        <v>2014</v>
      </c>
      <c r="F920" s="4" t="inlineStr">
        <is>
          <t>CUZ</t>
        </is>
      </c>
      <c r="G920" s="4" t="inlineStr">
        <is>
          <t>LIM</t>
        </is>
      </c>
      <c r="H920" s="4" t="inlineStr">
        <is>
          <t>10:40:00</t>
        </is>
      </c>
      <c r="I920" s="4" t="inlineStr">
        <is>
          <t>12:15:00</t>
        </is>
      </c>
      <c r="J920" s="4" t="n">
        <v>319</v>
      </c>
      <c r="K920">
        <f>TEXT(TIMEVALUE(H920)-TIMEVALUE(I919)+(TIMEVALUE(H920)&lt;TIMEVALUE(I919)),"[h]:mm")</f>
        <v/>
      </c>
      <c r="L920" s="4" t="inlineStr">
        <is>
          <t>01:35:00</t>
        </is>
      </c>
      <c r="O920">
        <f>"LIM-"&amp;G919&amp;"-LIM   LA "&amp;E919&amp;" ("&amp;LEFT(H919,5)&amp;"-"&amp;LEFT(I919,5)&amp;" hrs)  /  LA "&amp;E920&amp;" ("&amp;LEFT(H920,5)&amp;"-"&amp;LEFT(I920,5)&amp;" hrs)"</f>
        <v/>
      </c>
    </row>
    <row r="921">
      <c r="J921" s="8" t="inlineStr">
        <is>
          <t>PSV total:</t>
        </is>
      </c>
      <c r="K921" s="9">
        <f>TEXT(TIMEVALUE(I920)-TIMEVALUE(H919)+(I920&lt;H919),"[h]:mm")</f>
        <v/>
      </c>
    </row>
    <row r="923">
      <c r="B923" s="3" t="inlineStr">
        <is>
          <t>Pairing ID</t>
        </is>
      </c>
      <c r="C923" s="3" t="inlineStr">
        <is>
          <t>FECHA REAL</t>
        </is>
      </c>
      <c r="D923" s="3" t="inlineStr">
        <is>
          <t>Day of Week</t>
        </is>
      </c>
      <c r="E923" s="3" t="inlineStr">
        <is>
          <t>Flight No</t>
        </is>
      </c>
      <c r="F923" s="3" t="inlineStr">
        <is>
          <t>Dep Stn</t>
        </is>
      </c>
      <c r="G923" s="3" t="inlineStr">
        <is>
          <t>Arr Stn</t>
        </is>
      </c>
      <c r="H923" s="3" t="inlineStr">
        <is>
          <t>STD</t>
        </is>
      </c>
      <c r="I923" s="3" t="inlineStr">
        <is>
          <t>STA</t>
        </is>
      </c>
      <c r="J923" s="3" t="inlineStr">
        <is>
          <t>subflota</t>
        </is>
      </c>
      <c r="K923" s="3" t="inlineStr">
        <is>
          <t>Conexion</t>
        </is>
      </c>
      <c r="L923" s="3" t="inlineStr">
        <is>
          <t>HBT</t>
        </is>
      </c>
    </row>
    <row r="924">
      <c r="B924" s="4" t="n">
        <v>974</v>
      </c>
      <c r="C924" s="4" t="inlineStr">
        <is>
          <t>11/09/2026</t>
        </is>
      </c>
      <c r="D924" s="4" t="inlineStr">
        <is>
          <t>viernes</t>
        </is>
      </c>
      <c r="E924" s="4" t="n">
        <v>2109</v>
      </c>
      <c r="F924" s="4" t="inlineStr">
        <is>
          <t>LIM</t>
        </is>
      </c>
      <c r="G924" s="4" t="inlineStr">
        <is>
          <t>AQP</t>
        </is>
      </c>
      <c r="H924" s="4" t="inlineStr">
        <is>
          <t>10:35:00</t>
        </is>
      </c>
      <c r="I924" s="4" t="inlineStr">
        <is>
          <t>12:05:00</t>
        </is>
      </c>
      <c r="J924" s="4" t="n">
        <v>320</v>
      </c>
      <c r="L924" s="4" t="inlineStr">
        <is>
          <t>01:30:00</t>
        </is>
      </c>
      <c r="M924" s="5" t="n"/>
      <c r="N924" s="6" t="n"/>
      <c r="O924" s="5" t="n"/>
      <c r="Q924" s="4">
        <f>B924</f>
        <v/>
      </c>
      <c r="R924" s="4">
        <f>C924</f>
        <v/>
      </c>
      <c r="S924" s="4">
        <f>D924</f>
        <v/>
      </c>
      <c r="T924" s="4">
        <f>E924&amp;"/"&amp;E925</f>
        <v/>
      </c>
      <c r="U924" s="4">
        <f>F924&amp;"-"&amp;G924&amp;"-"&amp;F924</f>
        <v/>
      </c>
      <c r="V924" s="4">
        <f>IF($M$924="","",$M$924)</f>
        <v/>
      </c>
      <c r="W924" s="4">
        <f>IF($O$924="","",$O$924)</f>
        <v/>
      </c>
      <c r="X924" s="4">
        <f>J924</f>
        <v/>
      </c>
    </row>
    <row r="925">
      <c r="B925" s="4" t="n">
        <v>974</v>
      </c>
      <c r="C925" s="4" t="inlineStr">
        <is>
          <t>11/09/2026</t>
        </is>
      </c>
      <c r="D925" s="4" t="inlineStr">
        <is>
          <t>viernes</t>
        </is>
      </c>
      <c r="E925" s="4" t="n">
        <v>2108</v>
      </c>
      <c r="F925" s="4" t="inlineStr">
        <is>
          <t>AQP</t>
        </is>
      </c>
      <c r="G925" s="4" t="inlineStr">
        <is>
          <t>LIM</t>
        </is>
      </c>
      <c r="H925" s="4" t="inlineStr">
        <is>
          <t>12:45:00</t>
        </is>
      </c>
      <c r="I925" s="4" t="inlineStr">
        <is>
          <t>14:20:00</t>
        </is>
      </c>
      <c r="J925" s="4" t="n">
        <v>320</v>
      </c>
      <c r="K925">
        <f>TEXT(TIMEVALUE(H925)-TIMEVALUE(I924)+(TIMEVALUE(H925)&lt;TIMEVALUE(I924)),"[h]:mm")</f>
        <v/>
      </c>
      <c r="L925" s="4" t="inlineStr">
        <is>
          <t>01:35:00</t>
        </is>
      </c>
      <c r="O925">
        <f>"LIM-"&amp;G924&amp;"-LIM   LA "&amp;E924&amp;" ("&amp;LEFT(H924,5)&amp;"-"&amp;LEFT(I924,5)&amp;" hrs)  /  LA "&amp;E925&amp;" ("&amp;LEFT(H925,5)&amp;"-"&amp;LEFT(I925,5)&amp;" hrs)"</f>
        <v/>
      </c>
    </row>
    <row r="926">
      <c r="B926" s="4" t="n">
        <v>997</v>
      </c>
      <c r="C926" s="4" t="inlineStr">
        <is>
          <t>11/09/2026</t>
        </is>
      </c>
      <c r="D926" s="4" t="inlineStr">
        <is>
          <t>viernes</t>
        </is>
      </c>
      <c r="E926" s="4" t="n">
        <v>2297</v>
      </c>
      <c r="F926" s="4" t="inlineStr">
        <is>
          <t>LIM</t>
        </is>
      </c>
      <c r="G926" s="4" t="inlineStr">
        <is>
          <t>CJA</t>
        </is>
      </c>
      <c r="H926" s="4" t="inlineStr">
        <is>
          <t>15:15:00</t>
        </is>
      </c>
      <c r="I926" s="4" t="inlineStr">
        <is>
          <t>16:35:00</t>
        </is>
      </c>
      <c r="J926" s="4" t="n">
        <v>320</v>
      </c>
      <c r="K926" s="7">
        <f>TEXT(TIMEVALUE(H926)-TIMEVALUE(I925)+(TIMEVALUE(H926)&lt;TIMEVALUE(I925)),"[h]:mm")</f>
        <v/>
      </c>
      <c r="L926" s="4" t="inlineStr">
        <is>
          <t>01:20:00</t>
        </is>
      </c>
      <c r="M926">
        <f>IF($M$924="","",$M$924)</f>
        <v/>
      </c>
      <c r="O926">
        <f>IF($O$924="","",$O$924)</f>
        <v/>
      </c>
      <c r="Q926" s="4">
        <f>B926</f>
        <v/>
      </c>
      <c r="R926" s="4">
        <f>C926</f>
        <v/>
      </c>
      <c r="S926" s="4">
        <f>D926</f>
        <v/>
      </c>
      <c r="T926" s="4">
        <f>E926&amp;"/"&amp;E927</f>
        <v/>
      </c>
      <c r="U926" s="4">
        <f>F926&amp;"-"&amp;G926&amp;"-"&amp;F926</f>
        <v/>
      </c>
      <c r="V926" s="4">
        <f>IF($M$924="","",$M$924)</f>
        <v/>
      </c>
      <c r="W926" s="4">
        <f>IF($O$924="","",$O$924)</f>
        <v/>
      </c>
      <c r="X926" s="4">
        <f>J926</f>
        <v/>
      </c>
    </row>
    <row r="927">
      <c r="B927" s="4" t="n">
        <v>997</v>
      </c>
      <c r="C927" s="4" t="inlineStr">
        <is>
          <t>11/09/2026</t>
        </is>
      </c>
      <c r="D927" s="4" t="inlineStr">
        <is>
          <t>viernes</t>
        </is>
      </c>
      <c r="E927" s="4" t="n">
        <v>2296</v>
      </c>
      <c r="F927" s="4" t="inlineStr">
        <is>
          <t>CJA</t>
        </is>
      </c>
      <c r="G927" s="4" t="inlineStr">
        <is>
          <t>LIM</t>
        </is>
      </c>
      <c r="H927" s="4" t="inlineStr">
        <is>
          <t>17:20:00</t>
        </is>
      </c>
      <c r="I927" s="4" t="inlineStr">
        <is>
          <t>18:25:00</t>
        </is>
      </c>
      <c r="J927" s="4" t="n">
        <v>320</v>
      </c>
      <c r="K927">
        <f>TEXT(TIMEVALUE(H927)-TIMEVALUE(I926)+(TIMEVALUE(H927)&lt;TIMEVALUE(I926)),"[h]:mm")</f>
        <v/>
      </c>
      <c r="L927" s="4" t="inlineStr">
        <is>
          <t>01:05:00</t>
        </is>
      </c>
      <c r="O927">
        <f>"LIM-"&amp;G926&amp;"-LIM   LA "&amp;E926&amp;" ("&amp;LEFT(H926,5)&amp;"-"&amp;LEFT(I926,5)&amp;" hrs)  /  LA "&amp;E927&amp;" ("&amp;LEFT(H927,5)&amp;"-"&amp;LEFT(I927,5)&amp;" hrs)"</f>
        <v/>
      </c>
    </row>
    <row r="928">
      <c r="J928" s="8" t="inlineStr">
        <is>
          <t>PSV total:</t>
        </is>
      </c>
      <c r="K928" s="9">
        <f>TEXT(TIMEVALUE(I927)-TIMEVALUE(H924)+(I927&lt;H924),"[h]:mm")</f>
        <v/>
      </c>
    </row>
    <row r="930">
      <c r="B930" s="3" t="inlineStr">
        <is>
          <t>Pairing ID</t>
        </is>
      </c>
      <c r="C930" s="3" t="inlineStr">
        <is>
          <t>FECHA REAL</t>
        </is>
      </c>
      <c r="D930" s="3" t="inlineStr">
        <is>
          <t>Day of Week</t>
        </is>
      </c>
      <c r="E930" s="3" t="inlineStr">
        <is>
          <t>Flight No</t>
        </is>
      </c>
      <c r="F930" s="3" t="inlineStr">
        <is>
          <t>Dep Stn</t>
        </is>
      </c>
      <c r="G930" s="3" t="inlineStr">
        <is>
          <t>Arr Stn</t>
        </is>
      </c>
      <c r="H930" s="3" t="inlineStr">
        <is>
          <t>STD</t>
        </is>
      </c>
      <c r="I930" s="3" t="inlineStr">
        <is>
          <t>STA</t>
        </is>
      </c>
      <c r="J930" s="3" t="inlineStr">
        <is>
          <t>subflota</t>
        </is>
      </c>
      <c r="K930" s="3" t="inlineStr">
        <is>
          <t>Conexion</t>
        </is>
      </c>
      <c r="L930" s="3" t="inlineStr">
        <is>
          <t>HBT</t>
        </is>
      </c>
    </row>
    <row r="931">
      <c r="B931" s="4" t="n">
        <v>976</v>
      </c>
      <c r="C931" s="4" t="inlineStr">
        <is>
          <t>11/09/2026</t>
        </is>
      </c>
      <c r="D931" s="4" t="inlineStr">
        <is>
          <t>viernes</t>
        </is>
      </c>
      <c r="E931" s="4" t="n">
        <v>2111</v>
      </c>
      <c r="F931" s="4" t="inlineStr">
        <is>
          <t>LIM</t>
        </is>
      </c>
      <c r="G931" s="4" t="inlineStr">
        <is>
          <t>AQP</t>
        </is>
      </c>
      <c r="H931" s="4" t="inlineStr">
        <is>
          <t>11:40:00</t>
        </is>
      </c>
      <c r="I931" s="4" t="inlineStr">
        <is>
          <t>13:10:00</t>
        </is>
      </c>
      <c r="J931" s="4" t="n">
        <v>320</v>
      </c>
      <c r="L931" s="4" t="inlineStr">
        <is>
          <t>01:30:00</t>
        </is>
      </c>
      <c r="M931" s="5" t="n"/>
      <c r="N931" s="6" t="n"/>
      <c r="O931" s="5" t="n"/>
      <c r="Q931" s="4">
        <f>B931</f>
        <v/>
      </c>
      <c r="R931" s="4">
        <f>C931</f>
        <v/>
      </c>
      <c r="S931" s="4">
        <f>D931</f>
        <v/>
      </c>
      <c r="T931" s="4">
        <f>E931&amp;"/"&amp;E932</f>
        <v/>
      </c>
      <c r="U931" s="4">
        <f>F931&amp;"-"&amp;G931&amp;"-"&amp;F931</f>
        <v/>
      </c>
      <c r="V931" s="4">
        <f>IF($M$931="","",$M$931)</f>
        <v/>
      </c>
      <c r="W931" s="4">
        <f>IF($O$931="","",$O$931)</f>
        <v/>
      </c>
      <c r="X931" s="4">
        <f>J931</f>
        <v/>
      </c>
    </row>
    <row r="932">
      <c r="B932" s="4" t="n">
        <v>976</v>
      </c>
      <c r="C932" s="4" t="inlineStr">
        <is>
          <t>11/09/2026</t>
        </is>
      </c>
      <c r="D932" s="4" t="inlineStr">
        <is>
          <t>viernes</t>
        </is>
      </c>
      <c r="E932" s="4" t="n">
        <v>2110</v>
      </c>
      <c r="F932" s="4" t="inlineStr">
        <is>
          <t>AQP</t>
        </is>
      </c>
      <c r="G932" s="4" t="inlineStr">
        <is>
          <t>LIM</t>
        </is>
      </c>
      <c r="H932" s="4" t="inlineStr">
        <is>
          <t>17:50:00</t>
        </is>
      </c>
      <c r="I932" s="4" t="inlineStr">
        <is>
          <t>19:30:00</t>
        </is>
      </c>
      <c r="J932" s="4" t="n">
        <v>320</v>
      </c>
      <c r="K932">
        <f>TEXT(TIMEVALUE(H932)-TIMEVALUE(I931)+(TIMEVALUE(H932)&lt;TIMEVALUE(I931)),"[h]:mm")</f>
        <v/>
      </c>
      <c r="L932" s="4" t="inlineStr">
        <is>
          <t>01:40:00</t>
        </is>
      </c>
      <c r="O932">
        <f>"LIM-"&amp;G931&amp;"-LIM   LA "&amp;E931&amp;" ("&amp;LEFT(H931,5)&amp;"-"&amp;LEFT(I931,5)&amp;" hrs)  /  LA "&amp;E932&amp;" ("&amp;LEFT(H932,5)&amp;"-"&amp;LEFT(I932,5)&amp;" hrs)"</f>
        <v/>
      </c>
    </row>
    <row r="933">
      <c r="J933" s="8" t="inlineStr">
        <is>
          <t>PSV total:</t>
        </is>
      </c>
      <c r="K933" s="9">
        <f>TEXT(TIMEVALUE(I932)-TIMEVALUE(H931)+(I932&lt;H931),"[h]:mm")</f>
        <v/>
      </c>
    </row>
    <row r="935">
      <c r="B935" s="3" t="inlineStr">
        <is>
          <t>Pairing ID</t>
        </is>
      </c>
      <c r="C935" s="3" t="inlineStr">
        <is>
          <t>FECHA REAL</t>
        </is>
      </c>
      <c r="D935" s="3" t="inlineStr">
        <is>
          <t>Day of Week</t>
        </is>
      </c>
      <c r="E935" s="3" t="inlineStr">
        <is>
          <t>Flight No</t>
        </is>
      </c>
      <c r="F935" s="3" t="inlineStr">
        <is>
          <t>Dep Stn</t>
        </is>
      </c>
      <c r="G935" s="3" t="inlineStr">
        <is>
          <t>Arr Stn</t>
        </is>
      </c>
      <c r="H935" s="3" t="inlineStr">
        <is>
          <t>STD</t>
        </is>
      </c>
      <c r="I935" s="3" t="inlineStr">
        <is>
          <t>STA</t>
        </is>
      </c>
      <c r="J935" s="3" t="inlineStr">
        <is>
          <t>subflota</t>
        </is>
      </c>
      <c r="K935" s="3" t="inlineStr">
        <is>
          <t>Conexion</t>
        </is>
      </c>
      <c r="L935" s="3" t="inlineStr">
        <is>
          <t>HBT</t>
        </is>
      </c>
    </row>
    <row r="936">
      <c r="B936" s="4" t="n">
        <v>979</v>
      </c>
      <c r="C936" s="4" t="inlineStr">
        <is>
          <t>11/09/2026</t>
        </is>
      </c>
      <c r="D936" s="4" t="inlineStr">
        <is>
          <t>viernes</t>
        </is>
      </c>
      <c r="E936" s="4" t="n">
        <v>2356</v>
      </c>
      <c r="F936" s="4" t="inlineStr">
        <is>
          <t>LIM</t>
        </is>
      </c>
      <c r="G936" s="4" t="inlineStr">
        <is>
          <t>CUZ</t>
        </is>
      </c>
      <c r="H936" s="4" t="inlineStr">
        <is>
          <t>12:10:00</t>
        </is>
      </c>
      <c r="I936" s="4" t="inlineStr">
        <is>
          <t>13:35:00</t>
        </is>
      </c>
      <c r="J936" s="4" t="n">
        <v>320</v>
      </c>
      <c r="L936" s="4" t="inlineStr">
        <is>
          <t>01:25:00</t>
        </is>
      </c>
      <c r="M936" s="5" t="n"/>
      <c r="N936" s="6" t="n"/>
      <c r="O936" s="5" t="n"/>
      <c r="Q936" s="4">
        <f>B936</f>
        <v/>
      </c>
      <c r="R936" s="4">
        <f>C936</f>
        <v/>
      </c>
      <c r="S936" s="4">
        <f>D936</f>
        <v/>
      </c>
      <c r="T936" s="4">
        <f>E936&amp;"/"&amp;E937</f>
        <v/>
      </c>
      <c r="U936" s="4">
        <f>F936&amp;"-"&amp;G936&amp;"-"&amp;F936</f>
        <v/>
      </c>
      <c r="V936" s="4">
        <f>IF($M$936="","",$M$936)</f>
        <v/>
      </c>
      <c r="W936" s="4">
        <f>IF($O$936="","",$O$936)</f>
        <v/>
      </c>
      <c r="X936" s="4">
        <f>J936</f>
        <v/>
      </c>
    </row>
    <row r="937">
      <c r="B937" s="4" t="n">
        <v>979</v>
      </c>
      <c r="C937" s="4" t="inlineStr">
        <is>
          <t>11/09/2026</t>
        </is>
      </c>
      <c r="D937" s="4" t="inlineStr">
        <is>
          <t>viernes</t>
        </is>
      </c>
      <c r="E937" s="4" t="n">
        <v>2357</v>
      </c>
      <c r="F937" s="4" t="inlineStr">
        <is>
          <t>CUZ</t>
        </is>
      </c>
      <c r="G937" s="4" t="inlineStr">
        <is>
          <t>LIM</t>
        </is>
      </c>
      <c r="H937" s="4" t="inlineStr">
        <is>
          <t>14:15:00</t>
        </is>
      </c>
      <c r="I937" s="4" t="inlineStr">
        <is>
          <t>15:50:00</t>
        </is>
      </c>
      <c r="J937" s="4" t="n">
        <v>320</v>
      </c>
      <c r="K937">
        <f>TEXT(TIMEVALUE(H937)-TIMEVALUE(I936)+(TIMEVALUE(H937)&lt;TIMEVALUE(I936)),"[h]:mm")</f>
        <v/>
      </c>
      <c r="L937" s="4" t="inlineStr">
        <is>
          <t>01:35:00</t>
        </is>
      </c>
      <c r="O937">
        <f>"LIM-"&amp;G936&amp;"-LIM   LA "&amp;E936&amp;" ("&amp;LEFT(H936,5)&amp;"-"&amp;LEFT(I936,5)&amp;" hrs)  /  LA "&amp;E937&amp;" ("&amp;LEFT(H937,5)&amp;"-"&amp;LEFT(I937,5)&amp;" hrs)"</f>
        <v/>
      </c>
    </row>
    <row r="938">
      <c r="B938" s="4" t="n">
        <v>1010</v>
      </c>
      <c r="C938" s="4" t="inlineStr">
        <is>
          <t>11/09/2026</t>
        </is>
      </c>
      <c r="D938" s="4" t="inlineStr">
        <is>
          <t>viernes</t>
        </is>
      </c>
      <c r="E938" s="4" t="n">
        <v>2115</v>
      </c>
      <c r="F938" s="4" t="inlineStr">
        <is>
          <t>LIM</t>
        </is>
      </c>
      <c r="G938" s="4" t="inlineStr">
        <is>
          <t>AQP</t>
        </is>
      </c>
      <c r="H938" s="4" t="inlineStr">
        <is>
          <t>17:15:00</t>
        </is>
      </c>
      <c r="I938" s="4" t="inlineStr">
        <is>
          <t>18:45:00</t>
        </is>
      </c>
      <c r="J938" s="4" t="n">
        <v>320</v>
      </c>
      <c r="K938" s="7">
        <f>TEXT(TIMEVALUE(H938)-TIMEVALUE(I937)+(TIMEVALUE(H938)&lt;TIMEVALUE(I937)),"[h]:mm")</f>
        <v/>
      </c>
      <c r="L938" s="4" t="inlineStr">
        <is>
          <t>01:30:00</t>
        </is>
      </c>
      <c r="M938">
        <f>IF($M$936="","",$M$936)</f>
        <v/>
      </c>
      <c r="O938">
        <f>IF($O$936="","",$O$936)</f>
        <v/>
      </c>
      <c r="Q938" s="4">
        <f>B938</f>
        <v/>
      </c>
      <c r="R938" s="4">
        <f>C938</f>
        <v/>
      </c>
      <c r="S938" s="4">
        <f>D938</f>
        <v/>
      </c>
      <c r="T938" s="4">
        <f>E938&amp;"/"&amp;E939</f>
        <v/>
      </c>
      <c r="U938" s="4">
        <f>F938&amp;"-"&amp;G938&amp;"-"&amp;F938</f>
        <v/>
      </c>
      <c r="V938" s="4">
        <f>IF($M$936="","",$M$936)</f>
        <v/>
      </c>
      <c r="W938" s="4">
        <f>IF($O$936="","",$O$936)</f>
        <v/>
      </c>
      <c r="X938" s="4">
        <f>J938</f>
        <v/>
      </c>
    </row>
    <row r="939">
      <c r="B939" s="4" t="n">
        <v>1010</v>
      </c>
      <c r="C939" s="4" t="inlineStr">
        <is>
          <t>11/09/2026</t>
        </is>
      </c>
      <c r="D939" s="4" t="inlineStr">
        <is>
          <t>viernes</t>
        </is>
      </c>
      <c r="E939" s="4" t="n">
        <v>2114</v>
      </c>
      <c r="F939" s="4" t="inlineStr">
        <is>
          <t>AQP</t>
        </is>
      </c>
      <c r="G939" s="4" t="inlineStr">
        <is>
          <t>LIM</t>
        </is>
      </c>
      <c r="H939" s="4" t="inlineStr">
        <is>
          <t>19:20:00</t>
        </is>
      </c>
      <c r="I939" s="4" t="inlineStr">
        <is>
          <t>20:55:00</t>
        </is>
      </c>
      <c r="J939" s="4" t="n">
        <v>320</v>
      </c>
      <c r="K939">
        <f>TEXT(TIMEVALUE(H939)-TIMEVALUE(I938)+(TIMEVALUE(H939)&lt;TIMEVALUE(I938)),"[h]:mm")</f>
        <v/>
      </c>
      <c r="L939" s="4" t="inlineStr">
        <is>
          <t>01:35:00</t>
        </is>
      </c>
      <c r="O939">
        <f>"LIM-"&amp;G938&amp;"-LIM   LA "&amp;E938&amp;" ("&amp;LEFT(H938,5)&amp;"-"&amp;LEFT(I938,5)&amp;" hrs)  /  LA "&amp;E939&amp;" ("&amp;LEFT(H939,5)&amp;"-"&amp;LEFT(I939,5)&amp;" hrs)"</f>
        <v/>
      </c>
    </row>
    <row r="940">
      <c r="J940" s="8" t="inlineStr">
        <is>
          <t>PSV total:</t>
        </is>
      </c>
      <c r="K940" s="9">
        <f>TEXT(TIMEVALUE(I939)-TIMEVALUE(H936)+(I939&lt;H936),"[h]:mm")</f>
        <v/>
      </c>
    </row>
    <row r="942">
      <c r="B942" s="3" t="inlineStr">
        <is>
          <t>Pairing ID</t>
        </is>
      </c>
      <c r="C942" s="3" t="inlineStr">
        <is>
          <t>FECHA REAL</t>
        </is>
      </c>
      <c r="D942" s="3" t="inlineStr">
        <is>
          <t>Day of Week</t>
        </is>
      </c>
      <c r="E942" s="3" t="inlineStr">
        <is>
          <t>Flight No</t>
        </is>
      </c>
      <c r="F942" s="3" t="inlineStr">
        <is>
          <t>Dep Stn</t>
        </is>
      </c>
      <c r="G942" s="3" t="inlineStr">
        <is>
          <t>Arr Stn</t>
        </is>
      </c>
      <c r="H942" s="3" t="inlineStr">
        <is>
          <t>STD</t>
        </is>
      </c>
      <c r="I942" s="3" t="inlineStr">
        <is>
          <t>STA</t>
        </is>
      </c>
      <c r="J942" s="3" t="inlineStr">
        <is>
          <t>subflota</t>
        </is>
      </c>
      <c r="K942" s="3" t="inlineStr">
        <is>
          <t>Conexion</t>
        </is>
      </c>
      <c r="L942" s="3" t="inlineStr">
        <is>
          <t>HBT</t>
        </is>
      </c>
    </row>
    <row r="943">
      <c r="B943" s="4" t="n">
        <v>980</v>
      </c>
      <c r="C943" s="4" t="inlineStr">
        <is>
          <t>11/09/2026</t>
        </is>
      </c>
      <c r="D943" s="4" t="inlineStr">
        <is>
          <t>viernes</t>
        </is>
      </c>
      <c r="E943" s="4" t="n">
        <v>2356</v>
      </c>
      <c r="F943" s="4" t="inlineStr">
        <is>
          <t>LIM</t>
        </is>
      </c>
      <c r="G943" s="4" t="inlineStr">
        <is>
          <t>CUZ</t>
        </is>
      </c>
      <c r="H943" s="4" t="inlineStr">
        <is>
          <t>12:10:00</t>
        </is>
      </c>
      <c r="I943" s="4" t="inlineStr">
        <is>
          <t>13:35:00</t>
        </is>
      </c>
      <c r="J943" s="4" t="n">
        <v>320</v>
      </c>
      <c r="L943" s="4" t="inlineStr">
        <is>
          <t>01:25:00</t>
        </is>
      </c>
      <c r="M943" s="5" t="n"/>
      <c r="N943" s="6" t="n"/>
      <c r="O943" s="5" t="n"/>
      <c r="Q943" s="4">
        <f>B943</f>
        <v/>
      </c>
      <c r="R943" s="4">
        <f>C943</f>
        <v/>
      </c>
      <c r="S943" s="4">
        <f>D943</f>
        <v/>
      </c>
      <c r="T943" s="4">
        <f>E943&amp;"/"&amp;E944</f>
        <v/>
      </c>
      <c r="U943" s="4">
        <f>F943&amp;"-"&amp;G943&amp;"-"&amp;F943</f>
        <v/>
      </c>
      <c r="V943" s="4">
        <f>IF($M$943="","",$M$943)</f>
        <v/>
      </c>
      <c r="W943" s="4">
        <f>IF($O$943="","",$O$943)</f>
        <v/>
      </c>
      <c r="X943" s="4">
        <f>J943</f>
        <v/>
      </c>
    </row>
    <row r="944">
      <c r="B944" s="4" t="n">
        <v>980</v>
      </c>
      <c r="C944" s="4" t="inlineStr">
        <is>
          <t>11/09/2026</t>
        </is>
      </c>
      <c r="D944" s="4" t="inlineStr">
        <is>
          <t>viernes</t>
        </is>
      </c>
      <c r="E944" s="4" t="n">
        <v>2357</v>
      </c>
      <c r="F944" s="4" t="inlineStr">
        <is>
          <t>CUZ</t>
        </is>
      </c>
      <c r="G944" s="4" t="inlineStr">
        <is>
          <t>LIM</t>
        </is>
      </c>
      <c r="H944" s="4" t="inlineStr">
        <is>
          <t>14:15:00</t>
        </is>
      </c>
      <c r="I944" s="4" t="inlineStr">
        <is>
          <t>15:50:00</t>
        </is>
      </c>
      <c r="J944" s="4" t="n">
        <v>320</v>
      </c>
      <c r="K944">
        <f>TEXT(TIMEVALUE(H944)-TIMEVALUE(I943)+(TIMEVALUE(H944)&lt;TIMEVALUE(I943)),"[h]:mm")</f>
        <v/>
      </c>
      <c r="L944" s="4" t="inlineStr">
        <is>
          <t>01:35:00</t>
        </is>
      </c>
      <c r="O944">
        <f>"LIM-"&amp;G943&amp;"-LIM   LA "&amp;E943&amp;" ("&amp;LEFT(H943,5)&amp;"-"&amp;LEFT(I943,5)&amp;" hrs)  /  LA "&amp;E944&amp;" ("&amp;LEFT(H944,5)&amp;"-"&amp;LEFT(I944,5)&amp;" hrs)"</f>
        <v/>
      </c>
    </row>
    <row r="945">
      <c r="B945" s="4" t="n">
        <v>1011</v>
      </c>
      <c r="C945" s="4" t="inlineStr">
        <is>
          <t>11/09/2026</t>
        </is>
      </c>
      <c r="D945" s="4" t="inlineStr">
        <is>
          <t>viernes</t>
        </is>
      </c>
      <c r="E945" s="4" t="n">
        <v>2115</v>
      </c>
      <c r="F945" s="4" t="inlineStr">
        <is>
          <t>LIM</t>
        </is>
      </c>
      <c r="G945" s="4" t="inlineStr">
        <is>
          <t>AQP</t>
        </is>
      </c>
      <c r="H945" s="4" t="inlineStr">
        <is>
          <t>17:15:00</t>
        </is>
      </c>
      <c r="I945" s="4" t="inlineStr">
        <is>
          <t>18:45:00</t>
        </is>
      </c>
      <c r="J945" s="4" t="n">
        <v>320</v>
      </c>
      <c r="K945" s="7">
        <f>TEXT(TIMEVALUE(H945)-TIMEVALUE(I944)+(TIMEVALUE(H945)&lt;TIMEVALUE(I944)),"[h]:mm")</f>
        <v/>
      </c>
      <c r="L945" s="4" t="inlineStr">
        <is>
          <t>01:30:00</t>
        </is>
      </c>
      <c r="M945">
        <f>IF($M$943="","",$M$943)</f>
        <v/>
      </c>
      <c r="O945">
        <f>IF($O$943="","",$O$943)</f>
        <v/>
      </c>
      <c r="Q945" s="4">
        <f>B945</f>
        <v/>
      </c>
      <c r="R945" s="4">
        <f>C945</f>
        <v/>
      </c>
      <c r="S945" s="4">
        <f>D945</f>
        <v/>
      </c>
      <c r="T945" s="4">
        <f>E945&amp;"/"&amp;E946</f>
        <v/>
      </c>
      <c r="U945" s="4">
        <f>F945&amp;"-"&amp;G945&amp;"-"&amp;F945</f>
        <v/>
      </c>
      <c r="V945" s="4">
        <f>IF($M$943="","",$M$943)</f>
        <v/>
      </c>
      <c r="W945" s="4">
        <f>IF($O$943="","",$O$943)</f>
        <v/>
      </c>
      <c r="X945" s="4">
        <f>J945</f>
        <v/>
      </c>
    </row>
    <row r="946">
      <c r="B946" s="4" t="n">
        <v>1011</v>
      </c>
      <c r="C946" s="4" t="inlineStr">
        <is>
          <t>11/09/2026</t>
        </is>
      </c>
      <c r="D946" s="4" t="inlineStr">
        <is>
          <t>viernes</t>
        </is>
      </c>
      <c r="E946" s="4" t="n">
        <v>2114</v>
      </c>
      <c r="F946" s="4" t="inlineStr">
        <is>
          <t>AQP</t>
        </is>
      </c>
      <c r="G946" s="4" t="inlineStr">
        <is>
          <t>LIM</t>
        </is>
      </c>
      <c r="H946" s="4" t="inlineStr">
        <is>
          <t>19:20:00</t>
        </is>
      </c>
      <c r="I946" s="4" t="inlineStr">
        <is>
          <t>20:55:00</t>
        </is>
      </c>
      <c r="J946" s="4" t="n">
        <v>320</v>
      </c>
      <c r="K946">
        <f>TEXT(TIMEVALUE(H946)-TIMEVALUE(I945)+(TIMEVALUE(H946)&lt;TIMEVALUE(I945)),"[h]:mm")</f>
        <v/>
      </c>
      <c r="L946" s="4" t="inlineStr">
        <is>
          <t>01:35:00</t>
        </is>
      </c>
      <c r="O946">
        <f>"LIM-"&amp;G945&amp;"-LIM   LA "&amp;E945&amp;" ("&amp;LEFT(H945,5)&amp;"-"&amp;LEFT(I945,5)&amp;" hrs)  /  LA "&amp;E946&amp;" ("&amp;LEFT(H946,5)&amp;"-"&amp;LEFT(I946,5)&amp;" hrs)"</f>
        <v/>
      </c>
    </row>
    <row r="947">
      <c r="J947" s="8" t="inlineStr">
        <is>
          <t>PSV total:</t>
        </is>
      </c>
      <c r="K947" s="9">
        <f>TEXT(TIMEVALUE(I946)-TIMEVALUE(H943)+(I946&lt;H943),"[h]:mm")</f>
        <v/>
      </c>
    </row>
    <row r="949">
      <c r="B949" s="3" t="inlineStr">
        <is>
          <t>Pairing ID</t>
        </is>
      </c>
      <c r="C949" s="3" t="inlineStr">
        <is>
          <t>FECHA REAL</t>
        </is>
      </c>
      <c r="D949" s="3" t="inlineStr">
        <is>
          <t>Day of Week</t>
        </is>
      </c>
      <c r="E949" s="3" t="inlineStr">
        <is>
          <t>Flight No</t>
        </is>
      </c>
      <c r="F949" s="3" t="inlineStr">
        <is>
          <t>Dep Stn</t>
        </is>
      </c>
      <c r="G949" s="3" t="inlineStr">
        <is>
          <t>Arr Stn</t>
        </is>
      </c>
      <c r="H949" s="3" t="inlineStr">
        <is>
          <t>STD</t>
        </is>
      </c>
      <c r="I949" s="3" t="inlineStr">
        <is>
          <t>STA</t>
        </is>
      </c>
      <c r="J949" s="3" t="inlineStr">
        <is>
          <t>subflota</t>
        </is>
      </c>
      <c r="K949" s="3" t="inlineStr">
        <is>
          <t>Conexion</t>
        </is>
      </c>
      <c r="L949" s="3" t="inlineStr">
        <is>
          <t>HBT</t>
        </is>
      </c>
    </row>
    <row r="950">
      <c r="B950" s="4" t="n">
        <v>991</v>
      </c>
      <c r="C950" s="4" t="inlineStr">
        <is>
          <t>11/09/2026</t>
        </is>
      </c>
      <c r="D950" s="4" t="inlineStr">
        <is>
          <t>viernes</t>
        </is>
      </c>
      <c r="E950" s="4" t="n">
        <v>2087</v>
      </c>
      <c r="F950" s="4" t="inlineStr">
        <is>
          <t>LIM</t>
        </is>
      </c>
      <c r="G950" s="4" t="inlineStr">
        <is>
          <t>TPP</t>
        </is>
      </c>
      <c r="H950" s="4" t="inlineStr">
        <is>
          <t>14:05:00</t>
        </is>
      </c>
      <c r="I950" s="4" t="inlineStr">
        <is>
          <t>15:30:00</t>
        </is>
      </c>
      <c r="J950" s="4" t="n">
        <v>320</v>
      </c>
      <c r="L950" s="4" t="inlineStr">
        <is>
          <t>01:25:00</t>
        </is>
      </c>
      <c r="M950" s="5" t="n"/>
      <c r="N950" s="6" t="n"/>
      <c r="O950" s="5" t="n"/>
      <c r="Q950" s="4">
        <f>B950</f>
        <v/>
      </c>
      <c r="R950" s="4">
        <f>C950</f>
        <v/>
      </c>
      <c r="S950" s="4">
        <f>D950</f>
        <v/>
      </c>
      <c r="T950" s="4">
        <f>E950&amp;"/"&amp;E951</f>
        <v/>
      </c>
      <c r="U950" s="4">
        <f>F950&amp;"-"&amp;G950&amp;"-"&amp;F950</f>
        <v/>
      </c>
      <c r="V950" s="4">
        <f>IF($M$950="","",$M$950)</f>
        <v/>
      </c>
      <c r="W950" s="4">
        <f>IF($O$950="","",$O$950)</f>
        <v/>
      </c>
      <c r="X950" s="4">
        <f>J950</f>
        <v/>
      </c>
    </row>
    <row r="951">
      <c r="B951" s="4" t="n">
        <v>991</v>
      </c>
      <c r="C951" s="4" t="inlineStr">
        <is>
          <t>11/09/2026</t>
        </is>
      </c>
      <c r="D951" s="4" t="inlineStr">
        <is>
          <t>viernes</t>
        </is>
      </c>
      <c r="E951" s="4" t="n">
        <v>2088</v>
      </c>
      <c r="F951" s="4" t="inlineStr">
        <is>
          <t>TPP</t>
        </is>
      </c>
      <c r="G951" s="4" t="inlineStr">
        <is>
          <t>LIM</t>
        </is>
      </c>
      <c r="H951" s="4" t="inlineStr">
        <is>
          <t>16:05:00</t>
        </is>
      </c>
      <c r="I951" s="4" t="inlineStr">
        <is>
          <t>17:30:00</t>
        </is>
      </c>
      <c r="J951" s="4" t="n">
        <v>320</v>
      </c>
      <c r="K951">
        <f>TEXT(TIMEVALUE(H951)-TIMEVALUE(I950)+(TIMEVALUE(H951)&lt;TIMEVALUE(I950)),"[h]:mm")</f>
        <v/>
      </c>
      <c r="L951" s="4" t="inlineStr">
        <is>
          <t>01:25:00</t>
        </is>
      </c>
      <c r="O951">
        <f>"LIM-"&amp;G950&amp;"-LIM   LA "&amp;E950&amp;" ("&amp;LEFT(H950,5)&amp;"-"&amp;LEFT(I950,5)&amp;" hrs)  /  LA "&amp;E951&amp;" ("&amp;LEFT(H951,5)&amp;"-"&amp;LEFT(I951,5)&amp;" hrs)"</f>
        <v/>
      </c>
    </row>
    <row r="952">
      <c r="B952" s="4" t="n">
        <v>1015</v>
      </c>
      <c r="C952" s="4" t="inlineStr">
        <is>
          <t>11/09/2026</t>
        </is>
      </c>
      <c r="D952" s="4" t="inlineStr">
        <is>
          <t>viernes</t>
        </is>
      </c>
      <c r="E952" s="4" t="n">
        <v>2091</v>
      </c>
      <c r="F952" s="4" t="inlineStr">
        <is>
          <t>LIM</t>
        </is>
      </c>
      <c r="G952" s="4" t="inlineStr">
        <is>
          <t>TPP</t>
        </is>
      </c>
      <c r="H952" s="4" t="inlineStr">
        <is>
          <t>18:30:00</t>
        </is>
      </c>
      <c r="I952" s="4" t="inlineStr">
        <is>
          <t>19:55:00</t>
        </is>
      </c>
      <c r="J952" s="4" t="n">
        <v>320</v>
      </c>
      <c r="K952" s="7">
        <f>TEXT(TIMEVALUE(H952)-TIMEVALUE(I951)+(TIMEVALUE(H952)&lt;TIMEVALUE(I951)),"[h]:mm")</f>
        <v/>
      </c>
      <c r="L952" s="4" t="inlineStr">
        <is>
          <t>01:25:00</t>
        </is>
      </c>
      <c r="M952">
        <f>IF($M$950="","",$M$950)</f>
        <v/>
      </c>
      <c r="O952">
        <f>IF($O$950="","",$O$950)</f>
        <v/>
      </c>
      <c r="Q952" s="4">
        <f>B952</f>
        <v/>
      </c>
      <c r="R952" s="4">
        <f>C952</f>
        <v/>
      </c>
      <c r="S952" s="4">
        <f>D952</f>
        <v/>
      </c>
      <c r="T952" s="4">
        <f>E952&amp;"/"&amp;E953</f>
        <v/>
      </c>
      <c r="U952" s="4">
        <f>F952&amp;"-"&amp;G952&amp;"-"&amp;F952</f>
        <v/>
      </c>
      <c r="V952" s="4">
        <f>IF($M$950="","",$M$950)</f>
        <v/>
      </c>
      <c r="W952" s="4">
        <f>IF($O$950="","",$O$950)</f>
        <v/>
      </c>
      <c r="X952" s="4">
        <f>J952</f>
        <v/>
      </c>
    </row>
    <row r="953">
      <c r="B953" s="4" t="n">
        <v>1015</v>
      </c>
      <c r="C953" s="4" t="inlineStr">
        <is>
          <t>11/09/2026</t>
        </is>
      </c>
      <c r="D953" s="4" t="inlineStr">
        <is>
          <t>viernes</t>
        </is>
      </c>
      <c r="E953" s="4" t="n">
        <v>2092</v>
      </c>
      <c r="F953" s="4" t="inlineStr">
        <is>
          <t>TPP</t>
        </is>
      </c>
      <c r="G953" s="4" t="inlineStr">
        <is>
          <t>LIM</t>
        </is>
      </c>
      <c r="H953" s="4" t="inlineStr">
        <is>
          <t>20:30:00</t>
        </is>
      </c>
      <c r="I953" s="4" t="inlineStr">
        <is>
          <t>21:55:00</t>
        </is>
      </c>
      <c r="J953" s="4" t="n">
        <v>320</v>
      </c>
      <c r="K953">
        <f>TEXT(TIMEVALUE(H953)-TIMEVALUE(I952)+(TIMEVALUE(H953)&lt;TIMEVALUE(I952)),"[h]:mm")</f>
        <v/>
      </c>
      <c r="L953" s="4" t="inlineStr">
        <is>
          <t>01:25:00</t>
        </is>
      </c>
      <c r="O953">
        <f>"LIM-"&amp;G952&amp;"-LIM   LA "&amp;E952&amp;" ("&amp;LEFT(H952,5)&amp;"-"&amp;LEFT(I952,5)&amp;" hrs)  /  LA "&amp;E953&amp;" ("&amp;LEFT(H953,5)&amp;"-"&amp;LEFT(I953,5)&amp;" hrs)"</f>
        <v/>
      </c>
    </row>
    <row r="954">
      <c r="J954" s="8" t="inlineStr">
        <is>
          <t>PSV total:</t>
        </is>
      </c>
      <c r="K954" s="9">
        <f>TEXT(TIMEVALUE(I953)-TIMEVALUE(H950)+(I953&lt;H950),"[h]:mm")</f>
        <v/>
      </c>
    </row>
    <row r="956">
      <c r="B956" s="3" t="inlineStr">
        <is>
          <t>Pairing ID</t>
        </is>
      </c>
      <c r="C956" s="3" t="inlineStr">
        <is>
          <t>FECHA REAL</t>
        </is>
      </c>
      <c r="D956" s="3" t="inlineStr">
        <is>
          <t>Day of Week</t>
        </is>
      </c>
      <c r="E956" s="3" t="inlineStr">
        <is>
          <t>Flight No</t>
        </is>
      </c>
      <c r="F956" s="3" t="inlineStr">
        <is>
          <t>Dep Stn</t>
        </is>
      </c>
      <c r="G956" s="3" t="inlineStr">
        <is>
          <t>Arr Stn</t>
        </is>
      </c>
      <c r="H956" s="3" t="inlineStr">
        <is>
          <t>STD</t>
        </is>
      </c>
      <c r="I956" s="3" t="inlineStr">
        <is>
          <t>STA</t>
        </is>
      </c>
      <c r="J956" s="3" t="inlineStr">
        <is>
          <t>subflota</t>
        </is>
      </c>
      <c r="K956" s="3" t="inlineStr">
        <is>
          <t>Conexion</t>
        </is>
      </c>
      <c r="L956" s="3" t="inlineStr">
        <is>
          <t>HBT</t>
        </is>
      </c>
    </row>
    <row r="957">
      <c r="B957" s="4" t="n">
        <v>992</v>
      </c>
      <c r="C957" s="4" t="inlineStr">
        <is>
          <t>11/09/2026</t>
        </is>
      </c>
      <c r="D957" s="4" t="inlineStr">
        <is>
          <t>viernes</t>
        </is>
      </c>
      <c r="E957" s="4" t="n">
        <v>2295</v>
      </c>
      <c r="F957" s="4" t="inlineStr">
        <is>
          <t>LIM</t>
        </is>
      </c>
      <c r="G957" s="4" t="inlineStr">
        <is>
          <t>CJA</t>
        </is>
      </c>
      <c r="H957" s="4" t="inlineStr">
        <is>
          <t>14:10:00</t>
        </is>
      </c>
      <c r="I957" s="4" t="inlineStr">
        <is>
          <t>15:30:00</t>
        </is>
      </c>
      <c r="J957" s="4" t="n">
        <v>320</v>
      </c>
      <c r="L957" s="4" t="inlineStr">
        <is>
          <t>01:20:00</t>
        </is>
      </c>
      <c r="M957" s="5" t="n"/>
      <c r="N957" s="6" t="n"/>
      <c r="O957" s="5" t="n"/>
      <c r="Q957" s="4">
        <f>B957</f>
        <v/>
      </c>
      <c r="R957" s="4">
        <f>C957</f>
        <v/>
      </c>
      <c r="S957" s="4">
        <f>D957</f>
        <v/>
      </c>
      <c r="T957" s="4">
        <f>E957&amp;"/"&amp;E958</f>
        <v/>
      </c>
      <c r="U957" s="4">
        <f>F957&amp;"-"&amp;G957&amp;"-"&amp;F957</f>
        <v/>
      </c>
      <c r="V957" s="4">
        <f>IF($M$957="","",$M$957)</f>
        <v/>
      </c>
      <c r="W957" s="4">
        <f>IF($O$957="","",$O$957)</f>
        <v/>
      </c>
      <c r="X957" s="4">
        <f>J957</f>
        <v/>
      </c>
    </row>
    <row r="958">
      <c r="B958" s="4" t="n">
        <v>992</v>
      </c>
      <c r="C958" s="4" t="inlineStr">
        <is>
          <t>11/09/2026</t>
        </is>
      </c>
      <c r="D958" s="4" t="inlineStr">
        <is>
          <t>viernes</t>
        </is>
      </c>
      <c r="E958" s="4" t="n">
        <v>2294</v>
      </c>
      <c r="F958" s="4" t="inlineStr">
        <is>
          <t>CJA</t>
        </is>
      </c>
      <c r="G958" s="4" t="inlineStr">
        <is>
          <t>LIM</t>
        </is>
      </c>
      <c r="H958" s="4" t="inlineStr">
        <is>
          <t>16:10:00</t>
        </is>
      </c>
      <c r="I958" s="4" t="inlineStr">
        <is>
          <t>17:15:00</t>
        </is>
      </c>
      <c r="J958" s="4" t="n">
        <v>320</v>
      </c>
      <c r="K958">
        <f>TEXT(TIMEVALUE(H958)-TIMEVALUE(I957)+(TIMEVALUE(H958)&lt;TIMEVALUE(I957)),"[h]:mm")</f>
        <v/>
      </c>
      <c r="L958" s="4" t="inlineStr">
        <is>
          <t>01:05:00</t>
        </is>
      </c>
      <c r="O958">
        <f>"LIM-"&amp;G957&amp;"-LIM   LA "&amp;E957&amp;" ("&amp;LEFT(H957,5)&amp;"-"&amp;LEFT(I957,5)&amp;" hrs)  /  LA "&amp;E958&amp;" ("&amp;LEFT(H958,5)&amp;"-"&amp;LEFT(I958,5)&amp;" hrs)"</f>
        <v/>
      </c>
    </row>
    <row r="959">
      <c r="B959" s="4" t="n">
        <v>1013</v>
      </c>
      <c r="C959" s="4" t="inlineStr">
        <is>
          <t>11/09/2026</t>
        </is>
      </c>
      <c r="D959" s="4" t="inlineStr">
        <is>
          <t>viernes</t>
        </is>
      </c>
      <c r="E959" s="4" t="n">
        <v>2039</v>
      </c>
      <c r="F959" s="4" t="inlineStr">
        <is>
          <t>LIM</t>
        </is>
      </c>
      <c r="G959" s="4" t="inlineStr">
        <is>
          <t>PCL</t>
        </is>
      </c>
      <c r="H959" s="4" t="inlineStr">
        <is>
          <t>18:15:00</t>
        </is>
      </c>
      <c r="I959" s="4" t="inlineStr">
        <is>
          <t>19:30:00</t>
        </is>
      </c>
      <c r="J959" s="4" t="n">
        <v>320</v>
      </c>
      <c r="K959" s="7">
        <f>TEXT(TIMEVALUE(H959)-TIMEVALUE(I958)+(TIMEVALUE(H959)&lt;TIMEVALUE(I958)),"[h]:mm")</f>
        <v/>
      </c>
      <c r="L959" s="4" t="inlineStr">
        <is>
          <t>01:15:00</t>
        </is>
      </c>
      <c r="M959">
        <f>IF($M$957="","",$M$957)</f>
        <v/>
      </c>
      <c r="O959">
        <f>IF($O$957="","",$O$957)</f>
        <v/>
      </c>
      <c r="Q959" s="4">
        <f>B959</f>
        <v/>
      </c>
      <c r="R959" s="4">
        <f>C959</f>
        <v/>
      </c>
      <c r="S959" s="4">
        <f>D959</f>
        <v/>
      </c>
      <c r="T959" s="4">
        <f>E959&amp;"/"&amp;E960</f>
        <v/>
      </c>
      <c r="U959" s="4">
        <f>F959&amp;"-"&amp;G959&amp;"-"&amp;F959</f>
        <v/>
      </c>
      <c r="V959" s="4">
        <f>IF($M$957="","",$M$957)</f>
        <v/>
      </c>
      <c r="W959" s="4">
        <f>IF($O$957="","",$O$957)</f>
        <v/>
      </c>
      <c r="X959" s="4">
        <f>J959</f>
        <v/>
      </c>
    </row>
    <row r="960">
      <c r="B960" s="4" t="n">
        <v>1013</v>
      </c>
      <c r="C960" s="4" t="inlineStr">
        <is>
          <t>11/09/2026</t>
        </is>
      </c>
      <c r="D960" s="4" t="inlineStr">
        <is>
          <t>viernes</t>
        </is>
      </c>
      <c r="E960" s="4" t="n">
        <v>2040</v>
      </c>
      <c r="F960" s="4" t="inlineStr">
        <is>
          <t>PCL</t>
        </is>
      </c>
      <c r="G960" s="4" t="inlineStr">
        <is>
          <t>LIM</t>
        </is>
      </c>
      <c r="H960" s="4" t="inlineStr">
        <is>
          <t>20:15:00</t>
        </is>
      </c>
      <c r="I960" s="4" t="inlineStr">
        <is>
          <t>21:30:00</t>
        </is>
      </c>
      <c r="J960" s="4" t="n">
        <v>320</v>
      </c>
      <c r="K960">
        <f>TEXT(TIMEVALUE(H960)-TIMEVALUE(I959)+(TIMEVALUE(H960)&lt;TIMEVALUE(I959)),"[h]:mm")</f>
        <v/>
      </c>
      <c r="L960" s="4" t="inlineStr">
        <is>
          <t>01:15:00</t>
        </is>
      </c>
      <c r="O960">
        <f>"LIM-"&amp;G959&amp;"-LIM   LA "&amp;E959&amp;" ("&amp;LEFT(H959,5)&amp;"-"&amp;LEFT(I959,5)&amp;" hrs)  /  LA "&amp;E960&amp;" ("&amp;LEFT(H960,5)&amp;"-"&amp;LEFT(I960,5)&amp;" hrs)"</f>
        <v/>
      </c>
    </row>
    <row r="961">
      <c r="J961" s="8" t="inlineStr">
        <is>
          <t>PSV total:</t>
        </is>
      </c>
      <c r="K961" s="9">
        <f>TEXT(TIMEVALUE(I960)-TIMEVALUE(H957)+(I960&lt;H957),"[h]:mm")</f>
        <v/>
      </c>
    </row>
    <row r="963">
      <c r="B963" s="3" t="inlineStr">
        <is>
          <t>Pairing ID</t>
        </is>
      </c>
      <c r="C963" s="3" t="inlineStr">
        <is>
          <t>FECHA REAL</t>
        </is>
      </c>
      <c r="D963" s="3" t="inlineStr">
        <is>
          <t>Day of Week</t>
        </is>
      </c>
      <c r="E963" s="3" t="inlineStr">
        <is>
          <t>Flight No</t>
        </is>
      </c>
      <c r="F963" s="3" t="inlineStr">
        <is>
          <t>Dep Stn</t>
        </is>
      </c>
      <c r="G963" s="3" t="inlineStr">
        <is>
          <t>Arr Stn</t>
        </is>
      </c>
      <c r="H963" s="3" t="inlineStr">
        <is>
          <t>STD</t>
        </is>
      </c>
      <c r="I963" s="3" t="inlineStr">
        <is>
          <t>STA</t>
        </is>
      </c>
      <c r="J963" s="3" t="inlineStr">
        <is>
          <t>subflota</t>
        </is>
      </c>
      <c r="K963" s="3" t="inlineStr">
        <is>
          <t>Conexion</t>
        </is>
      </c>
      <c r="L963" s="3" t="inlineStr">
        <is>
          <t>HBT</t>
        </is>
      </c>
    </row>
    <row r="964">
      <c r="B964" s="4" t="n">
        <v>994</v>
      </c>
      <c r="C964" s="4" t="inlineStr">
        <is>
          <t>11/09/2026</t>
        </is>
      </c>
      <c r="D964" s="4" t="inlineStr">
        <is>
          <t>viernes</t>
        </is>
      </c>
      <c r="E964" s="4" t="n">
        <v>2338</v>
      </c>
      <c r="F964" s="4" t="inlineStr">
        <is>
          <t>LIM</t>
        </is>
      </c>
      <c r="G964" s="4" t="inlineStr">
        <is>
          <t>PIU</t>
        </is>
      </c>
      <c r="H964" s="4" t="inlineStr">
        <is>
          <t>14:55:00</t>
        </is>
      </c>
      <c r="I964" s="4" t="inlineStr">
        <is>
          <t>16:45:00</t>
        </is>
      </c>
      <c r="J964" s="4" t="n">
        <v>319</v>
      </c>
      <c r="L964" s="4" t="inlineStr">
        <is>
          <t>01:50:00</t>
        </is>
      </c>
      <c r="M964" s="5" t="n"/>
      <c r="N964" s="6" t="n"/>
      <c r="O964" s="5" t="n"/>
      <c r="Q964" s="4">
        <f>B964</f>
        <v/>
      </c>
      <c r="R964" s="4">
        <f>C964</f>
        <v/>
      </c>
      <c r="S964" s="4">
        <f>D964</f>
        <v/>
      </c>
      <c r="T964" s="4">
        <f>E964&amp;"/"&amp;E965</f>
        <v/>
      </c>
      <c r="U964" s="4">
        <f>F964&amp;"-"&amp;G964&amp;"-"&amp;F964</f>
        <v/>
      </c>
      <c r="V964" s="4">
        <f>IF($M$964="","",$M$964)</f>
        <v/>
      </c>
      <c r="W964" s="4">
        <f>IF($O$964="","",$O$964)</f>
        <v/>
      </c>
      <c r="X964" s="4">
        <f>J964</f>
        <v/>
      </c>
    </row>
    <row r="965">
      <c r="B965" s="4" t="n">
        <v>994</v>
      </c>
      <c r="C965" s="4" t="inlineStr">
        <is>
          <t>11/09/2026</t>
        </is>
      </c>
      <c r="D965" s="4" t="inlineStr">
        <is>
          <t>viernes</t>
        </is>
      </c>
      <c r="E965" s="4" t="n">
        <v>2339</v>
      </c>
      <c r="F965" s="4" t="inlineStr">
        <is>
          <t>PIU</t>
        </is>
      </c>
      <c r="G965" s="4" t="inlineStr">
        <is>
          <t>LIM</t>
        </is>
      </c>
      <c r="H965" s="4" t="inlineStr">
        <is>
          <t>17:20:00</t>
        </is>
      </c>
      <c r="I965" s="4" t="inlineStr">
        <is>
          <t>18:50:00</t>
        </is>
      </c>
      <c r="J965" s="4" t="n">
        <v>319</v>
      </c>
      <c r="K965">
        <f>TEXT(TIMEVALUE(H965)-TIMEVALUE(I964)+(TIMEVALUE(H965)&lt;TIMEVALUE(I964)),"[h]:mm")</f>
        <v/>
      </c>
      <c r="L965" s="4" t="inlineStr">
        <is>
          <t>01:30:00</t>
        </is>
      </c>
      <c r="O965">
        <f>"LIM-"&amp;G964&amp;"-LIM   LA "&amp;E964&amp;" ("&amp;LEFT(H964,5)&amp;"-"&amp;LEFT(I964,5)&amp;" hrs)  /  LA "&amp;E965&amp;" ("&amp;LEFT(H965,5)&amp;"-"&amp;LEFT(I965,5)&amp;" hrs)"</f>
        <v/>
      </c>
    </row>
    <row r="966">
      <c r="B966" s="4" t="n">
        <v>1018</v>
      </c>
      <c r="C966" s="4" t="inlineStr">
        <is>
          <t>11/09/2026</t>
        </is>
      </c>
      <c r="D966" s="4" t="inlineStr">
        <is>
          <t>viernes</t>
        </is>
      </c>
      <c r="E966" s="4" t="n">
        <v>2278</v>
      </c>
      <c r="F966" s="4" t="inlineStr">
        <is>
          <t>LIM</t>
        </is>
      </c>
      <c r="G966" s="4" t="inlineStr">
        <is>
          <t>CIX</t>
        </is>
      </c>
      <c r="H966" s="4" t="inlineStr">
        <is>
          <t>20:10:00</t>
        </is>
      </c>
      <c r="I966" s="4" t="inlineStr">
        <is>
          <t>21:40:00</t>
        </is>
      </c>
      <c r="J966" s="4" t="n">
        <v>320</v>
      </c>
      <c r="K966" s="7">
        <f>TEXT(TIMEVALUE(H966)-TIMEVALUE(I965)+(TIMEVALUE(H966)&lt;TIMEVALUE(I965)),"[h]:mm")</f>
        <v/>
      </c>
      <c r="L966" s="4" t="inlineStr">
        <is>
          <t>01:30:00</t>
        </is>
      </c>
      <c r="M966">
        <f>IF($M$964="","",$M$964)</f>
        <v/>
      </c>
      <c r="O966">
        <f>IF($O$964="","",$O$964)</f>
        <v/>
      </c>
      <c r="Q966" s="4">
        <f>B966</f>
        <v/>
      </c>
      <c r="R966" s="4">
        <f>C966</f>
        <v/>
      </c>
      <c r="S966" s="4">
        <f>D966</f>
        <v/>
      </c>
      <c r="T966" s="4">
        <f>E966&amp;"/"&amp;E967</f>
        <v/>
      </c>
      <c r="U966" s="4">
        <f>F966&amp;"-"&amp;G966&amp;"-"&amp;F966</f>
        <v/>
      </c>
      <c r="V966" s="4">
        <f>IF($M$964="","",$M$964)</f>
        <v/>
      </c>
      <c r="W966" s="4">
        <f>IF($O$964="","",$O$964)</f>
        <v/>
      </c>
      <c r="X966" s="4">
        <f>J966</f>
        <v/>
      </c>
    </row>
    <row r="967">
      <c r="B967" s="4" t="n">
        <v>1018</v>
      </c>
      <c r="C967" s="4" t="inlineStr">
        <is>
          <t>11/09/2026</t>
        </is>
      </c>
      <c r="D967" s="4" t="inlineStr">
        <is>
          <t>viernes</t>
        </is>
      </c>
      <c r="E967" s="4" t="n">
        <v>2279</v>
      </c>
      <c r="F967" s="4" t="inlineStr">
        <is>
          <t>CIX</t>
        </is>
      </c>
      <c r="G967" s="4" t="inlineStr">
        <is>
          <t>LIM</t>
        </is>
      </c>
      <c r="H967" s="4" t="inlineStr">
        <is>
          <t>22:15:00</t>
        </is>
      </c>
      <c r="I967" s="4" t="inlineStr">
        <is>
          <t>23:35:00</t>
        </is>
      </c>
      <c r="J967" s="4" t="n">
        <v>320</v>
      </c>
      <c r="K967">
        <f>TEXT(TIMEVALUE(H967)-TIMEVALUE(I966)+(TIMEVALUE(H967)&lt;TIMEVALUE(I966)),"[h]:mm")</f>
        <v/>
      </c>
      <c r="L967" s="4" t="inlineStr">
        <is>
          <t>01:20:00</t>
        </is>
      </c>
      <c r="O967">
        <f>"LIM-"&amp;G966&amp;"-LIM   LA "&amp;E966&amp;" ("&amp;LEFT(H966,5)&amp;"-"&amp;LEFT(I966,5)&amp;" hrs)  /  LA "&amp;E967&amp;" ("&amp;LEFT(H967,5)&amp;"-"&amp;LEFT(I967,5)&amp;" hrs)"</f>
        <v/>
      </c>
    </row>
    <row r="968">
      <c r="J968" s="8" t="inlineStr">
        <is>
          <t>PSV total:</t>
        </is>
      </c>
      <c r="K968" s="9">
        <f>TEXT(TIMEVALUE(I967)-TIMEVALUE(H964)+(I967&lt;H964),"[h]:mm")</f>
        <v/>
      </c>
    </row>
    <row r="970">
      <c r="B970" s="3" t="inlineStr">
        <is>
          <t>Pairing ID</t>
        </is>
      </c>
      <c r="C970" s="3" t="inlineStr">
        <is>
          <t>FECHA REAL</t>
        </is>
      </c>
      <c r="D970" s="3" t="inlineStr">
        <is>
          <t>Day of Week</t>
        </is>
      </c>
      <c r="E970" s="3" t="inlineStr">
        <is>
          <t>Flight No</t>
        </is>
      </c>
      <c r="F970" s="3" t="inlineStr">
        <is>
          <t>Dep Stn</t>
        </is>
      </c>
      <c r="G970" s="3" t="inlineStr">
        <is>
          <t>Arr Stn</t>
        </is>
      </c>
      <c r="H970" s="3" t="inlineStr">
        <is>
          <t>STD</t>
        </is>
      </c>
      <c r="I970" s="3" t="inlineStr">
        <is>
          <t>STA</t>
        </is>
      </c>
      <c r="J970" s="3" t="inlineStr">
        <is>
          <t>subflota</t>
        </is>
      </c>
      <c r="K970" s="3" t="inlineStr">
        <is>
          <t>Conexion</t>
        </is>
      </c>
      <c r="L970" s="3" t="inlineStr">
        <is>
          <t>HBT</t>
        </is>
      </c>
    </row>
    <row r="971">
      <c r="B971" s="4" t="n">
        <v>995</v>
      </c>
      <c r="C971" s="4" t="inlineStr">
        <is>
          <t>11/09/2026</t>
        </is>
      </c>
      <c r="D971" s="4" t="inlineStr">
        <is>
          <t>viernes</t>
        </is>
      </c>
      <c r="E971" s="4" t="n">
        <v>2248</v>
      </c>
      <c r="F971" s="4" t="inlineStr">
        <is>
          <t>LIM</t>
        </is>
      </c>
      <c r="G971" s="4" t="inlineStr">
        <is>
          <t>CUZ</t>
        </is>
      </c>
      <c r="H971" s="4" t="inlineStr">
        <is>
          <t>15:00:00</t>
        </is>
      </c>
      <c r="I971" s="4" t="inlineStr">
        <is>
          <t>16:20:00</t>
        </is>
      </c>
      <c r="J971" s="4" t="n">
        <v>320</v>
      </c>
      <c r="L971" s="4" t="inlineStr">
        <is>
          <t>01:20:00</t>
        </is>
      </c>
      <c r="M971" s="5" t="n"/>
      <c r="N971" s="6" t="n"/>
      <c r="O971" s="5" t="n"/>
      <c r="Q971" s="4">
        <f>B971</f>
        <v/>
      </c>
      <c r="R971" s="4">
        <f>C971</f>
        <v/>
      </c>
      <c r="S971" s="4">
        <f>D971</f>
        <v/>
      </c>
      <c r="T971" s="4">
        <f>E971&amp;"/"&amp;E972</f>
        <v/>
      </c>
      <c r="U971" s="4">
        <f>F971&amp;"-"&amp;G971&amp;"-"&amp;F971</f>
        <v/>
      </c>
      <c r="V971" s="4">
        <f>IF($M$971="","",$M$971)</f>
        <v/>
      </c>
      <c r="W971" s="4">
        <f>IF($O$971="","",$O$971)</f>
        <v/>
      </c>
      <c r="X971" s="4">
        <f>J971</f>
        <v/>
      </c>
    </row>
    <row r="972">
      <c r="B972" s="4" t="n">
        <v>995</v>
      </c>
      <c r="C972" s="4" t="inlineStr">
        <is>
          <t>11/09/2026</t>
        </is>
      </c>
      <c r="D972" s="4" t="inlineStr">
        <is>
          <t>viernes</t>
        </is>
      </c>
      <c r="E972" s="4" t="n">
        <v>2249</v>
      </c>
      <c r="F972" s="4" t="inlineStr">
        <is>
          <t>CUZ</t>
        </is>
      </c>
      <c r="G972" s="4" t="inlineStr">
        <is>
          <t>LIM</t>
        </is>
      </c>
      <c r="H972" s="4" t="inlineStr">
        <is>
          <t>17:00:00</t>
        </is>
      </c>
      <c r="I972" s="4" t="inlineStr">
        <is>
          <t>18:35:00</t>
        </is>
      </c>
      <c r="J972" s="4" t="n">
        <v>320</v>
      </c>
      <c r="K972">
        <f>TEXT(TIMEVALUE(H972)-TIMEVALUE(I971)+(TIMEVALUE(H972)&lt;TIMEVALUE(I971)),"[h]:mm")</f>
        <v/>
      </c>
      <c r="L972" s="4" t="inlineStr">
        <is>
          <t>01:35:00</t>
        </is>
      </c>
      <c r="O972">
        <f>"LIM-"&amp;G971&amp;"-LIM   LA "&amp;E971&amp;" ("&amp;LEFT(H971,5)&amp;"-"&amp;LEFT(I971,5)&amp;" hrs)  /  LA "&amp;E972&amp;" ("&amp;LEFT(H972,5)&amp;"-"&amp;LEFT(I972,5)&amp;" hrs)"</f>
        <v/>
      </c>
    </row>
    <row r="973">
      <c r="J973" s="8" t="inlineStr">
        <is>
          <t>PSV total:</t>
        </is>
      </c>
      <c r="K973" s="9">
        <f>TEXT(TIMEVALUE(I972)-TIMEVALUE(H971)+(I972&lt;H971),"[h]:mm")</f>
        <v/>
      </c>
    </row>
    <row r="975">
      <c r="B975" s="3" t="inlineStr">
        <is>
          <t>Pairing ID</t>
        </is>
      </c>
      <c r="C975" s="3" t="inlineStr">
        <is>
          <t>FECHA REAL</t>
        </is>
      </c>
      <c r="D975" s="3" t="inlineStr">
        <is>
          <t>Day of Week</t>
        </is>
      </c>
      <c r="E975" s="3" t="inlineStr">
        <is>
          <t>Flight No</t>
        </is>
      </c>
      <c r="F975" s="3" t="inlineStr">
        <is>
          <t>Dep Stn</t>
        </is>
      </c>
      <c r="G975" s="3" t="inlineStr">
        <is>
          <t>Arr Stn</t>
        </is>
      </c>
      <c r="H975" s="3" t="inlineStr">
        <is>
          <t>STD</t>
        </is>
      </c>
      <c r="I975" s="3" t="inlineStr">
        <is>
          <t>STA</t>
        </is>
      </c>
      <c r="J975" s="3" t="inlineStr">
        <is>
          <t>subflota</t>
        </is>
      </c>
      <c r="K975" s="3" t="inlineStr">
        <is>
          <t>Conexion</t>
        </is>
      </c>
      <c r="L975" s="3" t="inlineStr">
        <is>
          <t>HBT</t>
        </is>
      </c>
    </row>
    <row r="976">
      <c r="B976" s="4" t="n">
        <v>998</v>
      </c>
      <c r="C976" s="4" t="inlineStr">
        <is>
          <t>11/09/2026</t>
        </is>
      </c>
      <c r="D976" s="4" t="inlineStr">
        <is>
          <t>viernes</t>
        </is>
      </c>
      <c r="E976" s="4" t="n">
        <v>2297</v>
      </c>
      <c r="F976" s="4" t="inlineStr">
        <is>
          <t>LIM</t>
        </is>
      </c>
      <c r="G976" s="4" t="inlineStr">
        <is>
          <t>CJA</t>
        </is>
      </c>
      <c r="H976" s="4" t="inlineStr">
        <is>
          <t>15:15:00</t>
        </is>
      </c>
      <c r="I976" s="4" t="inlineStr">
        <is>
          <t>16:35:00</t>
        </is>
      </c>
      <c r="J976" s="4" t="n">
        <v>320</v>
      </c>
      <c r="L976" s="4" t="inlineStr">
        <is>
          <t>01:20:00</t>
        </is>
      </c>
      <c r="M976" s="5" t="n"/>
      <c r="N976" s="6" t="n"/>
      <c r="O976" s="5" t="n"/>
      <c r="Q976" s="4">
        <f>B976</f>
        <v/>
      </c>
      <c r="R976" s="4">
        <f>C976</f>
        <v/>
      </c>
      <c r="S976" s="4">
        <f>D976</f>
        <v/>
      </c>
      <c r="T976" s="4">
        <f>E976&amp;"/"&amp;E977</f>
        <v/>
      </c>
      <c r="U976" s="4">
        <f>F976&amp;"-"&amp;G976&amp;"-"&amp;F976</f>
        <v/>
      </c>
      <c r="V976" s="4">
        <f>IF($M$976="","",$M$976)</f>
        <v/>
      </c>
      <c r="W976" s="4">
        <f>IF($O$976="","",$O$976)</f>
        <v/>
      </c>
      <c r="X976" s="4">
        <f>J976</f>
        <v/>
      </c>
    </row>
    <row r="977">
      <c r="B977" s="4" t="n">
        <v>998</v>
      </c>
      <c r="C977" s="4" t="inlineStr">
        <is>
          <t>11/09/2026</t>
        </is>
      </c>
      <c r="D977" s="4" t="inlineStr">
        <is>
          <t>viernes</t>
        </is>
      </c>
      <c r="E977" s="4" t="n">
        <v>2296</v>
      </c>
      <c r="F977" s="4" t="inlineStr">
        <is>
          <t>CJA</t>
        </is>
      </c>
      <c r="G977" s="4" t="inlineStr">
        <is>
          <t>LIM</t>
        </is>
      </c>
      <c r="H977" s="4" t="inlineStr">
        <is>
          <t>17:20:00</t>
        </is>
      </c>
      <c r="I977" s="4" t="inlineStr">
        <is>
          <t>18:25:00</t>
        </is>
      </c>
      <c r="J977" s="4" t="n">
        <v>320</v>
      </c>
      <c r="K977">
        <f>TEXT(TIMEVALUE(H977)-TIMEVALUE(I976)+(TIMEVALUE(H977)&lt;TIMEVALUE(I976)),"[h]:mm")</f>
        <v/>
      </c>
      <c r="L977" s="4" t="inlineStr">
        <is>
          <t>01:05:00</t>
        </is>
      </c>
      <c r="O977">
        <f>"LIM-"&amp;G976&amp;"-LIM   LA "&amp;E976&amp;" ("&amp;LEFT(H976,5)&amp;"-"&amp;LEFT(I976,5)&amp;" hrs)  /  LA "&amp;E977&amp;" ("&amp;LEFT(H977,5)&amp;"-"&amp;LEFT(I977,5)&amp;" hrs)"</f>
        <v/>
      </c>
    </row>
    <row r="978">
      <c r="J978" s="8" t="inlineStr">
        <is>
          <t>PSV total:</t>
        </is>
      </c>
      <c r="K978" s="9">
        <f>TEXT(TIMEVALUE(I977)-TIMEVALUE(H976)+(I977&lt;H976),"[h]:mm")</f>
        <v/>
      </c>
    </row>
    <row r="980">
      <c r="B980" s="3" t="inlineStr">
        <is>
          <t>Pairing ID</t>
        </is>
      </c>
      <c r="C980" s="3" t="inlineStr">
        <is>
          <t>FECHA REAL</t>
        </is>
      </c>
      <c r="D980" s="3" t="inlineStr">
        <is>
          <t>Day of Week</t>
        </is>
      </c>
      <c r="E980" s="3" t="inlineStr">
        <is>
          <t>Flight No</t>
        </is>
      </c>
      <c r="F980" s="3" t="inlineStr">
        <is>
          <t>Dep Stn</t>
        </is>
      </c>
      <c r="G980" s="3" t="inlineStr">
        <is>
          <t>Arr Stn</t>
        </is>
      </c>
      <c r="H980" s="3" t="inlineStr">
        <is>
          <t>STD</t>
        </is>
      </c>
      <c r="I980" s="3" t="inlineStr">
        <is>
          <t>STA</t>
        </is>
      </c>
      <c r="J980" s="3" t="inlineStr">
        <is>
          <t>subflota</t>
        </is>
      </c>
      <c r="K980" s="3" t="inlineStr">
        <is>
          <t>Conexion</t>
        </is>
      </c>
      <c r="L980" s="3" t="inlineStr">
        <is>
          <t>HBT</t>
        </is>
      </c>
    </row>
    <row r="981">
      <c r="B981" s="4" t="n">
        <v>999</v>
      </c>
      <c r="C981" s="4" t="inlineStr">
        <is>
          <t>11/09/2026</t>
        </is>
      </c>
      <c r="D981" s="4" t="inlineStr">
        <is>
          <t>viernes</t>
        </is>
      </c>
      <c r="E981" s="4" t="n">
        <v>2360</v>
      </c>
      <c r="F981" s="4" t="inlineStr">
        <is>
          <t>LIM</t>
        </is>
      </c>
      <c r="G981" s="4" t="inlineStr">
        <is>
          <t>PCL</t>
        </is>
      </c>
      <c r="H981" s="4" t="inlineStr">
        <is>
          <t>15:25:00</t>
        </is>
      </c>
      <c r="I981" s="4" t="inlineStr">
        <is>
          <t>16:40:00</t>
        </is>
      </c>
      <c r="J981" s="4" t="n">
        <v>320</v>
      </c>
      <c r="L981" s="4" t="inlineStr">
        <is>
          <t>01:15:00</t>
        </is>
      </c>
      <c r="M981" s="5" t="n"/>
      <c r="N981" s="6" t="n"/>
      <c r="O981" s="5" t="n"/>
      <c r="Q981" s="4">
        <f>B981</f>
        <v/>
      </c>
      <c r="R981" s="4">
        <f>C981</f>
        <v/>
      </c>
      <c r="S981" s="4">
        <f>D981</f>
        <v/>
      </c>
      <c r="T981" s="4">
        <f>E981&amp;"/"&amp;E982</f>
        <v/>
      </c>
      <c r="U981" s="4">
        <f>F981&amp;"-"&amp;G981&amp;"-"&amp;F981</f>
        <v/>
      </c>
      <c r="V981" s="4">
        <f>IF($M$981="","",$M$981)</f>
        <v/>
      </c>
      <c r="W981" s="4">
        <f>IF($O$981="","",$O$981)</f>
        <v/>
      </c>
      <c r="X981" s="4">
        <f>J981</f>
        <v/>
      </c>
    </row>
    <row r="982">
      <c r="B982" s="4" t="n">
        <v>999</v>
      </c>
      <c r="C982" s="4" t="inlineStr">
        <is>
          <t>11/09/2026</t>
        </is>
      </c>
      <c r="D982" s="4" t="inlineStr">
        <is>
          <t>viernes</t>
        </is>
      </c>
      <c r="E982" s="4" t="n">
        <v>2361</v>
      </c>
      <c r="F982" s="4" t="inlineStr">
        <is>
          <t>PCL</t>
        </is>
      </c>
      <c r="G982" s="4" t="inlineStr">
        <is>
          <t>LIM</t>
        </is>
      </c>
      <c r="H982" s="4" t="inlineStr">
        <is>
          <t>17:20:00</t>
        </is>
      </c>
      <c r="I982" s="4" t="inlineStr">
        <is>
          <t>18:35:00</t>
        </is>
      </c>
      <c r="J982" s="4" t="n">
        <v>320</v>
      </c>
      <c r="K982">
        <f>TEXT(TIMEVALUE(H982)-TIMEVALUE(I981)+(TIMEVALUE(H982)&lt;TIMEVALUE(I981)),"[h]:mm")</f>
        <v/>
      </c>
      <c r="L982" s="4" t="inlineStr">
        <is>
          <t>01:15:00</t>
        </is>
      </c>
      <c r="O982">
        <f>"LIM-"&amp;G981&amp;"-LIM   LA "&amp;E981&amp;" ("&amp;LEFT(H981,5)&amp;"-"&amp;LEFT(I981,5)&amp;" hrs)  /  LA "&amp;E982&amp;" ("&amp;LEFT(H982,5)&amp;"-"&amp;LEFT(I982,5)&amp;" hrs)"</f>
        <v/>
      </c>
    </row>
    <row r="983">
      <c r="J983" s="8" t="inlineStr">
        <is>
          <t>PSV total:</t>
        </is>
      </c>
      <c r="K983" s="9">
        <f>TEXT(TIMEVALUE(I982)-TIMEVALUE(H981)+(I982&lt;H981),"[h]:mm")</f>
        <v/>
      </c>
    </row>
    <row r="985">
      <c r="B985" s="3" t="inlineStr">
        <is>
          <t>Pairing ID</t>
        </is>
      </c>
      <c r="C985" s="3" t="inlineStr">
        <is>
          <t>FECHA REAL</t>
        </is>
      </c>
      <c r="D985" s="3" t="inlineStr">
        <is>
          <t>Day of Week</t>
        </is>
      </c>
      <c r="E985" s="3" t="inlineStr">
        <is>
          <t>Flight No</t>
        </is>
      </c>
      <c r="F985" s="3" t="inlineStr">
        <is>
          <t>Dep Stn</t>
        </is>
      </c>
      <c r="G985" s="3" t="inlineStr">
        <is>
          <t>Arr Stn</t>
        </is>
      </c>
      <c r="H985" s="3" t="inlineStr">
        <is>
          <t>STD</t>
        </is>
      </c>
      <c r="I985" s="3" t="inlineStr">
        <is>
          <t>STA</t>
        </is>
      </c>
      <c r="J985" s="3" t="inlineStr">
        <is>
          <t>subflota</t>
        </is>
      </c>
      <c r="K985" s="3" t="inlineStr">
        <is>
          <t>Conexion</t>
        </is>
      </c>
      <c r="L985" s="3" t="inlineStr">
        <is>
          <t>HBT</t>
        </is>
      </c>
    </row>
    <row r="986">
      <c r="B986" s="4" t="n">
        <v>1000</v>
      </c>
      <c r="C986" s="4" t="inlineStr">
        <is>
          <t>11/09/2026</t>
        </is>
      </c>
      <c r="D986" s="4" t="inlineStr">
        <is>
          <t>viernes</t>
        </is>
      </c>
      <c r="E986" s="4" t="n">
        <v>2360</v>
      </c>
      <c r="F986" s="4" t="inlineStr">
        <is>
          <t>LIM</t>
        </is>
      </c>
      <c r="G986" s="4" t="inlineStr">
        <is>
          <t>PCL</t>
        </is>
      </c>
      <c r="H986" s="4" t="inlineStr">
        <is>
          <t>15:25:00</t>
        </is>
      </c>
      <c r="I986" s="4" t="inlineStr">
        <is>
          <t>16:40:00</t>
        </is>
      </c>
      <c r="J986" s="4" t="n">
        <v>320</v>
      </c>
      <c r="L986" s="4" t="inlineStr">
        <is>
          <t>01:15:00</t>
        </is>
      </c>
      <c r="M986" s="5" t="n"/>
      <c r="N986" s="6" t="n"/>
      <c r="O986" s="5" t="n"/>
      <c r="Q986" s="4">
        <f>B986</f>
        <v/>
      </c>
      <c r="R986" s="4">
        <f>C986</f>
        <v/>
      </c>
      <c r="S986" s="4">
        <f>D986</f>
        <v/>
      </c>
      <c r="T986" s="4">
        <f>E986&amp;"/"&amp;E987</f>
        <v/>
      </c>
      <c r="U986" s="4">
        <f>F986&amp;"-"&amp;G986&amp;"-"&amp;F986</f>
        <v/>
      </c>
      <c r="V986" s="4">
        <f>IF($M$986="","",$M$986)</f>
        <v/>
      </c>
      <c r="W986" s="4">
        <f>IF($O$986="","",$O$986)</f>
        <v/>
      </c>
      <c r="X986" s="4">
        <f>J986</f>
        <v/>
      </c>
    </row>
    <row r="987">
      <c r="B987" s="4" t="n">
        <v>1000</v>
      </c>
      <c r="C987" s="4" t="inlineStr">
        <is>
          <t>11/09/2026</t>
        </is>
      </c>
      <c r="D987" s="4" t="inlineStr">
        <is>
          <t>viernes</t>
        </is>
      </c>
      <c r="E987" s="4" t="n">
        <v>2361</v>
      </c>
      <c r="F987" s="4" t="inlineStr">
        <is>
          <t>PCL</t>
        </is>
      </c>
      <c r="G987" s="4" t="inlineStr">
        <is>
          <t>LIM</t>
        </is>
      </c>
      <c r="H987" s="4" t="inlineStr">
        <is>
          <t>17:20:00</t>
        </is>
      </c>
      <c r="I987" s="4" t="inlineStr">
        <is>
          <t>18:35:00</t>
        </is>
      </c>
      <c r="J987" s="4" t="n">
        <v>320</v>
      </c>
      <c r="K987">
        <f>TEXT(TIMEVALUE(H987)-TIMEVALUE(I986)+(TIMEVALUE(H987)&lt;TIMEVALUE(I986)),"[h]:mm")</f>
        <v/>
      </c>
      <c r="L987" s="4" t="inlineStr">
        <is>
          <t>01:15:00</t>
        </is>
      </c>
      <c r="O987">
        <f>"LIM-"&amp;G986&amp;"-LIM   LA "&amp;E986&amp;" ("&amp;LEFT(H986,5)&amp;"-"&amp;LEFT(I986,5)&amp;" hrs)  /  LA "&amp;E987&amp;" ("&amp;LEFT(H987,5)&amp;"-"&amp;LEFT(I987,5)&amp;" hrs)"</f>
        <v/>
      </c>
    </row>
    <row r="988">
      <c r="J988" s="8" t="inlineStr">
        <is>
          <t>PSV total:</t>
        </is>
      </c>
      <c r="K988" s="9">
        <f>TEXT(TIMEVALUE(I987)-TIMEVALUE(H986)+(I987&lt;H986),"[h]:mm")</f>
        <v/>
      </c>
    </row>
    <row r="990">
      <c r="B990" s="3" t="inlineStr">
        <is>
          <t>Pairing ID</t>
        </is>
      </c>
      <c r="C990" s="3" t="inlineStr">
        <is>
          <t>FECHA REAL</t>
        </is>
      </c>
      <c r="D990" s="3" t="inlineStr">
        <is>
          <t>Day of Week</t>
        </is>
      </c>
      <c r="E990" s="3" t="inlineStr">
        <is>
          <t>Flight No</t>
        </is>
      </c>
      <c r="F990" s="3" t="inlineStr">
        <is>
          <t>Dep Stn</t>
        </is>
      </c>
      <c r="G990" s="3" t="inlineStr">
        <is>
          <t>Arr Stn</t>
        </is>
      </c>
      <c r="H990" s="3" t="inlineStr">
        <is>
          <t>STD</t>
        </is>
      </c>
      <c r="I990" s="3" t="inlineStr">
        <is>
          <t>STA</t>
        </is>
      </c>
      <c r="J990" s="3" t="inlineStr">
        <is>
          <t>subflota</t>
        </is>
      </c>
      <c r="K990" s="3" t="inlineStr">
        <is>
          <t>Conexion</t>
        </is>
      </c>
      <c r="L990" s="3" t="inlineStr">
        <is>
          <t>HBT</t>
        </is>
      </c>
    </row>
    <row r="991">
      <c r="B991" s="4" t="n">
        <v>1001</v>
      </c>
      <c r="C991" s="4" t="inlineStr">
        <is>
          <t>11/09/2026</t>
        </is>
      </c>
      <c r="D991" s="4" t="inlineStr">
        <is>
          <t>viernes</t>
        </is>
      </c>
      <c r="E991" s="4" t="n">
        <v>2312</v>
      </c>
      <c r="F991" s="4" t="inlineStr">
        <is>
          <t>LIM</t>
        </is>
      </c>
      <c r="G991" s="4" t="inlineStr">
        <is>
          <t>CIX</t>
        </is>
      </c>
      <c r="H991" s="4" t="inlineStr">
        <is>
          <t>15:35:00</t>
        </is>
      </c>
      <c r="I991" s="4" t="inlineStr">
        <is>
          <t>17:05:00</t>
        </is>
      </c>
      <c r="J991" s="4" t="n">
        <v>320</v>
      </c>
      <c r="L991" s="4" t="inlineStr">
        <is>
          <t>01:30:00</t>
        </is>
      </c>
      <c r="M991" s="5" t="n"/>
      <c r="N991" s="6" t="n"/>
      <c r="O991" s="5" t="n"/>
      <c r="Q991" s="4">
        <f>B991</f>
        <v/>
      </c>
      <c r="R991" s="4">
        <f>C991</f>
        <v/>
      </c>
      <c r="S991" s="4">
        <f>D991</f>
        <v/>
      </c>
      <c r="T991" s="4">
        <f>E991&amp;"/"&amp;E992</f>
        <v/>
      </c>
      <c r="U991" s="4">
        <f>F991&amp;"-"&amp;G991&amp;"-"&amp;F991</f>
        <v/>
      </c>
      <c r="V991" s="4">
        <f>IF($M$991="","",$M$991)</f>
        <v/>
      </c>
      <c r="W991" s="4">
        <f>IF($O$991="","",$O$991)</f>
        <v/>
      </c>
      <c r="X991" s="4">
        <f>J991</f>
        <v/>
      </c>
    </row>
    <row r="992">
      <c r="B992" s="4" t="n">
        <v>1001</v>
      </c>
      <c r="C992" s="4" t="inlineStr">
        <is>
          <t>11/09/2026</t>
        </is>
      </c>
      <c r="D992" s="4" t="inlineStr">
        <is>
          <t>viernes</t>
        </is>
      </c>
      <c r="E992" s="4" t="n">
        <v>2313</v>
      </c>
      <c r="F992" s="4" t="inlineStr">
        <is>
          <t>CIX</t>
        </is>
      </c>
      <c r="G992" s="4" t="inlineStr">
        <is>
          <t>LIM</t>
        </is>
      </c>
      <c r="H992" s="4" t="inlineStr">
        <is>
          <t>17:50:00</t>
        </is>
      </c>
      <c r="I992" s="4" t="inlineStr">
        <is>
          <t>19:10:00</t>
        </is>
      </c>
      <c r="J992" s="4" t="n">
        <v>320</v>
      </c>
      <c r="K992">
        <f>TEXT(TIMEVALUE(H992)-TIMEVALUE(I991)+(TIMEVALUE(H992)&lt;TIMEVALUE(I991)),"[h]:mm")</f>
        <v/>
      </c>
      <c r="L992" s="4" t="inlineStr">
        <is>
          <t>01:20:00</t>
        </is>
      </c>
      <c r="O992">
        <f>"LIM-"&amp;G991&amp;"-LIM   LA "&amp;E991&amp;" ("&amp;LEFT(H991,5)&amp;"-"&amp;LEFT(I991,5)&amp;" hrs)  /  LA "&amp;E992&amp;" ("&amp;LEFT(H992,5)&amp;"-"&amp;LEFT(I992,5)&amp;" hrs)"</f>
        <v/>
      </c>
    </row>
    <row r="993">
      <c r="J993" s="8" t="inlineStr">
        <is>
          <t>PSV total:</t>
        </is>
      </c>
      <c r="K993" s="9">
        <f>TEXT(TIMEVALUE(I992)-TIMEVALUE(H991)+(I992&lt;H991),"[h]:mm")</f>
        <v/>
      </c>
    </row>
    <row r="995">
      <c r="B995" s="3" t="inlineStr">
        <is>
          <t>Pairing ID</t>
        </is>
      </c>
      <c r="C995" s="3" t="inlineStr">
        <is>
          <t>FECHA REAL</t>
        </is>
      </c>
      <c r="D995" s="3" t="inlineStr">
        <is>
          <t>Day of Week</t>
        </is>
      </c>
      <c r="E995" s="3" t="inlineStr">
        <is>
          <t>Flight No</t>
        </is>
      </c>
      <c r="F995" s="3" t="inlineStr">
        <is>
          <t>Dep Stn</t>
        </is>
      </c>
      <c r="G995" s="3" t="inlineStr">
        <is>
          <t>Arr Stn</t>
        </is>
      </c>
      <c r="H995" s="3" t="inlineStr">
        <is>
          <t>STD</t>
        </is>
      </c>
      <c r="I995" s="3" t="inlineStr">
        <is>
          <t>STA</t>
        </is>
      </c>
      <c r="J995" s="3" t="inlineStr">
        <is>
          <t>subflota</t>
        </is>
      </c>
      <c r="K995" s="3" t="inlineStr">
        <is>
          <t>Conexion</t>
        </is>
      </c>
      <c r="L995" s="3" t="inlineStr">
        <is>
          <t>HBT</t>
        </is>
      </c>
    </row>
    <row r="996">
      <c r="B996" s="4" t="n">
        <v>1005</v>
      </c>
      <c r="C996" s="4" t="inlineStr">
        <is>
          <t>11/09/2026</t>
        </is>
      </c>
      <c r="D996" s="4" t="inlineStr">
        <is>
          <t>viernes</t>
        </is>
      </c>
      <c r="E996" s="4" t="n">
        <v>2127</v>
      </c>
      <c r="F996" s="4" t="inlineStr">
        <is>
          <t>LIM</t>
        </is>
      </c>
      <c r="G996" s="4" t="inlineStr">
        <is>
          <t>CUZ</t>
        </is>
      </c>
      <c r="H996" s="4" t="inlineStr">
        <is>
          <t>16:10:00</t>
        </is>
      </c>
      <c r="I996" s="4" t="inlineStr">
        <is>
          <t>17:30:00</t>
        </is>
      </c>
      <c r="J996" s="4" t="n">
        <v>320</v>
      </c>
      <c r="L996" s="4" t="inlineStr">
        <is>
          <t>01:20:00</t>
        </is>
      </c>
      <c r="M996" s="5" t="n"/>
      <c r="N996" s="6" t="n"/>
      <c r="O996" s="5" t="n"/>
      <c r="Q996" s="4">
        <f>B996</f>
        <v/>
      </c>
      <c r="R996" s="4">
        <f>C996</f>
        <v/>
      </c>
      <c r="S996" s="4">
        <f>D996</f>
        <v/>
      </c>
      <c r="T996" s="4">
        <f>E996&amp;"/"&amp;E997</f>
        <v/>
      </c>
      <c r="U996" s="4">
        <f>F996&amp;"-"&amp;G996&amp;"-"&amp;F996</f>
        <v/>
      </c>
      <c r="V996" s="4">
        <f>IF($M$996="","",$M$996)</f>
        <v/>
      </c>
      <c r="W996" s="4">
        <f>IF($O$996="","",$O$996)</f>
        <v/>
      </c>
      <c r="X996" s="4">
        <f>J996</f>
        <v/>
      </c>
    </row>
    <row r="997">
      <c r="B997" s="4" t="n">
        <v>1005</v>
      </c>
      <c r="C997" s="4" t="inlineStr">
        <is>
          <t>11/09/2026</t>
        </is>
      </c>
      <c r="D997" s="4" t="inlineStr">
        <is>
          <t>viernes</t>
        </is>
      </c>
      <c r="E997" s="4" t="n">
        <v>2026</v>
      </c>
      <c r="F997" s="4" t="inlineStr">
        <is>
          <t>CUZ</t>
        </is>
      </c>
      <c r="G997" s="4" t="inlineStr">
        <is>
          <t>LIM</t>
        </is>
      </c>
      <c r="H997" s="4" t="inlineStr">
        <is>
          <t>18:10:00</t>
        </is>
      </c>
      <c r="I997" s="4" t="inlineStr">
        <is>
          <t>19:50:00</t>
        </is>
      </c>
      <c r="J997" s="4" t="n">
        <v>320</v>
      </c>
      <c r="K997">
        <f>TEXT(TIMEVALUE(H997)-TIMEVALUE(I996)+(TIMEVALUE(H997)&lt;TIMEVALUE(I996)),"[h]:mm")</f>
        <v/>
      </c>
      <c r="L997" s="4" t="inlineStr">
        <is>
          <t>01:40:00</t>
        </is>
      </c>
      <c r="O997">
        <f>"LIM-"&amp;G996&amp;"-LIM   LA "&amp;E996&amp;" ("&amp;LEFT(H996,5)&amp;"-"&amp;LEFT(I996,5)&amp;" hrs)  /  LA "&amp;E997&amp;" ("&amp;LEFT(H997,5)&amp;"-"&amp;LEFT(I997,5)&amp;" hrs)"</f>
        <v/>
      </c>
    </row>
    <row r="998">
      <c r="J998" s="8" t="inlineStr">
        <is>
          <t>PSV total:</t>
        </is>
      </c>
      <c r="K998" s="9">
        <f>TEXT(TIMEVALUE(I997)-TIMEVALUE(H996)+(I997&lt;H996),"[h]:mm")</f>
        <v/>
      </c>
    </row>
    <row r="1000">
      <c r="B1000" s="3" t="inlineStr">
        <is>
          <t>Pairing ID</t>
        </is>
      </c>
      <c r="C1000" s="3" t="inlineStr">
        <is>
          <t>FECHA REAL</t>
        </is>
      </c>
      <c r="D1000" s="3" t="inlineStr">
        <is>
          <t>Day of Week</t>
        </is>
      </c>
      <c r="E1000" s="3" t="inlineStr">
        <is>
          <t>Flight No</t>
        </is>
      </c>
      <c r="F1000" s="3" t="inlineStr">
        <is>
          <t>Dep Stn</t>
        </is>
      </c>
      <c r="G1000" s="3" t="inlineStr">
        <is>
          <t>Arr Stn</t>
        </is>
      </c>
      <c r="H1000" s="3" t="inlineStr">
        <is>
          <t>STD</t>
        </is>
      </c>
      <c r="I1000" s="3" t="inlineStr">
        <is>
          <t>STA</t>
        </is>
      </c>
      <c r="J1000" s="3" t="inlineStr">
        <is>
          <t>subflota</t>
        </is>
      </c>
      <c r="K1000" s="3" t="inlineStr">
        <is>
          <t>Conexion</t>
        </is>
      </c>
      <c r="L1000" s="3" t="inlineStr">
        <is>
          <t>HBT</t>
        </is>
      </c>
    </row>
    <row r="1001">
      <c r="B1001" s="4" t="n">
        <v>1006</v>
      </c>
      <c r="C1001" s="4" t="inlineStr">
        <is>
          <t>11/09/2026</t>
        </is>
      </c>
      <c r="D1001" s="4" t="inlineStr">
        <is>
          <t>viernes</t>
        </is>
      </c>
      <c r="E1001" s="4" t="n">
        <v>2127</v>
      </c>
      <c r="F1001" s="4" t="inlineStr">
        <is>
          <t>LIM</t>
        </is>
      </c>
      <c r="G1001" s="4" t="inlineStr">
        <is>
          <t>CUZ</t>
        </is>
      </c>
      <c r="H1001" s="4" t="inlineStr">
        <is>
          <t>16:10:00</t>
        </is>
      </c>
      <c r="I1001" s="4" t="inlineStr">
        <is>
          <t>17:30:00</t>
        </is>
      </c>
      <c r="J1001" s="4" t="n">
        <v>320</v>
      </c>
      <c r="L1001" s="4" t="inlineStr">
        <is>
          <t>01:20:00</t>
        </is>
      </c>
      <c r="M1001" s="5" t="n"/>
      <c r="N1001" s="6" t="n"/>
      <c r="O1001" s="5" t="n"/>
      <c r="Q1001" s="4">
        <f>B1001</f>
        <v/>
      </c>
      <c r="R1001" s="4">
        <f>C1001</f>
        <v/>
      </c>
      <c r="S1001" s="4">
        <f>D1001</f>
        <v/>
      </c>
      <c r="T1001" s="4">
        <f>E1001&amp;"/"&amp;E1002</f>
        <v/>
      </c>
      <c r="U1001" s="4">
        <f>F1001&amp;"-"&amp;G1001&amp;"-"&amp;F1001</f>
        <v/>
      </c>
      <c r="V1001" s="4">
        <f>IF($M$1001="","",$M$1001)</f>
        <v/>
      </c>
      <c r="W1001" s="4">
        <f>IF($O$1001="","",$O$1001)</f>
        <v/>
      </c>
      <c r="X1001" s="4">
        <f>J1001</f>
        <v/>
      </c>
    </row>
    <row r="1002">
      <c r="B1002" s="4" t="n">
        <v>1006</v>
      </c>
      <c r="C1002" s="4" t="inlineStr">
        <is>
          <t>11/09/2026</t>
        </is>
      </c>
      <c r="D1002" s="4" t="inlineStr">
        <is>
          <t>viernes</t>
        </is>
      </c>
      <c r="E1002" s="4" t="n">
        <v>2026</v>
      </c>
      <c r="F1002" s="4" t="inlineStr">
        <is>
          <t>CUZ</t>
        </is>
      </c>
      <c r="G1002" s="4" t="inlineStr">
        <is>
          <t>LIM</t>
        </is>
      </c>
      <c r="H1002" s="4" t="inlineStr">
        <is>
          <t>18:10:00</t>
        </is>
      </c>
      <c r="I1002" s="4" t="inlineStr">
        <is>
          <t>19:50:00</t>
        </is>
      </c>
      <c r="J1002" s="4" t="n">
        <v>320</v>
      </c>
      <c r="K1002">
        <f>TEXT(TIMEVALUE(H1002)-TIMEVALUE(I1001)+(TIMEVALUE(H1002)&lt;TIMEVALUE(I1001)),"[h]:mm")</f>
        <v/>
      </c>
      <c r="L1002" s="4" t="inlineStr">
        <is>
          <t>01:40:00</t>
        </is>
      </c>
      <c r="O1002">
        <f>"LIM-"&amp;G1001&amp;"-LIM   LA "&amp;E1001&amp;" ("&amp;LEFT(H1001,5)&amp;"-"&amp;LEFT(I1001,5)&amp;" hrs)  /  LA "&amp;E1002&amp;" ("&amp;LEFT(H1002,5)&amp;"-"&amp;LEFT(I1002,5)&amp;" hrs)"</f>
        <v/>
      </c>
    </row>
    <row r="1003">
      <c r="J1003" s="8" t="inlineStr">
        <is>
          <t>PSV total:</t>
        </is>
      </c>
      <c r="K1003" s="9">
        <f>TEXT(TIMEVALUE(I1002)-TIMEVALUE(H1001)+(I1002&lt;H1001),"[h]:mm")</f>
        <v/>
      </c>
    </row>
    <row r="1005">
      <c r="B1005" s="3" t="inlineStr">
        <is>
          <t>Pairing ID</t>
        </is>
      </c>
      <c r="C1005" s="3" t="inlineStr">
        <is>
          <t>FECHA REAL</t>
        </is>
      </c>
      <c r="D1005" s="3" t="inlineStr">
        <is>
          <t>Day of Week</t>
        </is>
      </c>
      <c r="E1005" s="3" t="inlineStr">
        <is>
          <t>Flight No</t>
        </is>
      </c>
      <c r="F1005" s="3" t="inlineStr">
        <is>
          <t>Dep Stn</t>
        </is>
      </c>
      <c r="G1005" s="3" t="inlineStr">
        <is>
          <t>Arr Stn</t>
        </is>
      </c>
      <c r="H1005" s="3" t="inlineStr">
        <is>
          <t>STD</t>
        </is>
      </c>
      <c r="I1005" s="3" t="inlineStr">
        <is>
          <t>STA</t>
        </is>
      </c>
      <c r="J1005" s="3" t="inlineStr">
        <is>
          <t>subflota</t>
        </is>
      </c>
      <c r="K1005" s="3" t="inlineStr">
        <is>
          <t>Conexion</t>
        </is>
      </c>
      <c r="L1005" s="3" t="inlineStr">
        <is>
          <t>HBT</t>
        </is>
      </c>
    </row>
    <row r="1006">
      <c r="B1006" s="4" t="n">
        <v>1008</v>
      </c>
      <c r="C1006" s="4" t="inlineStr">
        <is>
          <t>11/09/2026</t>
        </is>
      </c>
      <c r="D1006" s="4" t="inlineStr">
        <is>
          <t>viernes</t>
        </is>
      </c>
      <c r="E1006" s="4" t="n">
        <v>2276</v>
      </c>
      <c r="F1006" s="4" t="inlineStr">
        <is>
          <t>LIM</t>
        </is>
      </c>
      <c r="G1006" s="4" t="inlineStr">
        <is>
          <t>CUZ</t>
        </is>
      </c>
      <c r="H1006" s="4" t="inlineStr">
        <is>
          <t>16:35:00</t>
        </is>
      </c>
      <c r="I1006" s="4" t="inlineStr">
        <is>
          <t>17:55:00</t>
        </is>
      </c>
      <c r="J1006" s="4" t="n">
        <v>320</v>
      </c>
      <c r="L1006" s="4" t="inlineStr">
        <is>
          <t>01:20:00</t>
        </is>
      </c>
      <c r="M1006" s="5" t="n"/>
      <c r="N1006" s="6" t="n"/>
      <c r="O1006" s="5" t="n"/>
      <c r="Q1006" s="4">
        <f>B1006</f>
        <v/>
      </c>
      <c r="R1006" s="4">
        <f>C1006</f>
        <v/>
      </c>
      <c r="S1006" s="4">
        <f>D1006</f>
        <v/>
      </c>
      <c r="T1006" s="4">
        <f>E1006&amp;"/"&amp;E1007</f>
        <v/>
      </c>
      <c r="U1006" s="4">
        <f>F1006&amp;"-"&amp;G1006&amp;"-"&amp;F1006</f>
        <v/>
      </c>
      <c r="V1006" s="4">
        <f>IF($M$1006="","",$M$1006)</f>
        <v/>
      </c>
      <c r="W1006" s="4">
        <f>IF($O$1006="","",$O$1006)</f>
        <v/>
      </c>
      <c r="X1006" s="4">
        <f>J1006</f>
        <v/>
      </c>
    </row>
    <row r="1007">
      <c r="B1007" s="4" t="n">
        <v>1008</v>
      </c>
      <c r="C1007" s="4" t="inlineStr">
        <is>
          <t>11/09/2026</t>
        </is>
      </c>
      <c r="D1007" s="4" t="inlineStr">
        <is>
          <t>viernes</t>
        </is>
      </c>
      <c r="E1007" s="4" t="n">
        <v>2277</v>
      </c>
      <c r="F1007" s="4" t="inlineStr">
        <is>
          <t>CUZ</t>
        </is>
      </c>
      <c r="G1007" s="4" t="inlineStr">
        <is>
          <t>LIM</t>
        </is>
      </c>
      <c r="H1007" s="4" t="inlineStr">
        <is>
          <t>18:50:00</t>
        </is>
      </c>
      <c r="I1007" s="4" t="inlineStr">
        <is>
          <t>20:25:00</t>
        </is>
      </c>
      <c r="J1007" s="4" t="n">
        <v>320</v>
      </c>
      <c r="K1007">
        <f>TEXT(TIMEVALUE(H1007)-TIMEVALUE(I1006)+(TIMEVALUE(H1007)&lt;TIMEVALUE(I1006)),"[h]:mm")</f>
        <v/>
      </c>
      <c r="L1007" s="4" t="inlineStr">
        <is>
          <t>01:35:00</t>
        </is>
      </c>
      <c r="O1007">
        <f>"LIM-"&amp;G1006&amp;"-LIM   LA "&amp;E1006&amp;" ("&amp;LEFT(H1006,5)&amp;"-"&amp;LEFT(I1006,5)&amp;" hrs)  /  LA "&amp;E1007&amp;" ("&amp;LEFT(H1007,5)&amp;"-"&amp;LEFT(I1007,5)&amp;" hrs)"</f>
        <v/>
      </c>
    </row>
    <row r="1008">
      <c r="J1008" s="8" t="inlineStr">
        <is>
          <t>PSV total:</t>
        </is>
      </c>
      <c r="K1008" s="9">
        <f>TEXT(TIMEVALUE(I1007)-TIMEVALUE(H1006)+(I1007&lt;H1006),"[h]:mm")</f>
        <v/>
      </c>
    </row>
    <row r="1010">
      <c r="B1010" s="3" t="inlineStr">
        <is>
          <t>Pairing ID</t>
        </is>
      </c>
      <c r="C1010" s="3" t="inlineStr">
        <is>
          <t>FECHA REAL</t>
        </is>
      </c>
      <c r="D1010" s="3" t="inlineStr">
        <is>
          <t>Day of Week</t>
        </is>
      </c>
      <c r="E1010" s="3" t="inlineStr">
        <is>
          <t>Flight No</t>
        </is>
      </c>
      <c r="F1010" s="3" t="inlineStr">
        <is>
          <t>Dep Stn</t>
        </is>
      </c>
      <c r="G1010" s="3" t="inlineStr">
        <is>
          <t>Arr Stn</t>
        </is>
      </c>
      <c r="H1010" s="3" t="inlineStr">
        <is>
          <t>STD</t>
        </is>
      </c>
      <c r="I1010" s="3" t="inlineStr">
        <is>
          <t>STA</t>
        </is>
      </c>
      <c r="J1010" s="3" t="inlineStr">
        <is>
          <t>subflota</t>
        </is>
      </c>
      <c r="K1010" s="3" t="inlineStr">
        <is>
          <t>Conexion</t>
        </is>
      </c>
      <c r="L1010" s="3" t="inlineStr">
        <is>
          <t>HBT</t>
        </is>
      </c>
    </row>
    <row r="1011">
      <c r="B1011" s="4" t="n">
        <v>1009</v>
      </c>
      <c r="C1011" s="4" t="inlineStr">
        <is>
          <t>11/09/2026</t>
        </is>
      </c>
      <c r="D1011" s="4" t="inlineStr">
        <is>
          <t>viernes</t>
        </is>
      </c>
      <c r="E1011" s="4" t="n">
        <v>2276</v>
      </c>
      <c r="F1011" s="4" t="inlineStr">
        <is>
          <t>LIM</t>
        </is>
      </c>
      <c r="G1011" s="4" t="inlineStr">
        <is>
          <t>CUZ</t>
        </is>
      </c>
      <c r="H1011" s="4" t="inlineStr">
        <is>
          <t>16:35:00</t>
        </is>
      </c>
      <c r="I1011" s="4" t="inlineStr">
        <is>
          <t>17:55:00</t>
        </is>
      </c>
      <c r="J1011" s="4" t="n">
        <v>320</v>
      </c>
      <c r="L1011" s="4" t="inlineStr">
        <is>
          <t>01:20:00</t>
        </is>
      </c>
      <c r="M1011" s="5" t="n"/>
      <c r="N1011" s="6" t="n"/>
      <c r="O1011" s="5" t="n"/>
      <c r="Q1011" s="4">
        <f>B1011</f>
        <v/>
      </c>
      <c r="R1011" s="4">
        <f>C1011</f>
        <v/>
      </c>
      <c r="S1011" s="4">
        <f>D1011</f>
        <v/>
      </c>
      <c r="T1011" s="4">
        <f>E1011&amp;"/"&amp;E1012</f>
        <v/>
      </c>
      <c r="U1011" s="4">
        <f>F1011&amp;"-"&amp;G1011&amp;"-"&amp;F1011</f>
        <v/>
      </c>
      <c r="V1011" s="4">
        <f>IF($M$1011="","",$M$1011)</f>
        <v/>
      </c>
      <c r="W1011" s="4">
        <f>IF($O$1011="","",$O$1011)</f>
        <v/>
      </c>
      <c r="X1011" s="4">
        <f>J1011</f>
        <v/>
      </c>
    </row>
    <row r="1012">
      <c r="B1012" s="4" t="n">
        <v>1009</v>
      </c>
      <c r="C1012" s="4" t="inlineStr">
        <is>
          <t>11/09/2026</t>
        </is>
      </c>
      <c r="D1012" s="4" t="inlineStr">
        <is>
          <t>viernes</t>
        </is>
      </c>
      <c r="E1012" s="4" t="n">
        <v>2277</v>
      </c>
      <c r="F1012" s="4" t="inlineStr">
        <is>
          <t>CUZ</t>
        </is>
      </c>
      <c r="G1012" s="4" t="inlineStr">
        <is>
          <t>LIM</t>
        </is>
      </c>
      <c r="H1012" s="4" t="inlineStr">
        <is>
          <t>18:50:00</t>
        </is>
      </c>
      <c r="I1012" s="4" t="inlineStr">
        <is>
          <t>20:25:00</t>
        </is>
      </c>
      <c r="J1012" s="4" t="n">
        <v>320</v>
      </c>
      <c r="K1012">
        <f>TEXT(TIMEVALUE(H1012)-TIMEVALUE(I1011)+(TIMEVALUE(H1012)&lt;TIMEVALUE(I1011)),"[h]:mm")</f>
        <v/>
      </c>
      <c r="L1012" s="4" t="inlineStr">
        <is>
          <t>01:35:00</t>
        </is>
      </c>
      <c r="O1012">
        <f>"LIM-"&amp;G1011&amp;"-LIM   LA "&amp;E1011&amp;" ("&amp;LEFT(H1011,5)&amp;"-"&amp;LEFT(I1011,5)&amp;" hrs)  /  LA "&amp;E1012&amp;" ("&amp;LEFT(H1012,5)&amp;"-"&amp;LEFT(I1012,5)&amp;" hrs)"</f>
        <v/>
      </c>
    </row>
    <row r="1013">
      <c r="J1013" s="8" t="inlineStr">
        <is>
          <t>PSV total:</t>
        </is>
      </c>
      <c r="K1013" s="9">
        <f>TEXT(TIMEVALUE(I1012)-TIMEVALUE(H1011)+(I1012&lt;H1011),"[h]:mm")</f>
        <v/>
      </c>
    </row>
    <row r="1015">
      <c r="B1015" s="3" t="inlineStr">
        <is>
          <t>Pairing ID</t>
        </is>
      </c>
      <c r="C1015" s="3" t="inlineStr">
        <is>
          <t>FECHA REAL</t>
        </is>
      </c>
      <c r="D1015" s="3" t="inlineStr">
        <is>
          <t>Day of Week</t>
        </is>
      </c>
      <c r="E1015" s="3" t="inlineStr">
        <is>
          <t>Flight No</t>
        </is>
      </c>
      <c r="F1015" s="3" t="inlineStr">
        <is>
          <t>Dep Stn</t>
        </is>
      </c>
      <c r="G1015" s="3" t="inlineStr">
        <is>
          <t>Arr Stn</t>
        </is>
      </c>
      <c r="H1015" s="3" t="inlineStr">
        <is>
          <t>STD</t>
        </is>
      </c>
      <c r="I1015" s="3" t="inlineStr">
        <is>
          <t>STA</t>
        </is>
      </c>
      <c r="J1015" s="3" t="inlineStr">
        <is>
          <t>subflota</t>
        </is>
      </c>
      <c r="K1015" s="3" t="inlineStr">
        <is>
          <t>Conexion</t>
        </is>
      </c>
      <c r="L1015" s="3" t="inlineStr">
        <is>
          <t>HBT</t>
        </is>
      </c>
    </row>
    <row r="1016">
      <c r="B1016" s="4" t="n">
        <v>1014</v>
      </c>
      <c r="C1016" s="4" t="inlineStr">
        <is>
          <t>11/09/2026</t>
        </is>
      </c>
      <c r="D1016" s="4" t="inlineStr">
        <is>
          <t>viernes</t>
        </is>
      </c>
      <c r="E1016" s="4" t="n">
        <v>2310</v>
      </c>
      <c r="F1016" s="4" t="inlineStr">
        <is>
          <t>LIM</t>
        </is>
      </c>
      <c r="G1016" s="4" t="inlineStr">
        <is>
          <t>CIX</t>
        </is>
      </c>
      <c r="H1016" s="4" t="inlineStr">
        <is>
          <t>18:20:00</t>
        </is>
      </c>
      <c r="I1016" s="4" t="inlineStr">
        <is>
          <t>19:45:00</t>
        </is>
      </c>
      <c r="J1016" s="4" t="n">
        <v>320</v>
      </c>
      <c r="L1016" s="4" t="inlineStr">
        <is>
          <t>01:25:00</t>
        </is>
      </c>
      <c r="M1016" s="5" t="n"/>
      <c r="N1016" s="6" t="n"/>
      <c r="O1016" s="5" t="n"/>
      <c r="Q1016" s="4">
        <f>B1016</f>
        <v/>
      </c>
      <c r="R1016" s="4">
        <f>C1016</f>
        <v/>
      </c>
      <c r="S1016" s="4">
        <f>D1016</f>
        <v/>
      </c>
      <c r="T1016" s="4">
        <f>E1016&amp;"/"&amp;E1017</f>
        <v/>
      </c>
      <c r="U1016" s="4">
        <f>F1016&amp;"-"&amp;G1016&amp;"-"&amp;F1016</f>
        <v/>
      </c>
      <c r="V1016" s="4">
        <f>IF($M$1016="","",$M$1016)</f>
        <v/>
      </c>
      <c r="W1016" s="4">
        <f>IF($O$1016="","",$O$1016)</f>
        <v/>
      </c>
      <c r="X1016" s="4">
        <f>J1016</f>
        <v/>
      </c>
    </row>
    <row r="1017">
      <c r="B1017" s="4" t="n">
        <v>1014</v>
      </c>
      <c r="C1017" s="4" t="inlineStr">
        <is>
          <t>11/09/2026</t>
        </is>
      </c>
      <c r="D1017" s="4" t="inlineStr">
        <is>
          <t>viernes</t>
        </is>
      </c>
      <c r="E1017" s="4" t="n">
        <v>2311</v>
      </c>
      <c r="F1017" s="4" t="inlineStr">
        <is>
          <t>CIX</t>
        </is>
      </c>
      <c r="G1017" s="4" t="inlineStr">
        <is>
          <t>LIM</t>
        </is>
      </c>
      <c r="H1017" s="4" t="inlineStr">
        <is>
          <t>20:20:00</t>
        </is>
      </c>
      <c r="I1017" s="4" t="inlineStr">
        <is>
          <t>21:35:00</t>
        </is>
      </c>
      <c r="J1017" s="4" t="n">
        <v>320</v>
      </c>
      <c r="K1017">
        <f>TEXT(TIMEVALUE(H1017)-TIMEVALUE(I1016)+(TIMEVALUE(H1017)&lt;TIMEVALUE(I1016)),"[h]:mm")</f>
        <v/>
      </c>
      <c r="L1017" s="4" t="inlineStr">
        <is>
          <t>01:15:00</t>
        </is>
      </c>
      <c r="O1017">
        <f>"LIM-"&amp;G1016&amp;"-LIM   LA "&amp;E1016&amp;" ("&amp;LEFT(H1016,5)&amp;"-"&amp;LEFT(I1016,5)&amp;" hrs)  /  LA "&amp;E1017&amp;" ("&amp;LEFT(H1017,5)&amp;"-"&amp;LEFT(I1017,5)&amp;" hrs)"</f>
        <v/>
      </c>
    </row>
    <row r="1018">
      <c r="J1018" s="8" t="inlineStr">
        <is>
          <t>PSV total:</t>
        </is>
      </c>
      <c r="K1018" s="9">
        <f>TEXT(TIMEVALUE(I1017)-TIMEVALUE(H1016)+(I1017&lt;H1016),"[h]:mm")</f>
        <v/>
      </c>
    </row>
    <row r="1020">
      <c r="B1020" s="3" t="inlineStr">
        <is>
          <t>Pairing ID</t>
        </is>
      </c>
      <c r="C1020" s="3" t="inlineStr">
        <is>
          <t>FECHA REAL</t>
        </is>
      </c>
      <c r="D1020" s="3" t="inlineStr">
        <is>
          <t>Day of Week</t>
        </is>
      </c>
      <c r="E1020" s="3" t="inlineStr">
        <is>
          <t>Flight No</t>
        </is>
      </c>
      <c r="F1020" s="3" t="inlineStr">
        <is>
          <t>Dep Stn</t>
        </is>
      </c>
      <c r="G1020" s="3" t="inlineStr">
        <is>
          <t>Arr Stn</t>
        </is>
      </c>
      <c r="H1020" s="3" t="inlineStr">
        <is>
          <t>STD</t>
        </is>
      </c>
      <c r="I1020" s="3" t="inlineStr">
        <is>
          <t>STA</t>
        </is>
      </c>
      <c r="J1020" s="3" t="inlineStr">
        <is>
          <t>subflota</t>
        </is>
      </c>
      <c r="K1020" s="3" t="inlineStr">
        <is>
          <t>Conexion</t>
        </is>
      </c>
      <c r="L1020" s="3" t="inlineStr">
        <is>
          <t>HBT</t>
        </is>
      </c>
    </row>
    <row r="1021">
      <c r="B1021" s="4" t="n">
        <v>1016</v>
      </c>
      <c r="C1021" s="4" t="inlineStr">
        <is>
          <t>11/09/2026</t>
        </is>
      </c>
      <c r="D1021" s="4" t="inlineStr">
        <is>
          <t>viernes</t>
        </is>
      </c>
      <c r="E1021" s="4" t="n">
        <v>2117</v>
      </c>
      <c r="F1021" s="4" t="inlineStr">
        <is>
          <t>LIM</t>
        </is>
      </c>
      <c r="G1021" s="4" t="inlineStr">
        <is>
          <t>AQP</t>
        </is>
      </c>
      <c r="H1021" s="4" t="inlineStr">
        <is>
          <t>18:35:00</t>
        </is>
      </c>
      <c r="I1021" s="4" t="inlineStr">
        <is>
          <t>20:05:00</t>
        </is>
      </c>
      <c r="J1021" s="4" t="n">
        <v>320</v>
      </c>
      <c r="L1021" s="4" t="inlineStr">
        <is>
          <t>01:30:00</t>
        </is>
      </c>
      <c r="M1021" s="5" t="n"/>
      <c r="N1021" s="6" t="n"/>
      <c r="O1021" s="5" t="n"/>
      <c r="Q1021" s="4">
        <f>B1021</f>
        <v/>
      </c>
      <c r="R1021" s="4">
        <f>C1021</f>
        <v/>
      </c>
      <c r="S1021" s="4">
        <f>D1021</f>
        <v/>
      </c>
      <c r="T1021" s="4">
        <f>E1021&amp;"/"&amp;E1022</f>
        <v/>
      </c>
      <c r="U1021" s="4">
        <f>F1021&amp;"-"&amp;G1021&amp;"-"&amp;F1021</f>
        <v/>
      </c>
      <c r="V1021" s="4">
        <f>IF($M$1021="","",$M$1021)</f>
        <v/>
      </c>
      <c r="W1021" s="4">
        <f>IF($O$1021="","",$O$1021)</f>
        <v/>
      </c>
      <c r="X1021" s="4">
        <f>J1021</f>
        <v/>
      </c>
    </row>
    <row r="1022">
      <c r="B1022" s="4" t="n">
        <v>1016</v>
      </c>
      <c r="C1022" s="4" t="inlineStr">
        <is>
          <t>11/09/2026</t>
        </is>
      </c>
      <c r="D1022" s="4" t="inlineStr">
        <is>
          <t>viernes</t>
        </is>
      </c>
      <c r="E1022" s="4" t="n">
        <v>2116</v>
      </c>
      <c r="F1022" s="4" t="inlineStr">
        <is>
          <t>AQP</t>
        </is>
      </c>
      <c r="G1022" s="4" t="inlineStr">
        <is>
          <t>LIM</t>
        </is>
      </c>
      <c r="H1022" s="4" t="inlineStr">
        <is>
          <t>20:40:00</t>
        </is>
      </c>
      <c r="I1022" s="4" t="inlineStr">
        <is>
          <t>22:20:00</t>
        </is>
      </c>
      <c r="J1022" s="4" t="n">
        <v>320</v>
      </c>
      <c r="K1022">
        <f>TEXT(TIMEVALUE(H1022)-TIMEVALUE(I1021)+(TIMEVALUE(H1022)&lt;TIMEVALUE(I1021)),"[h]:mm")</f>
        <v/>
      </c>
      <c r="L1022" s="4" t="inlineStr">
        <is>
          <t>01:40:00</t>
        </is>
      </c>
      <c r="O1022">
        <f>"LIM-"&amp;G1021&amp;"-LIM   LA "&amp;E1021&amp;" ("&amp;LEFT(H1021,5)&amp;"-"&amp;LEFT(I1021,5)&amp;" hrs)  /  LA "&amp;E1022&amp;" ("&amp;LEFT(H1022,5)&amp;"-"&amp;LEFT(I1022,5)&amp;" hrs)"</f>
        <v/>
      </c>
    </row>
    <row r="1023">
      <c r="J1023" s="8" t="inlineStr">
        <is>
          <t>PSV total:</t>
        </is>
      </c>
      <c r="K1023" s="9">
        <f>TEXT(TIMEVALUE(I1022)-TIMEVALUE(H1021)+(I1022&lt;H1021),"[h]:mm")</f>
        <v/>
      </c>
    </row>
    <row r="1025">
      <c r="B1025" s="3" t="inlineStr">
        <is>
          <t>Pairing ID</t>
        </is>
      </c>
      <c r="C1025" s="3" t="inlineStr">
        <is>
          <t>FECHA REAL</t>
        </is>
      </c>
      <c r="D1025" s="3" t="inlineStr">
        <is>
          <t>Day of Week</t>
        </is>
      </c>
      <c r="E1025" s="3" t="inlineStr">
        <is>
          <t>Flight No</t>
        </is>
      </c>
      <c r="F1025" s="3" t="inlineStr">
        <is>
          <t>Dep Stn</t>
        </is>
      </c>
      <c r="G1025" s="3" t="inlineStr">
        <is>
          <t>Arr Stn</t>
        </is>
      </c>
      <c r="H1025" s="3" t="inlineStr">
        <is>
          <t>STD</t>
        </is>
      </c>
      <c r="I1025" s="3" t="inlineStr">
        <is>
          <t>STA</t>
        </is>
      </c>
      <c r="J1025" s="3" t="inlineStr">
        <is>
          <t>subflota</t>
        </is>
      </c>
      <c r="K1025" s="3" t="inlineStr">
        <is>
          <t>Conexion</t>
        </is>
      </c>
      <c r="L1025" s="3" t="inlineStr">
        <is>
          <t>HBT</t>
        </is>
      </c>
    </row>
    <row r="1026">
      <c r="B1026" s="4" t="n">
        <v>1069</v>
      </c>
      <c r="C1026" s="4" t="inlineStr">
        <is>
          <t>12/09/2026</t>
        </is>
      </c>
      <c r="D1026" s="4" t="inlineStr">
        <is>
          <t>sábado</t>
        </is>
      </c>
      <c r="E1026" s="4" t="n">
        <v>2019</v>
      </c>
      <c r="F1026" s="4" t="inlineStr">
        <is>
          <t>LIM</t>
        </is>
      </c>
      <c r="G1026" s="4" t="inlineStr">
        <is>
          <t>IQT</t>
        </is>
      </c>
      <c r="H1026" s="4" t="inlineStr">
        <is>
          <t>11:35:00</t>
        </is>
      </c>
      <c r="I1026" s="4" t="inlineStr">
        <is>
          <t>13:25:00</t>
        </is>
      </c>
      <c r="J1026" s="4" t="n">
        <v>320</v>
      </c>
      <c r="L1026" s="4" t="inlineStr">
        <is>
          <t>01:50:00</t>
        </is>
      </c>
      <c r="M1026" s="5" t="n"/>
      <c r="N1026" s="6" t="n"/>
      <c r="O1026" s="5" t="n"/>
      <c r="Q1026" s="4">
        <f>B1026</f>
        <v/>
      </c>
      <c r="R1026" s="4">
        <f>C1026</f>
        <v/>
      </c>
      <c r="S1026" s="4">
        <f>D1026</f>
        <v/>
      </c>
      <c r="T1026" s="4">
        <f>E1026&amp;"/"&amp;E1027</f>
        <v/>
      </c>
      <c r="U1026" s="4">
        <f>F1026&amp;"-"&amp;G1026&amp;"-"&amp;F1026</f>
        <v/>
      </c>
      <c r="V1026" s="4">
        <f>IF($M$1026="","",$M$1026)</f>
        <v/>
      </c>
      <c r="W1026" s="4">
        <f>IF($O$1026="","",$O$1026)</f>
        <v/>
      </c>
      <c r="X1026" s="4">
        <f>J1026</f>
        <v/>
      </c>
    </row>
    <row r="1027">
      <c r="B1027" s="4" t="n">
        <v>1069</v>
      </c>
      <c r="C1027" s="4" t="inlineStr">
        <is>
          <t>12/09/2026</t>
        </is>
      </c>
      <c r="D1027" s="4" t="inlineStr">
        <is>
          <t>sábado</t>
        </is>
      </c>
      <c r="E1027" s="4" t="n">
        <v>2038</v>
      </c>
      <c r="F1027" s="4" t="inlineStr">
        <is>
          <t>IQT</t>
        </is>
      </c>
      <c r="G1027" s="4" t="inlineStr">
        <is>
          <t>LIM</t>
        </is>
      </c>
      <c r="H1027" s="4" t="inlineStr">
        <is>
          <t>14:05:00</t>
        </is>
      </c>
      <c r="I1027" s="4" t="inlineStr">
        <is>
          <t>15:55:00</t>
        </is>
      </c>
      <c r="J1027" s="4" t="n">
        <v>320</v>
      </c>
      <c r="K1027">
        <f>TEXT(TIMEVALUE(H1027)-TIMEVALUE(I1026)+(TIMEVALUE(H1027)&lt;TIMEVALUE(I1026)),"[h]:mm")</f>
        <v/>
      </c>
      <c r="L1027" s="4" t="inlineStr">
        <is>
          <t>01:50:00</t>
        </is>
      </c>
      <c r="O1027">
        <f>"LIM-"&amp;G1026&amp;"-LIM   LA "&amp;E1026&amp;" ("&amp;LEFT(H1026,5)&amp;"-"&amp;LEFT(I1026,5)&amp;" hrs)  /  LA "&amp;E1027&amp;" ("&amp;LEFT(H1027,5)&amp;"-"&amp;LEFT(I1027,5)&amp;" hrs)"</f>
        <v/>
      </c>
    </row>
    <row r="1028">
      <c r="J1028" s="8" t="inlineStr">
        <is>
          <t>PSV total:</t>
        </is>
      </c>
      <c r="K1028" s="9">
        <f>TEXT(TIMEVALUE(I1027)-TIMEVALUE(H1026)+(I1027&lt;H1026),"[h]:mm")</f>
        <v/>
      </c>
    </row>
    <row r="1030">
      <c r="B1030" s="3" t="inlineStr">
        <is>
          <t>Pairing ID</t>
        </is>
      </c>
      <c r="C1030" s="3" t="inlineStr">
        <is>
          <t>FECHA REAL</t>
        </is>
      </c>
      <c r="D1030" s="3" t="inlineStr">
        <is>
          <t>Day of Week</t>
        </is>
      </c>
      <c r="E1030" s="3" t="inlineStr">
        <is>
          <t>Flight No</t>
        </is>
      </c>
      <c r="F1030" s="3" t="inlineStr">
        <is>
          <t>Dep Stn</t>
        </is>
      </c>
      <c r="G1030" s="3" t="inlineStr">
        <is>
          <t>Arr Stn</t>
        </is>
      </c>
      <c r="H1030" s="3" t="inlineStr">
        <is>
          <t>STD</t>
        </is>
      </c>
      <c r="I1030" s="3" t="inlineStr">
        <is>
          <t>STA</t>
        </is>
      </c>
      <c r="J1030" s="3" t="inlineStr">
        <is>
          <t>subflota</t>
        </is>
      </c>
      <c r="K1030" s="3" t="inlineStr">
        <is>
          <t>Conexion</t>
        </is>
      </c>
      <c r="L1030" s="3" t="inlineStr">
        <is>
          <t>HBT</t>
        </is>
      </c>
    </row>
    <row r="1031">
      <c r="B1031" s="4" t="n">
        <v>1070</v>
      </c>
      <c r="C1031" s="4" t="inlineStr">
        <is>
          <t>12/09/2026</t>
        </is>
      </c>
      <c r="D1031" s="4" t="inlineStr">
        <is>
          <t>sábado</t>
        </is>
      </c>
      <c r="E1031" s="4" t="n">
        <v>2299</v>
      </c>
      <c r="F1031" s="4" t="inlineStr">
        <is>
          <t>LIM</t>
        </is>
      </c>
      <c r="G1031" s="4" t="inlineStr">
        <is>
          <t>CJA</t>
        </is>
      </c>
      <c r="H1031" s="4" t="inlineStr">
        <is>
          <t>11:35:00</t>
        </is>
      </c>
      <c r="I1031" s="4" t="inlineStr">
        <is>
          <t>12:55:00</t>
        </is>
      </c>
      <c r="J1031" s="4" t="n">
        <v>320</v>
      </c>
      <c r="L1031" s="4" t="inlineStr">
        <is>
          <t>01:20:00</t>
        </is>
      </c>
      <c r="M1031" s="5" t="n"/>
      <c r="N1031" s="6" t="n"/>
      <c r="O1031" s="5" t="n"/>
      <c r="Q1031" s="4">
        <f>B1031</f>
        <v/>
      </c>
      <c r="R1031" s="4">
        <f>C1031</f>
        <v/>
      </c>
      <c r="S1031" s="4">
        <f>D1031</f>
        <v/>
      </c>
      <c r="T1031" s="4">
        <f>E1031&amp;"/"&amp;E1032</f>
        <v/>
      </c>
      <c r="U1031" s="4">
        <f>F1031&amp;"-"&amp;G1031&amp;"-"&amp;F1031</f>
        <v/>
      </c>
      <c r="V1031" s="4">
        <f>IF($M$1031="","",$M$1031)</f>
        <v/>
      </c>
      <c r="W1031" s="4">
        <f>IF($O$1031="","",$O$1031)</f>
        <v/>
      </c>
      <c r="X1031" s="4">
        <f>J1031</f>
        <v/>
      </c>
    </row>
    <row r="1032">
      <c r="B1032" s="4" t="n">
        <v>1070</v>
      </c>
      <c r="C1032" s="4" t="inlineStr">
        <is>
          <t>12/09/2026</t>
        </is>
      </c>
      <c r="D1032" s="4" t="inlineStr">
        <is>
          <t>sábado</t>
        </is>
      </c>
      <c r="E1032" s="4" t="n">
        <v>2298</v>
      </c>
      <c r="F1032" s="4" t="inlineStr">
        <is>
          <t>CJA</t>
        </is>
      </c>
      <c r="G1032" s="4" t="inlineStr">
        <is>
          <t>LIM</t>
        </is>
      </c>
      <c r="H1032" s="4" t="inlineStr">
        <is>
          <t>13:40:00</t>
        </is>
      </c>
      <c r="I1032" s="4" t="inlineStr">
        <is>
          <t>14:50:00</t>
        </is>
      </c>
      <c r="J1032" s="4" t="n">
        <v>320</v>
      </c>
      <c r="K1032">
        <f>TEXT(TIMEVALUE(H1032)-TIMEVALUE(I1031)+(TIMEVALUE(H1032)&lt;TIMEVALUE(I1031)),"[h]:mm")</f>
        <v/>
      </c>
      <c r="L1032" s="4" t="inlineStr">
        <is>
          <t>01:10:00</t>
        </is>
      </c>
      <c r="O1032">
        <f>"LIM-"&amp;G1031&amp;"-LIM   LA "&amp;E1031&amp;" ("&amp;LEFT(H1031,5)&amp;"-"&amp;LEFT(I1031,5)&amp;" hrs)  /  LA "&amp;E1032&amp;" ("&amp;LEFT(H1032,5)&amp;"-"&amp;LEFT(I1032,5)&amp;" hrs)"</f>
        <v/>
      </c>
    </row>
    <row r="1033">
      <c r="J1033" s="8" t="inlineStr">
        <is>
          <t>PSV total:</t>
        </is>
      </c>
      <c r="K1033" s="9">
        <f>TEXT(TIMEVALUE(I1032)-TIMEVALUE(H1031)+(I1032&lt;H1031),"[h]:mm")</f>
        <v/>
      </c>
    </row>
    <row r="1035">
      <c r="B1035" s="3" t="inlineStr">
        <is>
          <t>Pairing ID</t>
        </is>
      </c>
      <c r="C1035" s="3" t="inlineStr">
        <is>
          <t>FECHA REAL</t>
        </is>
      </c>
      <c r="D1035" s="3" t="inlineStr">
        <is>
          <t>Day of Week</t>
        </is>
      </c>
      <c r="E1035" s="3" t="inlineStr">
        <is>
          <t>Flight No</t>
        </is>
      </c>
      <c r="F1035" s="3" t="inlineStr">
        <is>
          <t>Dep Stn</t>
        </is>
      </c>
      <c r="G1035" s="3" t="inlineStr">
        <is>
          <t>Arr Stn</t>
        </is>
      </c>
      <c r="H1035" s="3" t="inlineStr">
        <is>
          <t>STD</t>
        </is>
      </c>
      <c r="I1035" s="3" t="inlineStr">
        <is>
          <t>STA</t>
        </is>
      </c>
      <c r="J1035" s="3" t="inlineStr">
        <is>
          <t>subflota</t>
        </is>
      </c>
      <c r="K1035" s="3" t="inlineStr">
        <is>
          <t>Conexion</t>
        </is>
      </c>
      <c r="L1035" s="3" t="inlineStr">
        <is>
          <t>HBT</t>
        </is>
      </c>
    </row>
    <row r="1036">
      <c r="B1036" s="4" t="n">
        <v>1072</v>
      </c>
      <c r="C1036" s="4" t="inlineStr">
        <is>
          <t>12/09/2026</t>
        </is>
      </c>
      <c r="D1036" s="4" t="inlineStr">
        <is>
          <t>sábado</t>
        </is>
      </c>
      <c r="E1036" s="4" t="n">
        <v>2061</v>
      </c>
      <c r="F1036" s="4" t="inlineStr">
        <is>
          <t>LIM</t>
        </is>
      </c>
      <c r="G1036" s="4" t="inlineStr">
        <is>
          <t>CUZ</t>
        </is>
      </c>
      <c r="H1036" s="4" t="inlineStr">
        <is>
          <t>11:40:00</t>
        </is>
      </c>
      <c r="I1036" s="4" t="inlineStr">
        <is>
          <t>13:00:00</t>
        </is>
      </c>
      <c r="J1036" s="4" t="n">
        <v>320</v>
      </c>
      <c r="L1036" s="4" t="inlineStr">
        <is>
          <t>01:20:00</t>
        </is>
      </c>
      <c r="M1036" s="5" t="n"/>
      <c r="N1036" s="6" t="n"/>
      <c r="O1036" s="5" t="n"/>
      <c r="Q1036" s="4">
        <f>B1036</f>
        <v/>
      </c>
      <c r="R1036" s="4">
        <f>C1036</f>
        <v/>
      </c>
      <c r="S1036" s="4">
        <f>D1036</f>
        <v/>
      </c>
      <c r="T1036" s="4">
        <f>E1036&amp;"/"&amp;E1037</f>
        <v/>
      </c>
      <c r="U1036" s="4">
        <f>F1036&amp;"-"&amp;G1036&amp;"-"&amp;F1036</f>
        <v/>
      </c>
      <c r="V1036" s="4">
        <f>IF($M$1036="","",$M$1036)</f>
        <v/>
      </c>
      <c r="W1036" s="4">
        <f>IF($O$1036="","",$O$1036)</f>
        <v/>
      </c>
      <c r="X1036" s="4">
        <f>J1036</f>
        <v/>
      </c>
    </row>
    <row r="1037">
      <c r="B1037" s="4" t="n">
        <v>1072</v>
      </c>
      <c r="C1037" s="4" t="inlineStr">
        <is>
          <t>12/09/2026</t>
        </is>
      </c>
      <c r="D1037" s="4" t="inlineStr">
        <is>
          <t>sábado</t>
        </is>
      </c>
      <c r="E1037" s="4" t="n">
        <v>2062</v>
      </c>
      <c r="F1037" s="4" t="inlineStr">
        <is>
          <t>CUZ</t>
        </is>
      </c>
      <c r="G1037" s="4" t="inlineStr">
        <is>
          <t>LIM</t>
        </is>
      </c>
      <c r="H1037" s="4" t="inlineStr">
        <is>
          <t>13:40:00</t>
        </is>
      </c>
      <c r="I1037" s="4" t="inlineStr">
        <is>
          <t>15:15:00</t>
        </is>
      </c>
      <c r="J1037" s="4" t="n">
        <v>320</v>
      </c>
      <c r="K1037">
        <f>TEXT(TIMEVALUE(H1037)-TIMEVALUE(I1036)+(TIMEVALUE(H1037)&lt;TIMEVALUE(I1036)),"[h]:mm")</f>
        <v/>
      </c>
      <c r="L1037" s="4" t="inlineStr">
        <is>
          <t>01:35:00</t>
        </is>
      </c>
      <c r="O1037">
        <f>"LIM-"&amp;G1036&amp;"-LIM   LA "&amp;E1036&amp;" ("&amp;LEFT(H1036,5)&amp;"-"&amp;LEFT(I1036,5)&amp;" hrs)  /  LA "&amp;E1037&amp;" ("&amp;LEFT(H1037,5)&amp;"-"&amp;LEFT(I1037,5)&amp;" hrs)"</f>
        <v/>
      </c>
    </row>
    <row r="1038">
      <c r="B1038" s="4" t="n">
        <v>1098</v>
      </c>
      <c r="C1038" s="4" t="inlineStr">
        <is>
          <t>12/09/2026</t>
        </is>
      </c>
      <c r="D1038" s="4" t="inlineStr">
        <is>
          <t>sábado</t>
        </is>
      </c>
      <c r="E1038" s="4" t="n">
        <v>2276</v>
      </c>
      <c r="F1038" s="4" t="inlineStr">
        <is>
          <t>LIM</t>
        </is>
      </c>
      <c r="G1038" s="4" t="inlineStr">
        <is>
          <t>CUZ</t>
        </is>
      </c>
      <c r="H1038" s="4" t="inlineStr">
        <is>
          <t>16:35:00</t>
        </is>
      </c>
      <c r="I1038" s="4" t="inlineStr">
        <is>
          <t>17:55:00</t>
        </is>
      </c>
      <c r="J1038" s="4" t="n">
        <v>320</v>
      </c>
      <c r="K1038" s="7">
        <f>TEXT(TIMEVALUE(H1038)-TIMEVALUE(I1037)+(TIMEVALUE(H1038)&lt;TIMEVALUE(I1037)),"[h]:mm")</f>
        <v/>
      </c>
      <c r="L1038" s="4" t="inlineStr">
        <is>
          <t>01:20:00</t>
        </is>
      </c>
      <c r="M1038">
        <f>IF($M$1036="","",$M$1036)</f>
        <v/>
      </c>
      <c r="O1038">
        <f>IF($O$1036="","",$O$1036)</f>
        <v/>
      </c>
      <c r="Q1038" s="4">
        <f>B1038</f>
        <v/>
      </c>
      <c r="R1038" s="4">
        <f>C1038</f>
        <v/>
      </c>
      <c r="S1038" s="4">
        <f>D1038</f>
        <v/>
      </c>
      <c r="T1038" s="4">
        <f>E1038&amp;"/"&amp;E1039</f>
        <v/>
      </c>
      <c r="U1038" s="4">
        <f>F1038&amp;"-"&amp;G1038&amp;"-"&amp;F1038</f>
        <v/>
      </c>
      <c r="V1038" s="4">
        <f>IF($M$1036="","",$M$1036)</f>
        <v/>
      </c>
      <c r="W1038" s="4">
        <f>IF($O$1036="","",$O$1036)</f>
        <v/>
      </c>
      <c r="X1038" s="4">
        <f>J1038</f>
        <v/>
      </c>
    </row>
    <row r="1039">
      <c r="B1039" s="4" t="n">
        <v>1098</v>
      </c>
      <c r="C1039" s="4" t="inlineStr">
        <is>
          <t>12/09/2026</t>
        </is>
      </c>
      <c r="D1039" s="4" t="inlineStr">
        <is>
          <t>sábado</t>
        </is>
      </c>
      <c r="E1039" s="4" t="n">
        <v>2277</v>
      </c>
      <c r="F1039" s="4" t="inlineStr">
        <is>
          <t>CUZ</t>
        </is>
      </c>
      <c r="G1039" s="4" t="inlineStr">
        <is>
          <t>LIM</t>
        </is>
      </c>
      <c r="H1039" s="4" t="inlineStr">
        <is>
          <t>18:50:00</t>
        </is>
      </c>
      <c r="I1039" s="4" t="inlineStr">
        <is>
          <t>20:25:00</t>
        </is>
      </c>
      <c r="J1039" s="4" t="n">
        <v>320</v>
      </c>
      <c r="K1039">
        <f>TEXT(TIMEVALUE(H1039)-TIMEVALUE(I1038)+(TIMEVALUE(H1039)&lt;TIMEVALUE(I1038)),"[h]:mm")</f>
        <v/>
      </c>
      <c r="L1039" s="4" t="inlineStr">
        <is>
          <t>01:35:00</t>
        </is>
      </c>
      <c r="O1039">
        <f>"LIM-"&amp;G1038&amp;"-LIM   LA "&amp;E1038&amp;" ("&amp;LEFT(H1038,5)&amp;"-"&amp;LEFT(I1038,5)&amp;" hrs)  /  LA "&amp;E1039&amp;" ("&amp;LEFT(H1039,5)&amp;"-"&amp;LEFT(I1039,5)&amp;" hrs)"</f>
        <v/>
      </c>
    </row>
    <row r="1040">
      <c r="J1040" s="8" t="inlineStr">
        <is>
          <t>PSV total:</t>
        </is>
      </c>
      <c r="K1040" s="9">
        <f>TEXT(TIMEVALUE(I1039)-TIMEVALUE(H1036)+(I1039&lt;H1036),"[h]:mm")</f>
        <v/>
      </c>
    </row>
    <row r="1042">
      <c r="B1042" s="3" t="inlineStr">
        <is>
          <t>Pairing ID</t>
        </is>
      </c>
      <c r="C1042" s="3" t="inlineStr">
        <is>
          <t>FECHA REAL</t>
        </is>
      </c>
      <c r="D1042" s="3" t="inlineStr">
        <is>
          <t>Day of Week</t>
        </is>
      </c>
      <c r="E1042" s="3" t="inlineStr">
        <is>
          <t>Flight No</t>
        </is>
      </c>
      <c r="F1042" s="3" t="inlineStr">
        <is>
          <t>Dep Stn</t>
        </is>
      </c>
      <c r="G1042" s="3" t="inlineStr">
        <is>
          <t>Arr Stn</t>
        </is>
      </c>
      <c r="H1042" s="3" t="inlineStr">
        <is>
          <t>STD</t>
        </is>
      </c>
      <c r="I1042" s="3" t="inlineStr">
        <is>
          <t>STA</t>
        </is>
      </c>
      <c r="J1042" s="3" t="inlineStr">
        <is>
          <t>subflota</t>
        </is>
      </c>
      <c r="K1042" s="3" t="inlineStr">
        <is>
          <t>Conexion</t>
        </is>
      </c>
      <c r="L1042" s="3" t="inlineStr">
        <is>
          <t>HBT</t>
        </is>
      </c>
    </row>
    <row r="1043">
      <c r="B1043" s="4" t="n">
        <v>1082</v>
      </c>
      <c r="C1043" s="4" t="inlineStr">
        <is>
          <t>12/09/2026</t>
        </is>
      </c>
      <c r="D1043" s="4" t="inlineStr">
        <is>
          <t>sábado</t>
        </is>
      </c>
      <c r="E1043" s="4" t="n">
        <v>2028</v>
      </c>
      <c r="F1043" s="4" t="inlineStr">
        <is>
          <t>LIM</t>
        </is>
      </c>
      <c r="G1043" s="4" t="inlineStr">
        <is>
          <t>CUZ</t>
        </is>
      </c>
      <c r="H1043" s="4" t="inlineStr">
        <is>
          <t>13:25:00</t>
        </is>
      </c>
      <c r="I1043" s="4" t="inlineStr">
        <is>
          <t>14:45:00</t>
        </is>
      </c>
      <c r="J1043" s="4" t="n">
        <v>320</v>
      </c>
      <c r="L1043" s="4" t="inlineStr">
        <is>
          <t>01:20:00</t>
        </is>
      </c>
      <c r="M1043" s="5" t="n"/>
      <c r="N1043" s="6" t="n"/>
      <c r="O1043" s="5" t="n"/>
      <c r="Q1043" s="4">
        <f>B1043</f>
        <v/>
      </c>
      <c r="R1043" s="4">
        <f>C1043</f>
        <v/>
      </c>
      <c r="S1043" s="4">
        <f>D1043</f>
        <v/>
      </c>
      <c r="T1043" s="4">
        <f>E1043&amp;"/"&amp;E1044</f>
        <v/>
      </c>
      <c r="U1043" s="4">
        <f>F1043&amp;"-"&amp;G1043&amp;"-"&amp;F1043</f>
        <v/>
      </c>
      <c r="V1043" s="4">
        <f>IF($M$1043="","",$M$1043)</f>
        <v/>
      </c>
      <c r="W1043" s="4">
        <f>IF($O$1043="","",$O$1043)</f>
        <v/>
      </c>
      <c r="X1043" s="4">
        <f>J1043</f>
        <v/>
      </c>
    </row>
    <row r="1044">
      <c r="B1044" s="4" t="n">
        <v>1082</v>
      </c>
      <c r="C1044" s="4" t="inlineStr">
        <is>
          <t>12/09/2026</t>
        </is>
      </c>
      <c r="D1044" s="4" t="inlineStr">
        <is>
          <t>sábado</t>
        </is>
      </c>
      <c r="E1044" s="4" t="n">
        <v>2029</v>
      </c>
      <c r="F1044" s="4" t="inlineStr">
        <is>
          <t>CUZ</t>
        </is>
      </c>
      <c r="G1044" s="4" t="inlineStr">
        <is>
          <t>LIM</t>
        </is>
      </c>
      <c r="H1044" s="4" t="inlineStr">
        <is>
          <t>15:30:00</t>
        </is>
      </c>
      <c r="I1044" s="4" t="inlineStr">
        <is>
          <t>17:05:00</t>
        </is>
      </c>
      <c r="J1044" s="4" t="n">
        <v>320</v>
      </c>
      <c r="K1044">
        <f>TEXT(TIMEVALUE(H1044)-TIMEVALUE(I1043)+(TIMEVALUE(H1044)&lt;TIMEVALUE(I1043)),"[h]:mm")</f>
        <v/>
      </c>
      <c r="L1044" s="4" t="inlineStr">
        <is>
          <t>01:35:00</t>
        </is>
      </c>
      <c r="O1044">
        <f>"LIM-"&amp;G1043&amp;"-LIM   LA "&amp;E1043&amp;" ("&amp;LEFT(H1043,5)&amp;"-"&amp;LEFT(I1043,5)&amp;" hrs)  /  LA "&amp;E1044&amp;" ("&amp;LEFT(H1044,5)&amp;"-"&amp;LEFT(I1044,5)&amp;" hrs)"</f>
        <v/>
      </c>
    </row>
    <row r="1045">
      <c r="B1045" s="4" t="n">
        <v>1101</v>
      </c>
      <c r="C1045" s="4" t="inlineStr">
        <is>
          <t>12/09/2026</t>
        </is>
      </c>
      <c r="D1045" s="4" t="inlineStr">
        <is>
          <t>sábado</t>
        </is>
      </c>
      <c r="E1045" s="4" t="n">
        <v>2236</v>
      </c>
      <c r="F1045" s="4" t="inlineStr">
        <is>
          <t>LIM</t>
        </is>
      </c>
      <c r="G1045" s="4" t="inlineStr">
        <is>
          <t>PIU</t>
        </is>
      </c>
      <c r="H1045" s="4" t="inlineStr">
        <is>
          <t>18:00:00</t>
        </is>
      </c>
      <c r="I1045" s="4" t="inlineStr">
        <is>
          <t>19:40:00</t>
        </is>
      </c>
      <c r="J1045" s="4" t="n">
        <v>319</v>
      </c>
      <c r="K1045" s="7">
        <f>TEXT(TIMEVALUE(H1045)-TIMEVALUE(I1044)+(TIMEVALUE(H1045)&lt;TIMEVALUE(I1044)),"[h]:mm")</f>
        <v/>
      </c>
      <c r="L1045" s="4" t="inlineStr">
        <is>
          <t>01:40:00</t>
        </is>
      </c>
      <c r="M1045">
        <f>IF($M$1043="","",$M$1043)</f>
        <v/>
      </c>
      <c r="O1045">
        <f>IF($O$1043="","",$O$1043)</f>
        <v/>
      </c>
      <c r="Q1045" s="4">
        <f>B1045</f>
        <v/>
      </c>
      <c r="R1045" s="4">
        <f>C1045</f>
        <v/>
      </c>
      <c r="S1045" s="4">
        <f>D1045</f>
        <v/>
      </c>
      <c r="T1045" s="4">
        <f>E1045&amp;"/"&amp;E1046</f>
        <v/>
      </c>
      <c r="U1045" s="4">
        <f>F1045&amp;"-"&amp;G1045&amp;"-"&amp;F1045</f>
        <v/>
      </c>
      <c r="V1045" s="4">
        <f>IF($M$1043="","",$M$1043)</f>
        <v/>
      </c>
      <c r="W1045" s="4">
        <f>IF($O$1043="","",$O$1043)</f>
        <v/>
      </c>
      <c r="X1045" s="4">
        <f>J1045</f>
        <v/>
      </c>
    </row>
    <row r="1046">
      <c r="B1046" s="4" t="n">
        <v>1101</v>
      </c>
      <c r="C1046" s="4" t="inlineStr">
        <is>
          <t>12/09/2026</t>
        </is>
      </c>
      <c r="D1046" s="4" t="inlineStr">
        <is>
          <t>sábado</t>
        </is>
      </c>
      <c r="E1046" s="4" t="n">
        <v>2237</v>
      </c>
      <c r="F1046" s="4" t="inlineStr">
        <is>
          <t>PIU</t>
        </is>
      </c>
      <c r="G1046" s="4" t="inlineStr">
        <is>
          <t>LIM</t>
        </is>
      </c>
      <c r="H1046" s="4" t="inlineStr">
        <is>
          <t>20:20:00</t>
        </is>
      </c>
      <c r="I1046" s="4" t="inlineStr">
        <is>
          <t>21:50:00</t>
        </is>
      </c>
      <c r="J1046" s="4" t="n">
        <v>319</v>
      </c>
      <c r="K1046">
        <f>TEXT(TIMEVALUE(H1046)-TIMEVALUE(I1045)+(TIMEVALUE(H1046)&lt;TIMEVALUE(I1045)),"[h]:mm")</f>
        <v/>
      </c>
      <c r="L1046" s="4" t="inlineStr">
        <is>
          <t>01:30:00</t>
        </is>
      </c>
      <c r="O1046">
        <f>"LIM-"&amp;G1045&amp;"-LIM   LA "&amp;E1045&amp;" ("&amp;LEFT(H1045,5)&amp;"-"&amp;LEFT(I1045,5)&amp;" hrs)  /  LA "&amp;E1046&amp;" ("&amp;LEFT(H1046,5)&amp;"-"&amp;LEFT(I1046,5)&amp;" hrs)"</f>
        <v/>
      </c>
    </row>
    <row r="1047">
      <c r="J1047" s="8" t="inlineStr">
        <is>
          <t>PSV total:</t>
        </is>
      </c>
      <c r="K1047" s="9">
        <f>TEXT(TIMEVALUE(I1046)-TIMEVALUE(H1043)+(I1046&lt;H1043),"[h]:mm")</f>
        <v/>
      </c>
    </row>
    <row r="1049">
      <c r="B1049" s="3" t="inlineStr">
        <is>
          <t>Pairing ID</t>
        </is>
      </c>
      <c r="C1049" s="3" t="inlineStr">
        <is>
          <t>FECHA REAL</t>
        </is>
      </c>
      <c r="D1049" s="3" t="inlineStr">
        <is>
          <t>Day of Week</t>
        </is>
      </c>
      <c r="E1049" s="3" t="inlineStr">
        <is>
          <t>Flight No</t>
        </is>
      </c>
      <c r="F1049" s="3" t="inlineStr">
        <is>
          <t>Dep Stn</t>
        </is>
      </c>
      <c r="G1049" s="3" t="inlineStr">
        <is>
          <t>Arr Stn</t>
        </is>
      </c>
      <c r="H1049" s="3" t="inlineStr">
        <is>
          <t>STD</t>
        </is>
      </c>
      <c r="I1049" s="3" t="inlineStr">
        <is>
          <t>STA</t>
        </is>
      </c>
      <c r="J1049" s="3" t="inlineStr">
        <is>
          <t>subflota</t>
        </is>
      </c>
      <c r="K1049" s="3" t="inlineStr">
        <is>
          <t>Conexion</t>
        </is>
      </c>
      <c r="L1049" s="3" t="inlineStr">
        <is>
          <t>HBT</t>
        </is>
      </c>
    </row>
    <row r="1050">
      <c r="B1050" s="4" t="n">
        <v>1084</v>
      </c>
      <c r="C1050" s="4" t="inlineStr">
        <is>
          <t>12/09/2026</t>
        </is>
      </c>
      <c r="D1050" s="4" t="inlineStr">
        <is>
          <t>sábado</t>
        </is>
      </c>
      <c r="E1050" s="4" t="n">
        <v>2087</v>
      </c>
      <c r="F1050" s="4" t="inlineStr">
        <is>
          <t>LIM</t>
        </is>
      </c>
      <c r="G1050" s="4" t="inlineStr">
        <is>
          <t>TPP</t>
        </is>
      </c>
      <c r="H1050" s="4" t="inlineStr">
        <is>
          <t>14:05:00</t>
        </is>
      </c>
      <c r="I1050" s="4" t="inlineStr">
        <is>
          <t>15:30:00</t>
        </is>
      </c>
      <c r="J1050" s="4" t="n">
        <v>320</v>
      </c>
      <c r="L1050" s="4" t="inlineStr">
        <is>
          <t>01:25:00</t>
        </is>
      </c>
      <c r="M1050" s="5" t="n"/>
      <c r="N1050" s="6" t="n"/>
      <c r="O1050" s="5" t="n"/>
      <c r="Q1050" s="4">
        <f>B1050</f>
        <v/>
      </c>
      <c r="R1050" s="4">
        <f>C1050</f>
        <v/>
      </c>
      <c r="S1050" s="4">
        <f>D1050</f>
        <v/>
      </c>
      <c r="T1050" s="4">
        <f>E1050&amp;"/"&amp;E1051</f>
        <v/>
      </c>
      <c r="U1050" s="4">
        <f>F1050&amp;"-"&amp;G1050&amp;"-"&amp;F1050</f>
        <v/>
      </c>
      <c r="V1050" s="4">
        <f>IF($M$1050="","",$M$1050)</f>
        <v/>
      </c>
      <c r="W1050" s="4">
        <f>IF($O$1050="","",$O$1050)</f>
        <v/>
      </c>
      <c r="X1050" s="4">
        <f>J1050</f>
        <v/>
      </c>
    </row>
    <row r="1051">
      <c r="B1051" s="4" t="n">
        <v>1084</v>
      </c>
      <c r="C1051" s="4" t="inlineStr">
        <is>
          <t>12/09/2026</t>
        </is>
      </c>
      <c r="D1051" s="4" t="inlineStr">
        <is>
          <t>sábado</t>
        </is>
      </c>
      <c r="E1051" s="4" t="n">
        <v>2088</v>
      </c>
      <c r="F1051" s="4" t="inlineStr">
        <is>
          <t>TPP</t>
        </is>
      </c>
      <c r="G1051" s="4" t="inlineStr">
        <is>
          <t>LIM</t>
        </is>
      </c>
      <c r="H1051" s="4" t="inlineStr">
        <is>
          <t>16:05:00</t>
        </is>
      </c>
      <c r="I1051" s="4" t="inlineStr">
        <is>
          <t>17:30:00</t>
        </is>
      </c>
      <c r="J1051" s="4" t="n">
        <v>320</v>
      </c>
      <c r="K1051">
        <f>TEXT(TIMEVALUE(H1051)-TIMEVALUE(I1050)+(TIMEVALUE(H1051)&lt;TIMEVALUE(I1050)),"[h]:mm")</f>
        <v/>
      </c>
      <c r="L1051" s="4" t="inlineStr">
        <is>
          <t>01:25:00</t>
        </is>
      </c>
      <c r="O1051">
        <f>"LIM-"&amp;G1050&amp;"-LIM   LA "&amp;E1050&amp;" ("&amp;LEFT(H1050,5)&amp;"-"&amp;LEFT(I1050,5)&amp;" hrs)  /  LA "&amp;E1051&amp;" ("&amp;LEFT(H1051,5)&amp;"-"&amp;LEFT(I1051,5)&amp;" hrs)"</f>
        <v/>
      </c>
    </row>
    <row r="1052">
      <c r="B1052" s="4" t="n">
        <v>1102</v>
      </c>
      <c r="C1052" s="4" t="inlineStr">
        <is>
          <t>12/09/2026</t>
        </is>
      </c>
      <c r="D1052" s="4" t="inlineStr">
        <is>
          <t>sábado</t>
        </is>
      </c>
      <c r="E1052" s="4" t="n">
        <v>2091</v>
      </c>
      <c r="F1052" s="4" t="inlineStr">
        <is>
          <t>LIM</t>
        </is>
      </c>
      <c r="G1052" s="4" t="inlineStr">
        <is>
          <t>TPP</t>
        </is>
      </c>
      <c r="H1052" s="4" t="inlineStr">
        <is>
          <t>18:35:00</t>
        </is>
      </c>
      <c r="I1052" s="4" t="inlineStr">
        <is>
          <t>20:00:00</t>
        </is>
      </c>
      <c r="J1052" s="4" t="n">
        <v>320</v>
      </c>
      <c r="K1052" s="7">
        <f>TEXT(TIMEVALUE(H1052)-TIMEVALUE(I1051)+(TIMEVALUE(H1052)&lt;TIMEVALUE(I1051)),"[h]:mm")</f>
        <v/>
      </c>
      <c r="L1052" s="4" t="inlineStr">
        <is>
          <t>01:25:00</t>
        </is>
      </c>
      <c r="M1052">
        <f>IF($M$1050="","",$M$1050)</f>
        <v/>
      </c>
      <c r="O1052">
        <f>IF($O$1050="","",$O$1050)</f>
        <v/>
      </c>
      <c r="Q1052" s="4">
        <f>B1052</f>
        <v/>
      </c>
      <c r="R1052" s="4">
        <f>C1052</f>
        <v/>
      </c>
      <c r="S1052" s="4">
        <f>D1052</f>
        <v/>
      </c>
      <c r="T1052" s="4">
        <f>E1052&amp;"/"&amp;E1053</f>
        <v/>
      </c>
      <c r="U1052" s="4">
        <f>F1052&amp;"-"&amp;G1052&amp;"-"&amp;F1052</f>
        <v/>
      </c>
      <c r="V1052" s="4">
        <f>IF($M$1050="","",$M$1050)</f>
        <v/>
      </c>
      <c r="W1052" s="4">
        <f>IF($O$1050="","",$O$1050)</f>
        <v/>
      </c>
      <c r="X1052" s="4">
        <f>J1052</f>
        <v/>
      </c>
    </row>
    <row r="1053">
      <c r="B1053" s="4" t="n">
        <v>1102</v>
      </c>
      <c r="C1053" s="4" t="inlineStr">
        <is>
          <t>12/09/2026</t>
        </is>
      </c>
      <c r="D1053" s="4" t="inlineStr">
        <is>
          <t>sábado</t>
        </is>
      </c>
      <c r="E1053" s="4" t="n">
        <v>2092</v>
      </c>
      <c r="F1053" s="4" t="inlineStr">
        <is>
          <t>TPP</t>
        </is>
      </c>
      <c r="G1053" s="4" t="inlineStr">
        <is>
          <t>LIM</t>
        </is>
      </c>
      <c r="H1053" s="4" t="inlineStr">
        <is>
          <t>20:40:00</t>
        </is>
      </c>
      <c r="I1053" s="4" t="inlineStr">
        <is>
          <t>22:05:00</t>
        </is>
      </c>
      <c r="J1053" s="4" t="n">
        <v>320</v>
      </c>
      <c r="K1053">
        <f>TEXT(TIMEVALUE(H1053)-TIMEVALUE(I1052)+(TIMEVALUE(H1053)&lt;TIMEVALUE(I1052)),"[h]:mm")</f>
        <v/>
      </c>
      <c r="L1053" s="4" t="inlineStr">
        <is>
          <t>01:25:00</t>
        </is>
      </c>
      <c r="O1053">
        <f>"LIM-"&amp;G1052&amp;"-LIM   LA "&amp;E1052&amp;" ("&amp;LEFT(H1052,5)&amp;"-"&amp;LEFT(I1052,5)&amp;" hrs)  /  LA "&amp;E1053&amp;" ("&amp;LEFT(H1053,5)&amp;"-"&amp;LEFT(I1053,5)&amp;" hrs)"</f>
        <v/>
      </c>
    </row>
    <row r="1054">
      <c r="J1054" s="8" t="inlineStr">
        <is>
          <t>PSV total:</t>
        </is>
      </c>
      <c r="K1054" s="9">
        <f>TEXT(TIMEVALUE(I1053)-TIMEVALUE(H1050)+(I1053&lt;H1050),"[h]:mm")</f>
        <v/>
      </c>
    </row>
    <row r="1056">
      <c r="B1056" s="3" t="inlineStr">
        <is>
          <t>Pairing ID</t>
        </is>
      </c>
      <c r="C1056" s="3" t="inlineStr">
        <is>
          <t>FECHA REAL</t>
        </is>
      </c>
      <c r="D1056" s="3" t="inlineStr">
        <is>
          <t>Day of Week</t>
        </is>
      </c>
      <c r="E1056" s="3" t="inlineStr">
        <is>
          <t>Flight No</t>
        </is>
      </c>
      <c r="F1056" s="3" t="inlineStr">
        <is>
          <t>Dep Stn</t>
        </is>
      </c>
      <c r="G1056" s="3" t="inlineStr">
        <is>
          <t>Arr Stn</t>
        </is>
      </c>
      <c r="H1056" s="3" t="inlineStr">
        <is>
          <t>STD</t>
        </is>
      </c>
      <c r="I1056" s="3" t="inlineStr">
        <is>
          <t>STA</t>
        </is>
      </c>
      <c r="J1056" s="3" t="inlineStr">
        <is>
          <t>subflota</t>
        </is>
      </c>
      <c r="K1056" s="3" t="inlineStr">
        <is>
          <t>Conexion</t>
        </is>
      </c>
      <c r="L1056" s="3" t="inlineStr">
        <is>
          <t>HBT</t>
        </is>
      </c>
    </row>
    <row r="1057">
      <c r="B1057" s="4" t="n">
        <v>1085</v>
      </c>
      <c r="C1057" s="4" t="inlineStr">
        <is>
          <t>12/09/2026</t>
        </is>
      </c>
      <c r="D1057" s="4" t="inlineStr">
        <is>
          <t>sábado</t>
        </is>
      </c>
      <c r="E1057" s="4" t="n">
        <v>2295</v>
      </c>
      <c r="F1057" s="4" t="inlineStr">
        <is>
          <t>LIM</t>
        </is>
      </c>
      <c r="G1057" s="4" t="inlineStr">
        <is>
          <t>CJA</t>
        </is>
      </c>
      <c r="H1057" s="4" t="inlineStr">
        <is>
          <t>14:10:00</t>
        </is>
      </c>
      <c r="I1057" s="4" t="inlineStr">
        <is>
          <t>15:30:00</t>
        </is>
      </c>
      <c r="J1057" s="4" t="n">
        <v>319</v>
      </c>
      <c r="L1057" s="4" t="inlineStr">
        <is>
          <t>01:20:00</t>
        </is>
      </c>
      <c r="M1057" s="5" t="n"/>
      <c r="N1057" s="6" t="n"/>
      <c r="O1057" s="5" t="n"/>
      <c r="Q1057" s="4">
        <f>B1057</f>
        <v/>
      </c>
      <c r="R1057" s="4">
        <f>C1057</f>
        <v/>
      </c>
      <c r="S1057" s="4">
        <f>D1057</f>
        <v/>
      </c>
      <c r="T1057" s="4">
        <f>E1057&amp;"/"&amp;E1058</f>
        <v/>
      </c>
      <c r="U1057" s="4">
        <f>F1057&amp;"-"&amp;G1057&amp;"-"&amp;F1057</f>
        <v/>
      </c>
      <c r="V1057" s="4">
        <f>IF($M$1057="","",$M$1057)</f>
        <v/>
      </c>
      <c r="W1057" s="4">
        <f>IF($O$1057="","",$O$1057)</f>
        <v/>
      </c>
      <c r="X1057" s="4">
        <f>J1057</f>
        <v/>
      </c>
    </row>
    <row r="1058">
      <c r="B1058" s="4" t="n">
        <v>1085</v>
      </c>
      <c r="C1058" s="4" t="inlineStr">
        <is>
          <t>12/09/2026</t>
        </is>
      </c>
      <c r="D1058" s="4" t="inlineStr">
        <is>
          <t>sábado</t>
        </is>
      </c>
      <c r="E1058" s="4" t="n">
        <v>2294</v>
      </c>
      <c r="F1058" s="4" t="inlineStr">
        <is>
          <t>CJA</t>
        </is>
      </c>
      <c r="G1058" s="4" t="inlineStr">
        <is>
          <t>LIM</t>
        </is>
      </c>
      <c r="H1058" s="4" t="inlineStr">
        <is>
          <t>16:10:00</t>
        </is>
      </c>
      <c r="I1058" s="4" t="inlineStr">
        <is>
          <t>17:15:00</t>
        </is>
      </c>
      <c r="J1058" s="4" t="n">
        <v>319</v>
      </c>
      <c r="K1058">
        <f>TEXT(TIMEVALUE(H1058)-TIMEVALUE(I1057)+(TIMEVALUE(H1058)&lt;TIMEVALUE(I1057)),"[h]:mm")</f>
        <v/>
      </c>
      <c r="L1058" s="4" t="inlineStr">
        <is>
          <t>01:05:00</t>
        </is>
      </c>
      <c r="O1058">
        <f>"LIM-"&amp;G1057&amp;"-LIM   LA "&amp;E1057&amp;" ("&amp;LEFT(H1057,5)&amp;"-"&amp;LEFT(I1057,5)&amp;" hrs)  /  LA "&amp;E1058&amp;" ("&amp;LEFT(H1058,5)&amp;"-"&amp;LEFT(I1058,5)&amp;" hrs)"</f>
        <v/>
      </c>
    </row>
    <row r="1059">
      <c r="B1059" s="4" t="n">
        <v>1103</v>
      </c>
      <c r="C1059" s="4" t="inlineStr">
        <is>
          <t>12/09/2026</t>
        </is>
      </c>
      <c r="D1059" s="4" t="inlineStr">
        <is>
          <t>sábado</t>
        </is>
      </c>
      <c r="E1059" s="4" t="n">
        <v>2117</v>
      </c>
      <c r="F1059" s="4" t="inlineStr">
        <is>
          <t>LIM</t>
        </is>
      </c>
      <c r="G1059" s="4" t="inlineStr">
        <is>
          <t>AQP</t>
        </is>
      </c>
      <c r="H1059" s="4" t="inlineStr">
        <is>
          <t>18:35:00</t>
        </is>
      </c>
      <c r="I1059" s="4" t="inlineStr">
        <is>
          <t>20:05:00</t>
        </is>
      </c>
      <c r="J1059" s="4" t="n">
        <v>320</v>
      </c>
      <c r="K1059" s="7">
        <f>TEXT(TIMEVALUE(H1059)-TIMEVALUE(I1058)+(TIMEVALUE(H1059)&lt;TIMEVALUE(I1058)),"[h]:mm")</f>
        <v/>
      </c>
      <c r="L1059" s="4" t="inlineStr">
        <is>
          <t>01:30:00</t>
        </is>
      </c>
      <c r="M1059">
        <f>IF($M$1057="","",$M$1057)</f>
        <v/>
      </c>
      <c r="O1059">
        <f>IF($O$1057="","",$O$1057)</f>
        <v/>
      </c>
      <c r="Q1059" s="4">
        <f>B1059</f>
        <v/>
      </c>
      <c r="R1059" s="4">
        <f>C1059</f>
        <v/>
      </c>
      <c r="S1059" s="4">
        <f>D1059</f>
        <v/>
      </c>
      <c r="T1059" s="4">
        <f>E1059&amp;"/"&amp;E1060</f>
        <v/>
      </c>
      <c r="U1059" s="4">
        <f>F1059&amp;"-"&amp;G1059&amp;"-"&amp;F1059</f>
        <v/>
      </c>
      <c r="V1059" s="4">
        <f>IF($M$1057="","",$M$1057)</f>
        <v/>
      </c>
      <c r="W1059" s="4">
        <f>IF($O$1057="","",$O$1057)</f>
        <v/>
      </c>
      <c r="X1059" s="4">
        <f>J1059</f>
        <v/>
      </c>
    </row>
    <row r="1060">
      <c r="B1060" s="4" t="n">
        <v>1103</v>
      </c>
      <c r="C1060" s="4" t="inlineStr">
        <is>
          <t>12/09/2026</t>
        </is>
      </c>
      <c r="D1060" s="4" t="inlineStr">
        <is>
          <t>sábado</t>
        </is>
      </c>
      <c r="E1060" s="4" t="n">
        <v>2116</v>
      </c>
      <c r="F1060" s="4" t="inlineStr">
        <is>
          <t>AQP</t>
        </is>
      </c>
      <c r="G1060" s="4" t="inlineStr">
        <is>
          <t>LIM</t>
        </is>
      </c>
      <c r="H1060" s="4" t="inlineStr">
        <is>
          <t>20:40:00</t>
        </is>
      </c>
      <c r="I1060" s="4" t="inlineStr">
        <is>
          <t>22:20:00</t>
        </is>
      </c>
      <c r="J1060" s="4" t="n">
        <v>320</v>
      </c>
      <c r="K1060">
        <f>TEXT(TIMEVALUE(H1060)-TIMEVALUE(I1059)+(TIMEVALUE(H1060)&lt;TIMEVALUE(I1059)),"[h]:mm")</f>
        <v/>
      </c>
      <c r="L1060" s="4" t="inlineStr">
        <is>
          <t>01:40:00</t>
        </is>
      </c>
      <c r="O1060">
        <f>"LIM-"&amp;G1059&amp;"-LIM   LA "&amp;E1059&amp;" ("&amp;LEFT(H1059,5)&amp;"-"&amp;LEFT(I1059,5)&amp;" hrs)  /  LA "&amp;E1060&amp;" ("&amp;LEFT(H1060,5)&amp;"-"&amp;LEFT(I1060,5)&amp;" hrs)"</f>
        <v/>
      </c>
    </row>
    <row r="1061">
      <c r="J1061" s="8" t="inlineStr">
        <is>
          <t>PSV total:</t>
        </is>
      </c>
      <c r="K1061" s="9">
        <f>TEXT(TIMEVALUE(I1060)-TIMEVALUE(H1057)+(I1060&lt;H1057),"[h]:mm")</f>
        <v/>
      </c>
    </row>
    <row r="1063">
      <c r="B1063" s="3" t="inlineStr">
        <is>
          <t>Pairing ID</t>
        </is>
      </c>
      <c r="C1063" s="3" t="inlineStr">
        <is>
          <t>FECHA REAL</t>
        </is>
      </c>
      <c r="D1063" s="3" t="inlineStr">
        <is>
          <t>Day of Week</t>
        </is>
      </c>
      <c r="E1063" s="3" t="inlineStr">
        <is>
          <t>Flight No</t>
        </is>
      </c>
      <c r="F1063" s="3" t="inlineStr">
        <is>
          <t>Dep Stn</t>
        </is>
      </c>
      <c r="G1063" s="3" t="inlineStr">
        <is>
          <t>Arr Stn</t>
        </is>
      </c>
      <c r="H1063" s="3" t="inlineStr">
        <is>
          <t>STD</t>
        </is>
      </c>
      <c r="I1063" s="3" t="inlineStr">
        <is>
          <t>STA</t>
        </is>
      </c>
      <c r="J1063" s="3" t="inlineStr">
        <is>
          <t>subflota</t>
        </is>
      </c>
      <c r="K1063" s="3" t="inlineStr">
        <is>
          <t>Conexion</t>
        </is>
      </c>
      <c r="L1063" s="3" t="inlineStr">
        <is>
          <t>HBT</t>
        </is>
      </c>
    </row>
    <row r="1064">
      <c r="B1064" s="4" t="n">
        <v>1088</v>
      </c>
      <c r="C1064" s="4" t="inlineStr">
        <is>
          <t>12/09/2026</t>
        </is>
      </c>
      <c r="D1064" s="4" t="inlineStr">
        <is>
          <t>sábado</t>
        </is>
      </c>
      <c r="E1064" s="4" t="n">
        <v>2264</v>
      </c>
      <c r="F1064" s="4" t="inlineStr">
        <is>
          <t>LIM</t>
        </is>
      </c>
      <c r="G1064" s="4" t="inlineStr">
        <is>
          <t>PEM</t>
        </is>
      </c>
      <c r="H1064" s="4" t="inlineStr">
        <is>
          <t>14:55:00</t>
        </is>
      </c>
      <c r="I1064" s="4" t="inlineStr">
        <is>
          <t>16:40:00</t>
        </is>
      </c>
      <c r="J1064" s="4" t="n">
        <v>319</v>
      </c>
      <c r="L1064" s="4" t="inlineStr">
        <is>
          <t>01:45:00</t>
        </is>
      </c>
      <c r="M1064" s="5" t="n"/>
      <c r="N1064" s="6" t="n"/>
      <c r="O1064" s="5" t="n"/>
      <c r="Q1064" s="4">
        <f>B1064</f>
        <v/>
      </c>
      <c r="R1064" s="4">
        <f>C1064</f>
        <v/>
      </c>
      <c r="S1064" s="4">
        <f>D1064</f>
        <v/>
      </c>
      <c r="T1064" s="4">
        <f>E1064&amp;"/"&amp;E1065</f>
        <v/>
      </c>
      <c r="U1064" s="4">
        <f>F1064&amp;"-"&amp;G1064&amp;"-"&amp;F1064</f>
        <v/>
      </c>
      <c r="V1064" s="4">
        <f>IF($M$1064="","",$M$1064)</f>
        <v/>
      </c>
      <c r="W1064" s="4">
        <f>IF($O$1064="","",$O$1064)</f>
        <v/>
      </c>
      <c r="X1064" s="4">
        <f>J1064</f>
        <v/>
      </c>
    </row>
    <row r="1065">
      <c r="B1065" s="4" t="n">
        <v>1088</v>
      </c>
      <c r="C1065" s="4" t="inlineStr">
        <is>
          <t>12/09/2026</t>
        </is>
      </c>
      <c r="D1065" s="4" t="inlineStr">
        <is>
          <t>sábado</t>
        </is>
      </c>
      <c r="E1065" s="4" t="n">
        <v>2265</v>
      </c>
      <c r="F1065" s="4" t="inlineStr">
        <is>
          <t>PEM</t>
        </is>
      </c>
      <c r="G1065" s="4" t="inlineStr">
        <is>
          <t>LIM</t>
        </is>
      </c>
      <c r="H1065" s="4" t="inlineStr">
        <is>
          <t>17:20:00</t>
        </is>
      </c>
      <c r="I1065" s="4" t="inlineStr">
        <is>
          <t>18:55:00</t>
        </is>
      </c>
      <c r="J1065" s="4" t="n">
        <v>319</v>
      </c>
      <c r="K1065">
        <f>TEXT(TIMEVALUE(H1065)-TIMEVALUE(I1064)+(TIMEVALUE(H1065)&lt;TIMEVALUE(I1064)),"[h]:mm")</f>
        <v/>
      </c>
      <c r="L1065" s="4" t="inlineStr">
        <is>
          <t>01:35:00</t>
        </is>
      </c>
      <c r="O1065">
        <f>"LIM-"&amp;G1064&amp;"-LIM   LA "&amp;E1064&amp;" ("&amp;LEFT(H1064,5)&amp;"-"&amp;LEFT(I1064,5)&amp;" hrs)  /  LA "&amp;E1065&amp;" ("&amp;LEFT(H1065,5)&amp;"-"&amp;LEFT(I1065,5)&amp;" hrs)"</f>
        <v/>
      </c>
    </row>
    <row r="1066">
      <c r="J1066" s="8" t="inlineStr">
        <is>
          <t>PSV total:</t>
        </is>
      </c>
      <c r="K1066" s="9">
        <f>TEXT(TIMEVALUE(I1065)-TIMEVALUE(H1064)+(I1065&lt;H1064),"[h]:mm")</f>
        <v/>
      </c>
    </row>
    <row r="1068">
      <c r="B1068" s="3" t="inlineStr">
        <is>
          <t>Pairing ID</t>
        </is>
      </c>
      <c r="C1068" s="3" t="inlineStr">
        <is>
          <t>FECHA REAL</t>
        </is>
      </c>
      <c r="D1068" s="3" t="inlineStr">
        <is>
          <t>Day of Week</t>
        </is>
      </c>
      <c r="E1068" s="3" t="inlineStr">
        <is>
          <t>Flight No</t>
        </is>
      </c>
      <c r="F1068" s="3" t="inlineStr">
        <is>
          <t>Dep Stn</t>
        </is>
      </c>
      <c r="G1068" s="3" t="inlineStr">
        <is>
          <t>Arr Stn</t>
        </is>
      </c>
      <c r="H1068" s="3" t="inlineStr">
        <is>
          <t>STD</t>
        </is>
      </c>
      <c r="I1068" s="3" t="inlineStr">
        <is>
          <t>STA</t>
        </is>
      </c>
      <c r="J1068" s="3" t="inlineStr">
        <is>
          <t>subflota</t>
        </is>
      </c>
      <c r="K1068" s="3" t="inlineStr">
        <is>
          <t>Conexion</t>
        </is>
      </c>
      <c r="L1068" s="3" t="inlineStr">
        <is>
          <t>HBT</t>
        </is>
      </c>
    </row>
    <row r="1069">
      <c r="B1069" s="4" t="n">
        <v>1089</v>
      </c>
      <c r="C1069" s="4" t="inlineStr">
        <is>
          <t>12/09/2026</t>
        </is>
      </c>
      <c r="D1069" s="4" t="inlineStr">
        <is>
          <t>sábado</t>
        </is>
      </c>
      <c r="E1069" s="4" t="n">
        <v>2113</v>
      </c>
      <c r="F1069" s="4" t="inlineStr">
        <is>
          <t>LIM</t>
        </is>
      </c>
      <c r="G1069" s="4" t="inlineStr">
        <is>
          <t>AQP</t>
        </is>
      </c>
      <c r="H1069" s="4" t="inlineStr">
        <is>
          <t>15:05:00</t>
        </is>
      </c>
      <c r="I1069" s="4" t="inlineStr">
        <is>
          <t>16:35:00</t>
        </is>
      </c>
      <c r="J1069" s="4" t="n">
        <v>320</v>
      </c>
      <c r="L1069" s="4" t="inlineStr">
        <is>
          <t>01:30:00</t>
        </is>
      </c>
      <c r="M1069" s="5" t="n"/>
      <c r="N1069" s="6" t="n"/>
      <c r="O1069" s="5" t="n"/>
      <c r="Q1069" s="4">
        <f>B1069</f>
        <v/>
      </c>
      <c r="R1069" s="4">
        <f>C1069</f>
        <v/>
      </c>
      <c r="S1069" s="4">
        <f>D1069</f>
        <v/>
      </c>
      <c r="T1069" s="4">
        <f>E1069&amp;"/"&amp;E1070</f>
        <v/>
      </c>
      <c r="U1069" s="4">
        <f>F1069&amp;"-"&amp;G1069&amp;"-"&amp;F1069</f>
        <v/>
      </c>
      <c r="V1069" s="4">
        <f>IF($M$1069="","",$M$1069)</f>
        <v/>
      </c>
      <c r="W1069" s="4">
        <f>IF($O$1069="","",$O$1069)</f>
        <v/>
      </c>
      <c r="X1069" s="4">
        <f>J1069</f>
        <v/>
      </c>
    </row>
    <row r="1070">
      <c r="B1070" s="4" t="n">
        <v>1089</v>
      </c>
      <c r="C1070" s="4" t="inlineStr">
        <is>
          <t>12/09/2026</t>
        </is>
      </c>
      <c r="D1070" s="4" t="inlineStr">
        <is>
          <t>sábado</t>
        </is>
      </c>
      <c r="E1070" s="4" t="n">
        <v>2112</v>
      </c>
      <c r="F1070" s="4" t="inlineStr">
        <is>
          <t>AQP</t>
        </is>
      </c>
      <c r="G1070" s="4" t="inlineStr">
        <is>
          <t>LIM</t>
        </is>
      </c>
      <c r="H1070" s="4" t="inlineStr">
        <is>
          <t>17:15:00</t>
        </is>
      </c>
      <c r="I1070" s="4" t="inlineStr">
        <is>
          <t>18:55:00</t>
        </is>
      </c>
      <c r="J1070" s="4" t="n">
        <v>320</v>
      </c>
      <c r="K1070">
        <f>TEXT(TIMEVALUE(H1070)-TIMEVALUE(I1069)+(TIMEVALUE(H1070)&lt;TIMEVALUE(I1069)),"[h]:mm")</f>
        <v/>
      </c>
      <c r="L1070" s="4" t="inlineStr">
        <is>
          <t>01:40:00</t>
        </is>
      </c>
      <c r="O1070">
        <f>"LIM-"&amp;G1069&amp;"-LIM   LA "&amp;E1069&amp;" ("&amp;LEFT(H1069,5)&amp;"-"&amp;LEFT(I1069,5)&amp;" hrs)  /  LA "&amp;E1070&amp;" ("&amp;LEFT(H1070,5)&amp;"-"&amp;LEFT(I1070,5)&amp;" hrs)"</f>
        <v/>
      </c>
    </row>
    <row r="1071">
      <c r="J1071" s="8" t="inlineStr">
        <is>
          <t>PSV total:</t>
        </is>
      </c>
      <c r="K1071" s="9">
        <f>TEXT(TIMEVALUE(I1070)-TIMEVALUE(H1069)+(I1070&lt;H1069),"[h]:mm")</f>
        <v/>
      </c>
    </row>
    <row r="1073">
      <c r="B1073" s="3" t="inlineStr">
        <is>
          <t>Pairing ID</t>
        </is>
      </c>
      <c r="C1073" s="3" t="inlineStr">
        <is>
          <t>FECHA REAL</t>
        </is>
      </c>
      <c r="D1073" s="3" t="inlineStr">
        <is>
          <t>Day of Week</t>
        </is>
      </c>
      <c r="E1073" s="3" t="inlineStr">
        <is>
          <t>Flight No</t>
        </is>
      </c>
      <c r="F1073" s="3" t="inlineStr">
        <is>
          <t>Dep Stn</t>
        </is>
      </c>
      <c r="G1073" s="3" t="inlineStr">
        <is>
          <t>Arr Stn</t>
        </is>
      </c>
      <c r="H1073" s="3" t="inlineStr">
        <is>
          <t>STD</t>
        </is>
      </c>
      <c r="I1073" s="3" t="inlineStr">
        <is>
          <t>STA</t>
        </is>
      </c>
      <c r="J1073" s="3" t="inlineStr">
        <is>
          <t>subflota</t>
        </is>
      </c>
      <c r="K1073" s="3" t="inlineStr">
        <is>
          <t>Conexion</t>
        </is>
      </c>
      <c r="L1073" s="3" t="inlineStr">
        <is>
          <t>HBT</t>
        </is>
      </c>
    </row>
    <row r="1074">
      <c r="B1074" s="4" t="n">
        <v>1092</v>
      </c>
      <c r="C1074" s="4" t="inlineStr">
        <is>
          <t>12/09/2026</t>
        </is>
      </c>
      <c r="D1074" s="4" t="inlineStr">
        <is>
          <t>sábado</t>
        </is>
      </c>
      <c r="E1074" s="4" t="n">
        <v>2297</v>
      </c>
      <c r="F1074" s="4" t="inlineStr">
        <is>
          <t>LIM</t>
        </is>
      </c>
      <c r="G1074" s="4" t="inlineStr">
        <is>
          <t>CJA</t>
        </is>
      </c>
      <c r="H1074" s="4" t="inlineStr">
        <is>
          <t>15:15:00</t>
        </is>
      </c>
      <c r="I1074" s="4" t="inlineStr">
        <is>
          <t>16:35:00</t>
        </is>
      </c>
      <c r="J1074" s="4" t="n">
        <v>320</v>
      </c>
      <c r="L1074" s="4" t="inlineStr">
        <is>
          <t>01:20:00</t>
        </is>
      </c>
      <c r="M1074" s="5" t="n"/>
      <c r="N1074" s="6" t="n"/>
      <c r="O1074" s="5" t="n"/>
      <c r="Q1074" s="4">
        <f>B1074</f>
        <v/>
      </c>
      <c r="R1074" s="4">
        <f>C1074</f>
        <v/>
      </c>
      <c r="S1074" s="4">
        <f>D1074</f>
        <v/>
      </c>
      <c r="T1074" s="4">
        <f>E1074&amp;"/"&amp;E1075</f>
        <v/>
      </c>
      <c r="U1074" s="4">
        <f>F1074&amp;"-"&amp;G1074&amp;"-"&amp;F1074</f>
        <v/>
      </c>
      <c r="V1074" s="4">
        <f>IF($M$1074="","",$M$1074)</f>
        <v/>
      </c>
      <c r="W1074" s="4">
        <f>IF($O$1074="","",$O$1074)</f>
        <v/>
      </c>
      <c r="X1074" s="4">
        <f>J1074</f>
        <v/>
      </c>
    </row>
    <row r="1075">
      <c r="B1075" s="4" t="n">
        <v>1092</v>
      </c>
      <c r="C1075" s="4" t="inlineStr">
        <is>
          <t>12/09/2026</t>
        </is>
      </c>
      <c r="D1075" s="4" t="inlineStr">
        <is>
          <t>sábado</t>
        </is>
      </c>
      <c r="E1075" s="4" t="n">
        <v>2296</v>
      </c>
      <c r="F1075" s="4" t="inlineStr">
        <is>
          <t>CJA</t>
        </is>
      </c>
      <c r="G1075" s="4" t="inlineStr">
        <is>
          <t>LIM</t>
        </is>
      </c>
      <c r="H1075" s="4" t="inlineStr">
        <is>
          <t>17:20:00</t>
        </is>
      </c>
      <c r="I1075" s="4" t="inlineStr">
        <is>
          <t>18:25:00</t>
        </is>
      </c>
      <c r="J1075" s="4" t="n">
        <v>320</v>
      </c>
      <c r="K1075">
        <f>TEXT(TIMEVALUE(H1075)-TIMEVALUE(I1074)+(TIMEVALUE(H1075)&lt;TIMEVALUE(I1074)),"[h]:mm")</f>
        <v/>
      </c>
      <c r="L1075" s="4" t="inlineStr">
        <is>
          <t>01:05:00</t>
        </is>
      </c>
      <c r="O1075">
        <f>"LIM-"&amp;G1074&amp;"-LIM   LA "&amp;E1074&amp;" ("&amp;LEFT(H1074,5)&amp;"-"&amp;LEFT(I1074,5)&amp;" hrs)  /  LA "&amp;E1075&amp;" ("&amp;LEFT(H1075,5)&amp;"-"&amp;LEFT(I1075,5)&amp;" hrs)"</f>
        <v/>
      </c>
    </row>
    <row r="1076">
      <c r="J1076" s="8" t="inlineStr">
        <is>
          <t>PSV total:</t>
        </is>
      </c>
      <c r="K1076" s="9">
        <f>TEXT(TIMEVALUE(I1075)-TIMEVALUE(H1074)+(I1075&lt;H1074),"[h]:mm")</f>
        <v/>
      </c>
    </row>
    <row r="1078">
      <c r="B1078" s="3" t="inlineStr">
        <is>
          <t>Pairing ID</t>
        </is>
      </c>
      <c r="C1078" s="3" t="inlineStr">
        <is>
          <t>FECHA REAL</t>
        </is>
      </c>
      <c r="D1078" s="3" t="inlineStr">
        <is>
          <t>Day of Week</t>
        </is>
      </c>
      <c r="E1078" s="3" t="inlineStr">
        <is>
          <t>Flight No</t>
        </is>
      </c>
      <c r="F1078" s="3" t="inlineStr">
        <is>
          <t>Dep Stn</t>
        </is>
      </c>
      <c r="G1078" s="3" t="inlineStr">
        <is>
          <t>Arr Stn</t>
        </is>
      </c>
      <c r="H1078" s="3" t="inlineStr">
        <is>
          <t>STD</t>
        </is>
      </c>
      <c r="I1078" s="3" t="inlineStr">
        <is>
          <t>STA</t>
        </is>
      </c>
      <c r="J1078" s="3" t="inlineStr">
        <is>
          <t>subflota</t>
        </is>
      </c>
      <c r="K1078" s="3" t="inlineStr">
        <is>
          <t>Conexion</t>
        </is>
      </c>
      <c r="L1078" s="3" t="inlineStr">
        <is>
          <t>HBT</t>
        </is>
      </c>
    </row>
    <row r="1079">
      <c r="B1079" s="4" t="n">
        <v>1093</v>
      </c>
      <c r="C1079" s="4" t="inlineStr">
        <is>
          <t>12/09/2026</t>
        </is>
      </c>
      <c r="D1079" s="4" t="inlineStr">
        <is>
          <t>sábado</t>
        </is>
      </c>
      <c r="E1079" s="4" t="n">
        <v>2360</v>
      </c>
      <c r="F1079" s="4" t="inlineStr">
        <is>
          <t>LIM</t>
        </is>
      </c>
      <c r="G1079" s="4" t="inlineStr">
        <is>
          <t>PCL</t>
        </is>
      </c>
      <c r="H1079" s="4" t="inlineStr">
        <is>
          <t>15:25:00</t>
        </is>
      </c>
      <c r="I1079" s="4" t="inlineStr">
        <is>
          <t>16:40:00</t>
        </is>
      </c>
      <c r="J1079" s="4" t="n">
        <v>319</v>
      </c>
      <c r="L1079" s="4" t="inlineStr">
        <is>
          <t>01:15:00</t>
        </is>
      </c>
      <c r="M1079" s="5" t="n"/>
      <c r="N1079" s="6" t="n"/>
      <c r="O1079" s="5" t="n"/>
      <c r="Q1079" s="4">
        <f>B1079</f>
        <v/>
      </c>
      <c r="R1079" s="4">
        <f>C1079</f>
        <v/>
      </c>
      <c r="S1079" s="4">
        <f>D1079</f>
        <v/>
      </c>
      <c r="T1079" s="4">
        <f>E1079&amp;"/"&amp;E1080</f>
        <v/>
      </c>
      <c r="U1079" s="4">
        <f>F1079&amp;"-"&amp;G1079&amp;"-"&amp;F1079</f>
        <v/>
      </c>
      <c r="V1079" s="4">
        <f>IF($M$1079="","",$M$1079)</f>
        <v/>
      </c>
      <c r="W1079" s="4">
        <f>IF($O$1079="","",$O$1079)</f>
        <v/>
      </c>
      <c r="X1079" s="4">
        <f>J1079</f>
        <v/>
      </c>
    </row>
    <row r="1080">
      <c r="B1080" s="4" t="n">
        <v>1093</v>
      </c>
      <c r="C1080" s="4" t="inlineStr">
        <is>
          <t>12/09/2026</t>
        </is>
      </c>
      <c r="D1080" s="4" t="inlineStr">
        <is>
          <t>sábado</t>
        </is>
      </c>
      <c r="E1080" s="4" t="n">
        <v>2361</v>
      </c>
      <c r="F1080" s="4" t="inlineStr">
        <is>
          <t>PCL</t>
        </is>
      </c>
      <c r="G1080" s="4" t="inlineStr">
        <is>
          <t>LIM</t>
        </is>
      </c>
      <c r="H1080" s="4" t="inlineStr">
        <is>
          <t>17:20:00</t>
        </is>
      </c>
      <c r="I1080" s="4" t="inlineStr">
        <is>
          <t>18:35:00</t>
        </is>
      </c>
      <c r="J1080" s="4" t="n">
        <v>319</v>
      </c>
      <c r="K1080">
        <f>TEXT(TIMEVALUE(H1080)-TIMEVALUE(I1079)+(TIMEVALUE(H1080)&lt;TIMEVALUE(I1079)),"[h]:mm")</f>
        <v/>
      </c>
      <c r="L1080" s="4" t="inlineStr">
        <is>
          <t>01:15:00</t>
        </is>
      </c>
      <c r="O1080">
        <f>"LIM-"&amp;G1079&amp;"-LIM   LA "&amp;E1079&amp;" ("&amp;LEFT(H1079,5)&amp;"-"&amp;LEFT(I1079,5)&amp;" hrs)  /  LA "&amp;E1080&amp;" ("&amp;LEFT(H1080,5)&amp;"-"&amp;LEFT(I1080,5)&amp;" hrs)"</f>
        <v/>
      </c>
    </row>
    <row r="1081">
      <c r="J1081" s="8" t="inlineStr">
        <is>
          <t>PSV total:</t>
        </is>
      </c>
      <c r="K1081" s="9">
        <f>TEXT(TIMEVALUE(I1080)-TIMEVALUE(H1079)+(I1080&lt;H1079),"[h]:mm")</f>
        <v/>
      </c>
    </row>
    <row r="1083">
      <c r="B1083" s="3" t="inlineStr">
        <is>
          <t>Pairing ID</t>
        </is>
      </c>
      <c r="C1083" s="3" t="inlineStr">
        <is>
          <t>FECHA REAL</t>
        </is>
      </c>
      <c r="D1083" s="3" t="inlineStr">
        <is>
          <t>Day of Week</t>
        </is>
      </c>
      <c r="E1083" s="3" t="inlineStr">
        <is>
          <t>Flight No</t>
        </is>
      </c>
      <c r="F1083" s="3" t="inlineStr">
        <is>
          <t>Dep Stn</t>
        </is>
      </c>
      <c r="G1083" s="3" t="inlineStr">
        <is>
          <t>Arr Stn</t>
        </is>
      </c>
      <c r="H1083" s="3" t="inlineStr">
        <is>
          <t>STD</t>
        </is>
      </c>
      <c r="I1083" s="3" t="inlineStr">
        <is>
          <t>STA</t>
        </is>
      </c>
      <c r="J1083" s="3" t="inlineStr">
        <is>
          <t>subflota</t>
        </is>
      </c>
      <c r="K1083" s="3" t="inlineStr">
        <is>
          <t>Conexion</t>
        </is>
      </c>
      <c r="L1083" s="3" t="inlineStr">
        <is>
          <t>HBT</t>
        </is>
      </c>
    </row>
    <row r="1084">
      <c r="B1084" s="4" t="n">
        <v>1094</v>
      </c>
      <c r="C1084" s="4" t="inlineStr">
        <is>
          <t>12/09/2026</t>
        </is>
      </c>
      <c r="D1084" s="4" t="inlineStr">
        <is>
          <t>sábado</t>
        </is>
      </c>
      <c r="E1084" s="4" t="n">
        <v>2312</v>
      </c>
      <c r="F1084" s="4" t="inlineStr">
        <is>
          <t>LIM</t>
        </is>
      </c>
      <c r="G1084" s="4" t="inlineStr">
        <is>
          <t>CIX</t>
        </is>
      </c>
      <c r="H1084" s="4" t="inlineStr">
        <is>
          <t>15:35:00</t>
        </is>
      </c>
      <c r="I1084" s="4" t="inlineStr">
        <is>
          <t>17:05:00</t>
        </is>
      </c>
      <c r="J1084" s="4" t="n">
        <v>320</v>
      </c>
      <c r="L1084" s="4" t="inlineStr">
        <is>
          <t>01:30:00</t>
        </is>
      </c>
      <c r="M1084" s="5" t="n"/>
      <c r="N1084" s="6" t="n"/>
      <c r="O1084" s="5" t="n"/>
      <c r="Q1084" s="4">
        <f>B1084</f>
        <v/>
      </c>
      <c r="R1084" s="4">
        <f>C1084</f>
        <v/>
      </c>
      <c r="S1084" s="4">
        <f>D1084</f>
        <v/>
      </c>
      <c r="T1084" s="4">
        <f>E1084&amp;"/"&amp;E1085</f>
        <v/>
      </c>
      <c r="U1084" s="4">
        <f>F1084&amp;"-"&amp;G1084&amp;"-"&amp;F1084</f>
        <v/>
      </c>
      <c r="V1084" s="4">
        <f>IF($M$1084="","",$M$1084)</f>
        <v/>
      </c>
      <c r="W1084" s="4">
        <f>IF($O$1084="","",$O$1084)</f>
        <v/>
      </c>
      <c r="X1084" s="4">
        <f>J1084</f>
        <v/>
      </c>
    </row>
    <row r="1085">
      <c r="B1085" s="4" t="n">
        <v>1094</v>
      </c>
      <c r="C1085" s="4" t="inlineStr">
        <is>
          <t>12/09/2026</t>
        </is>
      </c>
      <c r="D1085" s="4" t="inlineStr">
        <is>
          <t>sábado</t>
        </is>
      </c>
      <c r="E1085" s="4" t="n">
        <v>2313</v>
      </c>
      <c r="F1085" s="4" t="inlineStr">
        <is>
          <t>CIX</t>
        </is>
      </c>
      <c r="G1085" s="4" t="inlineStr">
        <is>
          <t>LIM</t>
        </is>
      </c>
      <c r="H1085" s="4" t="inlineStr">
        <is>
          <t>17:50:00</t>
        </is>
      </c>
      <c r="I1085" s="4" t="inlineStr">
        <is>
          <t>19:10:00</t>
        </is>
      </c>
      <c r="J1085" s="4" t="n">
        <v>320</v>
      </c>
      <c r="K1085">
        <f>TEXT(TIMEVALUE(H1085)-TIMEVALUE(I1084)+(TIMEVALUE(H1085)&lt;TIMEVALUE(I1084)),"[h]:mm")</f>
        <v/>
      </c>
      <c r="L1085" s="4" t="inlineStr">
        <is>
          <t>01:20:00</t>
        </is>
      </c>
      <c r="O1085">
        <f>"LIM-"&amp;G1084&amp;"-LIM   LA "&amp;E1084&amp;" ("&amp;LEFT(H1084,5)&amp;"-"&amp;LEFT(I1084,5)&amp;" hrs)  /  LA "&amp;E1085&amp;" ("&amp;LEFT(H1085,5)&amp;"-"&amp;LEFT(I1085,5)&amp;" hrs)"</f>
        <v/>
      </c>
    </row>
    <row r="1086">
      <c r="J1086" s="8" t="inlineStr">
        <is>
          <t>PSV total:</t>
        </is>
      </c>
      <c r="K1086" s="9">
        <f>TEXT(TIMEVALUE(I1085)-TIMEVALUE(H1084)+(I1085&lt;H1084),"[h]:mm")</f>
        <v/>
      </c>
    </row>
    <row r="1088">
      <c r="B1088" s="3" t="inlineStr">
        <is>
          <t>Pairing ID</t>
        </is>
      </c>
      <c r="C1088" s="3" t="inlineStr">
        <is>
          <t>FECHA REAL</t>
        </is>
      </c>
      <c r="D1088" s="3" t="inlineStr">
        <is>
          <t>Day of Week</t>
        </is>
      </c>
      <c r="E1088" s="3" t="inlineStr">
        <is>
          <t>Flight No</t>
        </is>
      </c>
      <c r="F1088" s="3" t="inlineStr">
        <is>
          <t>Dep Stn</t>
        </is>
      </c>
      <c r="G1088" s="3" t="inlineStr">
        <is>
          <t>Arr Stn</t>
        </is>
      </c>
      <c r="H1088" s="3" t="inlineStr">
        <is>
          <t>STD</t>
        </is>
      </c>
      <c r="I1088" s="3" t="inlineStr">
        <is>
          <t>STA</t>
        </is>
      </c>
      <c r="J1088" s="3" t="inlineStr">
        <is>
          <t>subflota</t>
        </is>
      </c>
      <c r="K1088" s="3" t="inlineStr">
        <is>
          <t>Conexion</t>
        </is>
      </c>
      <c r="L1088" s="3" t="inlineStr">
        <is>
          <t>HBT</t>
        </is>
      </c>
    </row>
    <row r="1089">
      <c r="B1089" s="4" t="n">
        <v>1095</v>
      </c>
      <c r="C1089" s="4" t="inlineStr">
        <is>
          <t>12/09/2026</t>
        </is>
      </c>
      <c r="D1089" s="4" t="inlineStr">
        <is>
          <t>sábado</t>
        </is>
      </c>
      <c r="E1089" s="4" t="n">
        <v>2301</v>
      </c>
      <c r="F1089" s="4" t="inlineStr">
        <is>
          <t>LIM</t>
        </is>
      </c>
      <c r="G1089" s="4" t="inlineStr">
        <is>
          <t>TPP</t>
        </is>
      </c>
      <c r="H1089" s="4" t="inlineStr">
        <is>
          <t>15:40:00</t>
        </is>
      </c>
      <c r="I1089" s="4" t="inlineStr">
        <is>
          <t>17:05:00</t>
        </is>
      </c>
      <c r="J1089" s="4" t="n">
        <v>320</v>
      </c>
      <c r="L1089" s="4" t="inlineStr">
        <is>
          <t>01:25:00</t>
        </is>
      </c>
      <c r="M1089" s="5" t="n"/>
      <c r="N1089" s="6" t="n"/>
      <c r="O1089" s="5" t="n"/>
      <c r="Q1089" s="4">
        <f>B1089</f>
        <v/>
      </c>
      <c r="R1089" s="4">
        <f>C1089</f>
        <v/>
      </c>
      <c r="S1089" s="4">
        <f>D1089</f>
        <v/>
      </c>
      <c r="T1089" s="4">
        <f>E1089&amp;"/"&amp;E1090</f>
        <v/>
      </c>
      <c r="U1089" s="4">
        <f>F1089&amp;"-"&amp;G1089&amp;"-"&amp;F1089</f>
        <v/>
      </c>
      <c r="V1089" s="4">
        <f>IF($M$1089="","",$M$1089)</f>
        <v/>
      </c>
      <c r="W1089" s="4">
        <f>IF($O$1089="","",$O$1089)</f>
        <v/>
      </c>
      <c r="X1089" s="4">
        <f>J1089</f>
        <v/>
      </c>
    </row>
    <row r="1090">
      <c r="B1090" s="4" t="n">
        <v>1095</v>
      </c>
      <c r="C1090" s="4" t="inlineStr">
        <is>
          <t>12/09/2026</t>
        </is>
      </c>
      <c r="D1090" s="4" t="inlineStr">
        <is>
          <t>sábado</t>
        </is>
      </c>
      <c r="E1090" s="4" t="n">
        <v>2300</v>
      </c>
      <c r="F1090" s="4" t="inlineStr">
        <is>
          <t>TPP</t>
        </is>
      </c>
      <c r="G1090" s="4" t="inlineStr">
        <is>
          <t>LIM</t>
        </is>
      </c>
      <c r="H1090" s="4" t="inlineStr">
        <is>
          <t>17:50:00</t>
        </is>
      </c>
      <c r="I1090" s="4" t="inlineStr">
        <is>
          <t>19:20:00</t>
        </is>
      </c>
      <c r="J1090" s="4" t="n">
        <v>320</v>
      </c>
      <c r="K1090">
        <f>TEXT(TIMEVALUE(H1090)-TIMEVALUE(I1089)+(TIMEVALUE(H1090)&lt;TIMEVALUE(I1089)),"[h]:mm")</f>
        <v/>
      </c>
      <c r="L1090" s="4" t="inlineStr">
        <is>
          <t>01:30:00</t>
        </is>
      </c>
      <c r="O1090">
        <f>"LIM-"&amp;G1089&amp;"-LIM   LA "&amp;E1089&amp;" ("&amp;LEFT(H1089,5)&amp;"-"&amp;LEFT(I1089,5)&amp;" hrs)  /  LA "&amp;E1090&amp;" ("&amp;LEFT(H1090,5)&amp;"-"&amp;LEFT(I1090,5)&amp;" hrs)"</f>
        <v/>
      </c>
    </row>
    <row r="1091">
      <c r="J1091" s="8" t="inlineStr">
        <is>
          <t>PSV total:</t>
        </is>
      </c>
      <c r="K1091" s="9">
        <f>TEXT(TIMEVALUE(I1090)-TIMEVALUE(H1089)+(I1090&lt;H1089),"[h]:mm")</f>
        <v/>
      </c>
    </row>
    <row r="1093">
      <c r="B1093" s="3" t="inlineStr">
        <is>
          <t>Pairing ID</t>
        </is>
      </c>
      <c r="C1093" s="3" t="inlineStr">
        <is>
          <t>FECHA REAL</t>
        </is>
      </c>
      <c r="D1093" s="3" t="inlineStr">
        <is>
          <t>Day of Week</t>
        </is>
      </c>
      <c r="E1093" s="3" t="inlineStr">
        <is>
          <t>Flight No</t>
        </is>
      </c>
      <c r="F1093" s="3" t="inlineStr">
        <is>
          <t>Dep Stn</t>
        </is>
      </c>
      <c r="G1093" s="3" t="inlineStr">
        <is>
          <t>Arr Stn</t>
        </is>
      </c>
      <c r="H1093" s="3" t="inlineStr">
        <is>
          <t>STD</t>
        </is>
      </c>
      <c r="I1093" s="3" t="inlineStr">
        <is>
          <t>STA</t>
        </is>
      </c>
      <c r="J1093" s="3" t="inlineStr">
        <is>
          <t>subflota</t>
        </is>
      </c>
      <c r="K1093" s="3" t="inlineStr">
        <is>
          <t>Conexion</t>
        </is>
      </c>
      <c r="L1093" s="3" t="inlineStr">
        <is>
          <t>HBT</t>
        </is>
      </c>
    </row>
    <row r="1094">
      <c r="B1094" s="4" t="n">
        <v>1099</v>
      </c>
      <c r="C1094" s="4" t="inlineStr">
        <is>
          <t>12/09/2026</t>
        </is>
      </c>
      <c r="D1094" s="4" t="inlineStr">
        <is>
          <t>sábado</t>
        </is>
      </c>
      <c r="E1094" s="4" t="n">
        <v>2276</v>
      </c>
      <c r="F1094" s="4" t="inlineStr">
        <is>
          <t>LIM</t>
        </is>
      </c>
      <c r="G1094" s="4" t="inlineStr">
        <is>
          <t>CUZ</t>
        </is>
      </c>
      <c r="H1094" s="4" t="inlineStr">
        <is>
          <t>16:35:00</t>
        </is>
      </c>
      <c r="I1094" s="4" t="inlineStr">
        <is>
          <t>17:55:00</t>
        </is>
      </c>
      <c r="J1094" s="4" t="n">
        <v>320</v>
      </c>
      <c r="L1094" s="4" t="inlineStr">
        <is>
          <t>01:20:00</t>
        </is>
      </c>
      <c r="M1094" s="5" t="n"/>
      <c r="N1094" s="6" t="n"/>
      <c r="O1094" s="5" t="n"/>
      <c r="Q1094" s="4">
        <f>B1094</f>
        <v/>
      </c>
      <c r="R1094" s="4">
        <f>C1094</f>
        <v/>
      </c>
      <c r="S1094" s="4">
        <f>D1094</f>
        <v/>
      </c>
      <c r="T1094" s="4">
        <f>E1094&amp;"/"&amp;E1095</f>
        <v/>
      </c>
      <c r="U1094" s="4">
        <f>F1094&amp;"-"&amp;G1094&amp;"-"&amp;F1094</f>
        <v/>
      </c>
      <c r="V1094" s="4">
        <f>IF($M$1094="","",$M$1094)</f>
        <v/>
      </c>
      <c r="W1094" s="4">
        <f>IF($O$1094="","",$O$1094)</f>
        <v/>
      </c>
      <c r="X1094" s="4">
        <f>J1094</f>
        <v/>
      </c>
    </row>
    <row r="1095">
      <c r="B1095" s="4" t="n">
        <v>1099</v>
      </c>
      <c r="C1095" s="4" t="inlineStr">
        <is>
          <t>12/09/2026</t>
        </is>
      </c>
      <c r="D1095" s="4" t="inlineStr">
        <is>
          <t>sábado</t>
        </is>
      </c>
      <c r="E1095" s="4" t="n">
        <v>2277</v>
      </c>
      <c r="F1095" s="4" t="inlineStr">
        <is>
          <t>CUZ</t>
        </is>
      </c>
      <c r="G1095" s="4" t="inlineStr">
        <is>
          <t>LIM</t>
        </is>
      </c>
      <c r="H1095" s="4" t="inlineStr">
        <is>
          <t>18:50:00</t>
        </is>
      </c>
      <c r="I1095" s="4" t="inlineStr">
        <is>
          <t>20:25:00</t>
        </is>
      </c>
      <c r="J1095" s="4" t="n">
        <v>320</v>
      </c>
      <c r="K1095">
        <f>TEXT(TIMEVALUE(H1095)-TIMEVALUE(I1094)+(TIMEVALUE(H1095)&lt;TIMEVALUE(I1094)),"[h]:mm")</f>
        <v/>
      </c>
      <c r="L1095" s="4" t="inlineStr">
        <is>
          <t>01:35:00</t>
        </is>
      </c>
      <c r="O1095">
        <f>"LIM-"&amp;G1094&amp;"-LIM   LA "&amp;E1094&amp;" ("&amp;LEFT(H1094,5)&amp;"-"&amp;LEFT(I1094,5)&amp;" hrs)  /  LA "&amp;E1095&amp;" ("&amp;LEFT(H1095,5)&amp;"-"&amp;LEFT(I1095,5)&amp;" hrs)"</f>
        <v/>
      </c>
    </row>
    <row r="1096">
      <c r="J1096" s="8" t="inlineStr">
        <is>
          <t>PSV total:</t>
        </is>
      </c>
      <c r="K1096" s="9">
        <f>TEXT(TIMEVALUE(I1095)-TIMEVALUE(H1094)+(I1095&lt;H1094),"[h]:mm")</f>
        <v/>
      </c>
    </row>
    <row r="1098">
      <c r="B1098" s="3" t="inlineStr">
        <is>
          <t>Pairing ID</t>
        </is>
      </c>
      <c r="C1098" s="3" t="inlineStr">
        <is>
          <t>FECHA REAL</t>
        </is>
      </c>
      <c r="D1098" s="3" t="inlineStr">
        <is>
          <t>Day of Week</t>
        </is>
      </c>
      <c r="E1098" s="3" t="inlineStr">
        <is>
          <t>Flight No</t>
        </is>
      </c>
      <c r="F1098" s="3" t="inlineStr">
        <is>
          <t>Dep Stn</t>
        </is>
      </c>
      <c r="G1098" s="3" t="inlineStr">
        <is>
          <t>Arr Stn</t>
        </is>
      </c>
      <c r="H1098" s="3" t="inlineStr">
        <is>
          <t>STD</t>
        </is>
      </c>
      <c r="I1098" s="3" t="inlineStr">
        <is>
          <t>STA</t>
        </is>
      </c>
      <c r="J1098" s="3" t="inlineStr">
        <is>
          <t>subflota</t>
        </is>
      </c>
      <c r="K1098" s="3" t="inlineStr">
        <is>
          <t>Conexion</t>
        </is>
      </c>
      <c r="L1098" s="3" t="inlineStr">
        <is>
          <t>HBT</t>
        </is>
      </c>
    </row>
    <row r="1099">
      <c r="B1099" s="4" t="n">
        <v>1144</v>
      </c>
      <c r="C1099" s="4" t="inlineStr">
        <is>
          <t>13/09/2026</t>
        </is>
      </c>
      <c r="D1099" s="4" t="inlineStr">
        <is>
          <t>domingo</t>
        </is>
      </c>
      <c r="E1099" s="4" t="n">
        <v>2013</v>
      </c>
      <c r="F1099" s="4" t="inlineStr">
        <is>
          <t>LIM</t>
        </is>
      </c>
      <c r="G1099" s="4" t="inlineStr">
        <is>
          <t>CUZ</t>
        </is>
      </c>
      <c r="H1099" s="4" t="inlineStr">
        <is>
          <t>08:35:00</t>
        </is>
      </c>
      <c r="I1099" s="4" t="inlineStr">
        <is>
          <t>09:55:00</t>
        </is>
      </c>
      <c r="J1099" s="4" t="n">
        <v>320</v>
      </c>
      <c r="L1099" s="4" t="inlineStr">
        <is>
          <t>01:20:00</t>
        </is>
      </c>
      <c r="M1099" s="5" t="n"/>
      <c r="N1099" s="6" t="n"/>
      <c r="O1099" s="5" t="n"/>
      <c r="Q1099" s="4">
        <f>B1099</f>
        <v/>
      </c>
      <c r="R1099" s="4">
        <f>C1099</f>
        <v/>
      </c>
      <c r="S1099" s="4">
        <f>D1099</f>
        <v/>
      </c>
      <c r="T1099" s="4">
        <f>E1099&amp;"/"&amp;E1100</f>
        <v/>
      </c>
      <c r="U1099" s="4">
        <f>F1099&amp;"-"&amp;G1099&amp;"-"&amp;F1099</f>
        <v/>
      </c>
      <c r="V1099" s="4">
        <f>IF($M$1099="","",$M$1099)</f>
        <v/>
      </c>
      <c r="W1099" s="4">
        <f>IF($O$1099="","",$O$1099)</f>
        <v/>
      </c>
      <c r="X1099" s="4">
        <f>J1099</f>
        <v/>
      </c>
    </row>
    <row r="1100">
      <c r="B1100" s="4" t="n">
        <v>1144</v>
      </c>
      <c r="C1100" s="4" t="inlineStr">
        <is>
          <t>13/09/2026</t>
        </is>
      </c>
      <c r="D1100" s="4" t="inlineStr">
        <is>
          <t>domingo</t>
        </is>
      </c>
      <c r="E1100" s="4" t="n">
        <v>2014</v>
      </c>
      <c r="F1100" s="4" t="inlineStr">
        <is>
          <t>CUZ</t>
        </is>
      </c>
      <c r="G1100" s="4" t="inlineStr">
        <is>
          <t>LIM</t>
        </is>
      </c>
      <c r="H1100" s="4" t="inlineStr">
        <is>
          <t>10:35:00</t>
        </is>
      </c>
      <c r="I1100" s="4" t="inlineStr">
        <is>
          <t>12:10:00</t>
        </is>
      </c>
      <c r="J1100" s="4" t="n">
        <v>320</v>
      </c>
      <c r="K1100">
        <f>TEXT(TIMEVALUE(H1100)-TIMEVALUE(I1099)+(TIMEVALUE(H1100)&lt;TIMEVALUE(I1099)),"[h]:mm")</f>
        <v/>
      </c>
      <c r="L1100" s="4" t="inlineStr">
        <is>
          <t>01:35:00</t>
        </is>
      </c>
      <c r="O1100">
        <f>"LIM-"&amp;G1099&amp;"-LIM   LA "&amp;E1099&amp;" ("&amp;LEFT(H1099,5)&amp;"-"&amp;LEFT(I1099,5)&amp;" hrs)  /  LA "&amp;E1100&amp;" ("&amp;LEFT(H1100,5)&amp;"-"&amp;LEFT(I1100,5)&amp;" hrs)"</f>
        <v/>
      </c>
    </row>
    <row r="1101">
      <c r="J1101" s="8" t="inlineStr">
        <is>
          <t>PSV total:</t>
        </is>
      </c>
      <c r="K1101" s="9">
        <f>TEXT(TIMEVALUE(I1100)-TIMEVALUE(H1099)+(I1100&lt;H1099),"[h]:mm")</f>
        <v/>
      </c>
    </row>
    <row r="1103">
      <c r="B1103" s="3" t="inlineStr">
        <is>
          <t>Pairing ID</t>
        </is>
      </c>
      <c r="C1103" s="3" t="inlineStr">
        <is>
          <t>FECHA REAL</t>
        </is>
      </c>
      <c r="D1103" s="3" t="inlineStr">
        <is>
          <t>Day of Week</t>
        </is>
      </c>
      <c r="E1103" s="3" t="inlineStr">
        <is>
          <t>Flight No</t>
        </is>
      </c>
      <c r="F1103" s="3" t="inlineStr">
        <is>
          <t>Dep Stn</t>
        </is>
      </c>
      <c r="G1103" s="3" t="inlineStr">
        <is>
          <t>Arr Stn</t>
        </is>
      </c>
      <c r="H1103" s="3" t="inlineStr">
        <is>
          <t>STD</t>
        </is>
      </c>
      <c r="I1103" s="3" t="inlineStr">
        <is>
          <t>STA</t>
        </is>
      </c>
      <c r="J1103" s="3" t="inlineStr">
        <is>
          <t>subflota</t>
        </is>
      </c>
      <c r="K1103" s="3" t="inlineStr">
        <is>
          <t>Conexion</t>
        </is>
      </c>
      <c r="L1103" s="3" t="inlineStr">
        <is>
          <t>HBT</t>
        </is>
      </c>
    </row>
    <row r="1104">
      <c r="B1104" s="4" t="n">
        <v>1151</v>
      </c>
      <c r="C1104" s="4" t="inlineStr">
        <is>
          <t>13/09/2026</t>
        </is>
      </c>
      <c r="D1104" s="4" t="inlineStr">
        <is>
          <t>domingo</t>
        </is>
      </c>
      <c r="E1104" s="4" t="n">
        <v>2350</v>
      </c>
      <c r="F1104" s="4" t="inlineStr">
        <is>
          <t>LIM</t>
        </is>
      </c>
      <c r="G1104" s="4" t="inlineStr">
        <is>
          <t>CJA</t>
        </is>
      </c>
      <c r="H1104" s="4" t="inlineStr">
        <is>
          <t>10:40:00</t>
        </is>
      </c>
      <c r="I1104" s="4" t="inlineStr">
        <is>
          <t>12:00:00</t>
        </is>
      </c>
      <c r="J1104" s="4" t="n">
        <v>319</v>
      </c>
      <c r="L1104" s="4" t="inlineStr">
        <is>
          <t>01:20:00</t>
        </is>
      </c>
      <c r="M1104" s="5" t="n"/>
      <c r="N1104" s="6" t="n"/>
      <c r="O1104" s="5" t="n"/>
      <c r="Q1104" s="4">
        <f>B1104</f>
        <v/>
      </c>
      <c r="R1104" s="4">
        <f>C1104</f>
        <v/>
      </c>
      <c r="S1104" s="4">
        <f>D1104</f>
        <v/>
      </c>
      <c r="T1104" s="4">
        <f>E1104&amp;"/"&amp;E1105</f>
        <v/>
      </c>
      <c r="U1104" s="4">
        <f>F1104&amp;"-"&amp;G1104&amp;"-"&amp;F1104</f>
        <v/>
      </c>
      <c r="V1104" s="4">
        <f>IF($M$1104="","",$M$1104)</f>
        <v/>
      </c>
      <c r="W1104" s="4">
        <f>IF($O$1104="","",$O$1104)</f>
        <v/>
      </c>
      <c r="X1104" s="4">
        <f>J1104</f>
        <v/>
      </c>
    </row>
    <row r="1105">
      <c r="B1105" s="4" t="n">
        <v>1151</v>
      </c>
      <c r="C1105" s="4" t="inlineStr">
        <is>
          <t>13/09/2026</t>
        </is>
      </c>
      <c r="D1105" s="4" t="inlineStr">
        <is>
          <t>domingo</t>
        </is>
      </c>
      <c r="E1105" s="4" t="n">
        <v>2351</v>
      </c>
      <c r="F1105" s="4" t="inlineStr">
        <is>
          <t>CJA</t>
        </is>
      </c>
      <c r="G1105" s="4" t="inlineStr">
        <is>
          <t>LIM</t>
        </is>
      </c>
      <c r="H1105" s="4" t="inlineStr">
        <is>
          <t>12:50:00</t>
        </is>
      </c>
      <c r="I1105" s="4" t="inlineStr">
        <is>
          <t>14:00:00</t>
        </is>
      </c>
      <c r="J1105" s="4" t="n">
        <v>319</v>
      </c>
      <c r="K1105">
        <f>TEXT(TIMEVALUE(H1105)-TIMEVALUE(I1104)+(TIMEVALUE(H1105)&lt;TIMEVALUE(I1104)),"[h]:mm")</f>
        <v/>
      </c>
      <c r="L1105" s="4" t="inlineStr">
        <is>
          <t>01:10:00</t>
        </is>
      </c>
      <c r="O1105">
        <f>"LIM-"&amp;G1104&amp;"-LIM   LA "&amp;E1104&amp;" ("&amp;LEFT(H1104,5)&amp;"-"&amp;LEFT(I1104,5)&amp;" hrs)  /  LA "&amp;E1105&amp;" ("&amp;LEFT(H1105,5)&amp;"-"&amp;LEFT(I1105,5)&amp;" hrs)"</f>
        <v/>
      </c>
    </row>
    <row r="1106">
      <c r="B1106" s="4" t="n">
        <v>1170</v>
      </c>
      <c r="C1106" s="4" t="inlineStr">
        <is>
          <t>13/09/2026</t>
        </is>
      </c>
      <c r="D1106" s="4" t="inlineStr">
        <is>
          <t>domingo</t>
        </is>
      </c>
      <c r="E1106" s="4" t="n">
        <v>2248</v>
      </c>
      <c r="F1106" s="4" t="inlineStr">
        <is>
          <t>LIM</t>
        </is>
      </c>
      <c r="G1106" s="4" t="inlineStr">
        <is>
          <t>CUZ</t>
        </is>
      </c>
      <c r="H1106" s="4" t="inlineStr">
        <is>
          <t>15:00:00</t>
        </is>
      </c>
      <c r="I1106" s="4" t="inlineStr">
        <is>
          <t>16:20:00</t>
        </is>
      </c>
      <c r="J1106" s="4" t="n">
        <v>319</v>
      </c>
      <c r="K1106" s="7">
        <f>TEXT(TIMEVALUE(H1106)-TIMEVALUE(I1105)+(TIMEVALUE(H1106)&lt;TIMEVALUE(I1105)),"[h]:mm")</f>
        <v/>
      </c>
      <c r="L1106" s="4" t="inlineStr">
        <is>
          <t>01:20:00</t>
        </is>
      </c>
      <c r="M1106">
        <f>IF($M$1104="","",$M$1104)</f>
        <v/>
      </c>
      <c r="O1106">
        <f>IF($O$1104="","",$O$1104)</f>
        <v/>
      </c>
      <c r="Q1106" s="4">
        <f>B1106</f>
        <v/>
      </c>
      <c r="R1106" s="4">
        <f>C1106</f>
        <v/>
      </c>
      <c r="S1106" s="4">
        <f>D1106</f>
        <v/>
      </c>
      <c r="T1106" s="4">
        <f>E1106&amp;"/"&amp;E1107</f>
        <v/>
      </c>
      <c r="U1106" s="4">
        <f>F1106&amp;"-"&amp;G1106&amp;"-"&amp;F1106</f>
        <v/>
      </c>
      <c r="V1106" s="4">
        <f>IF($M$1104="","",$M$1104)</f>
        <v/>
      </c>
      <c r="W1106" s="4">
        <f>IF($O$1104="","",$O$1104)</f>
        <v/>
      </c>
      <c r="X1106" s="4">
        <f>J1106</f>
        <v/>
      </c>
    </row>
    <row r="1107">
      <c r="B1107" s="4" t="n">
        <v>1170</v>
      </c>
      <c r="C1107" s="4" t="inlineStr">
        <is>
          <t>13/09/2026</t>
        </is>
      </c>
      <c r="D1107" s="4" t="inlineStr">
        <is>
          <t>domingo</t>
        </is>
      </c>
      <c r="E1107" s="4" t="n">
        <v>2249</v>
      </c>
      <c r="F1107" s="4" t="inlineStr">
        <is>
          <t>CUZ</t>
        </is>
      </c>
      <c r="G1107" s="4" t="inlineStr">
        <is>
          <t>LIM</t>
        </is>
      </c>
      <c r="H1107" s="4" t="inlineStr">
        <is>
          <t>17:00:00</t>
        </is>
      </c>
      <c r="I1107" s="4" t="inlineStr">
        <is>
          <t>18:35:00</t>
        </is>
      </c>
      <c r="J1107" s="4" t="n">
        <v>319</v>
      </c>
      <c r="K1107">
        <f>TEXT(TIMEVALUE(H1107)-TIMEVALUE(I1106)+(TIMEVALUE(H1107)&lt;TIMEVALUE(I1106)),"[h]:mm")</f>
        <v/>
      </c>
      <c r="L1107" s="4" t="inlineStr">
        <is>
          <t>01:35:00</t>
        </is>
      </c>
      <c r="O1107">
        <f>"LIM-"&amp;G1106&amp;"-LIM   LA "&amp;E1106&amp;" ("&amp;LEFT(H1106,5)&amp;"-"&amp;LEFT(I1106,5)&amp;" hrs)  /  LA "&amp;E1107&amp;" ("&amp;LEFT(H1107,5)&amp;"-"&amp;LEFT(I1107,5)&amp;" hrs)"</f>
        <v/>
      </c>
    </row>
    <row r="1108">
      <c r="J1108" s="8" t="inlineStr">
        <is>
          <t>PSV total:</t>
        </is>
      </c>
      <c r="K1108" s="9">
        <f>TEXT(TIMEVALUE(I1107)-TIMEVALUE(H1104)+(I1107&lt;H1104),"[h]:mm")</f>
        <v/>
      </c>
    </row>
    <row r="1110">
      <c r="B1110" s="3" t="inlineStr">
        <is>
          <t>Pairing ID</t>
        </is>
      </c>
      <c r="C1110" s="3" t="inlineStr">
        <is>
          <t>FECHA REAL</t>
        </is>
      </c>
      <c r="D1110" s="3" t="inlineStr">
        <is>
          <t>Day of Week</t>
        </is>
      </c>
      <c r="E1110" s="3" t="inlineStr">
        <is>
          <t>Flight No</t>
        </is>
      </c>
      <c r="F1110" s="3" t="inlineStr">
        <is>
          <t>Dep Stn</t>
        </is>
      </c>
      <c r="G1110" s="3" t="inlineStr">
        <is>
          <t>Arr Stn</t>
        </is>
      </c>
      <c r="H1110" s="3" t="inlineStr">
        <is>
          <t>STD</t>
        </is>
      </c>
      <c r="I1110" s="3" t="inlineStr">
        <is>
          <t>STA</t>
        </is>
      </c>
      <c r="J1110" s="3" t="inlineStr">
        <is>
          <t>subflota</t>
        </is>
      </c>
      <c r="K1110" s="3" t="inlineStr">
        <is>
          <t>Conexion</t>
        </is>
      </c>
      <c r="L1110" s="3" t="inlineStr">
        <is>
          <t>HBT</t>
        </is>
      </c>
    </row>
    <row r="1111">
      <c r="B1111" s="4" t="n">
        <v>1152</v>
      </c>
      <c r="C1111" s="4" t="inlineStr">
        <is>
          <t>13/09/2026</t>
        </is>
      </c>
      <c r="D1111" s="4" t="inlineStr">
        <is>
          <t>domingo</t>
        </is>
      </c>
      <c r="E1111" s="4" t="n">
        <v>2299</v>
      </c>
      <c r="F1111" s="4" t="inlineStr">
        <is>
          <t>LIM</t>
        </is>
      </c>
      <c r="G1111" s="4" t="inlineStr">
        <is>
          <t>CJA</t>
        </is>
      </c>
      <c r="H1111" s="4" t="inlineStr">
        <is>
          <t>11:35:00</t>
        </is>
      </c>
      <c r="I1111" s="4" t="inlineStr">
        <is>
          <t>12:55:00</t>
        </is>
      </c>
      <c r="J1111" s="4" t="n">
        <v>320</v>
      </c>
      <c r="L1111" s="4" t="inlineStr">
        <is>
          <t>01:20:00</t>
        </is>
      </c>
      <c r="M1111" s="5" t="n"/>
      <c r="N1111" s="6" t="n"/>
      <c r="O1111" s="5" t="n"/>
      <c r="Q1111" s="4">
        <f>B1111</f>
        <v/>
      </c>
      <c r="R1111" s="4">
        <f>C1111</f>
        <v/>
      </c>
      <c r="S1111" s="4">
        <f>D1111</f>
        <v/>
      </c>
      <c r="T1111" s="4">
        <f>E1111&amp;"/"&amp;E1112</f>
        <v/>
      </c>
      <c r="U1111" s="4">
        <f>F1111&amp;"-"&amp;G1111&amp;"-"&amp;F1111</f>
        <v/>
      </c>
      <c r="V1111" s="4">
        <f>IF($M$1111="","",$M$1111)</f>
        <v/>
      </c>
      <c r="W1111" s="4">
        <f>IF($O$1111="","",$O$1111)</f>
        <v/>
      </c>
      <c r="X1111" s="4">
        <f>J1111</f>
        <v/>
      </c>
    </row>
    <row r="1112">
      <c r="B1112" s="4" t="n">
        <v>1152</v>
      </c>
      <c r="C1112" s="4" t="inlineStr">
        <is>
          <t>13/09/2026</t>
        </is>
      </c>
      <c r="D1112" s="4" t="inlineStr">
        <is>
          <t>domingo</t>
        </is>
      </c>
      <c r="E1112" s="4" t="n">
        <v>2298</v>
      </c>
      <c r="F1112" s="4" t="inlineStr">
        <is>
          <t>CJA</t>
        </is>
      </c>
      <c r="G1112" s="4" t="inlineStr">
        <is>
          <t>LIM</t>
        </is>
      </c>
      <c r="H1112" s="4" t="inlineStr">
        <is>
          <t>13:45:00</t>
        </is>
      </c>
      <c r="I1112" s="4" t="inlineStr">
        <is>
          <t>14:55:00</t>
        </is>
      </c>
      <c r="J1112" s="4" t="n">
        <v>320</v>
      </c>
      <c r="K1112">
        <f>TEXT(TIMEVALUE(H1112)-TIMEVALUE(I1111)+(TIMEVALUE(H1112)&lt;TIMEVALUE(I1111)),"[h]:mm")</f>
        <v/>
      </c>
      <c r="L1112" s="4" t="inlineStr">
        <is>
          <t>01:10:00</t>
        </is>
      </c>
      <c r="O1112">
        <f>"LIM-"&amp;G1111&amp;"-LIM   LA "&amp;E1111&amp;" ("&amp;LEFT(H1111,5)&amp;"-"&amp;LEFT(I1111,5)&amp;" hrs)  /  LA "&amp;E1112&amp;" ("&amp;LEFT(H1112,5)&amp;"-"&amp;LEFT(I1112,5)&amp;" hrs)"</f>
        <v/>
      </c>
    </row>
    <row r="1113">
      <c r="B1113" s="4" t="n">
        <v>1180</v>
      </c>
      <c r="C1113" s="4" t="inlineStr">
        <is>
          <t>13/09/2026</t>
        </is>
      </c>
      <c r="D1113" s="4" t="inlineStr">
        <is>
          <t>domingo</t>
        </is>
      </c>
      <c r="E1113" s="4" t="n">
        <v>2127</v>
      </c>
      <c r="F1113" s="4" t="inlineStr">
        <is>
          <t>LIM</t>
        </is>
      </c>
      <c r="G1113" s="4" t="inlineStr">
        <is>
          <t>CUZ</t>
        </is>
      </c>
      <c r="H1113" s="4" t="inlineStr">
        <is>
          <t>16:10:00</t>
        </is>
      </c>
      <c r="I1113" s="4" t="inlineStr">
        <is>
          <t>17:30:00</t>
        </is>
      </c>
      <c r="J1113" s="4" t="n">
        <v>320</v>
      </c>
      <c r="K1113" s="7">
        <f>TEXT(TIMEVALUE(H1113)-TIMEVALUE(I1112)+(TIMEVALUE(H1113)&lt;TIMEVALUE(I1112)),"[h]:mm")</f>
        <v/>
      </c>
      <c r="L1113" s="4" t="inlineStr">
        <is>
          <t>01:20:00</t>
        </is>
      </c>
      <c r="M1113">
        <f>IF($M$1111="","",$M$1111)</f>
        <v/>
      </c>
      <c r="O1113">
        <f>IF($O$1111="","",$O$1111)</f>
        <v/>
      </c>
      <c r="Q1113" s="4">
        <f>B1113</f>
        <v/>
      </c>
      <c r="R1113" s="4">
        <f>C1113</f>
        <v/>
      </c>
      <c r="S1113" s="4">
        <f>D1113</f>
        <v/>
      </c>
      <c r="T1113" s="4">
        <f>E1113&amp;"/"&amp;E1114</f>
        <v/>
      </c>
      <c r="U1113" s="4">
        <f>F1113&amp;"-"&amp;G1113&amp;"-"&amp;F1113</f>
        <v/>
      </c>
      <c r="V1113" s="4">
        <f>IF($M$1111="","",$M$1111)</f>
        <v/>
      </c>
      <c r="W1113" s="4">
        <f>IF($O$1111="","",$O$1111)</f>
        <v/>
      </c>
      <c r="X1113" s="4">
        <f>J1113</f>
        <v/>
      </c>
    </row>
    <row r="1114">
      <c r="B1114" s="4" t="n">
        <v>1180</v>
      </c>
      <c r="C1114" s="4" t="inlineStr">
        <is>
          <t>13/09/2026</t>
        </is>
      </c>
      <c r="D1114" s="4" t="inlineStr">
        <is>
          <t>domingo</t>
        </is>
      </c>
      <c r="E1114" s="4" t="n">
        <v>2026</v>
      </c>
      <c r="F1114" s="4" t="inlineStr">
        <is>
          <t>CUZ</t>
        </is>
      </c>
      <c r="G1114" s="4" t="inlineStr">
        <is>
          <t>LIM</t>
        </is>
      </c>
      <c r="H1114" s="4" t="inlineStr">
        <is>
          <t>18:10:00</t>
        </is>
      </c>
      <c r="I1114" s="4" t="inlineStr">
        <is>
          <t>19:50:00</t>
        </is>
      </c>
      <c r="J1114" s="4" t="n">
        <v>320</v>
      </c>
      <c r="K1114">
        <f>TEXT(TIMEVALUE(H1114)-TIMEVALUE(I1113)+(TIMEVALUE(H1114)&lt;TIMEVALUE(I1113)),"[h]:mm")</f>
        <v/>
      </c>
      <c r="L1114" s="4" t="inlineStr">
        <is>
          <t>01:40:00</t>
        </is>
      </c>
      <c r="O1114">
        <f>"LIM-"&amp;G1113&amp;"-LIM   LA "&amp;E1113&amp;" ("&amp;LEFT(H1113,5)&amp;"-"&amp;LEFT(I1113,5)&amp;" hrs)  /  LA "&amp;E1114&amp;" ("&amp;LEFT(H1114,5)&amp;"-"&amp;LEFT(I1114,5)&amp;" hrs)"</f>
        <v/>
      </c>
    </row>
    <row r="1115">
      <c r="J1115" s="8" t="inlineStr">
        <is>
          <t>PSV total:</t>
        </is>
      </c>
      <c r="K1115" s="9">
        <f>TEXT(TIMEVALUE(I1114)-TIMEVALUE(H1111)+(I1114&lt;H1111),"[h]:mm")</f>
        <v/>
      </c>
    </row>
    <row r="1117">
      <c r="B1117" s="3" t="inlineStr">
        <is>
          <t>Pairing ID</t>
        </is>
      </c>
      <c r="C1117" s="3" t="inlineStr">
        <is>
          <t>FECHA REAL</t>
        </is>
      </c>
      <c r="D1117" s="3" t="inlineStr">
        <is>
          <t>Day of Week</t>
        </is>
      </c>
      <c r="E1117" s="3" t="inlineStr">
        <is>
          <t>Flight No</t>
        </is>
      </c>
      <c r="F1117" s="3" t="inlineStr">
        <is>
          <t>Dep Stn</t>
        </is>
      </c>
      <c r="G1117" s="3" t="inlineStr">
        <is>
          <t>Arr Stn</t>
        </is>
      </c>
      <c r="H1117" s="3" t="inlineStr">
        <is>
          <t>STD</t>
        </is>
      </c>
      <c r="I1117" s="3" t="inlineStr">
        <is>
          <t>STA</t>
        </is>
      </c>
      <c r="J1117" s="3" t="inlineStr">
        <is>
          <t>subflota</t>
        </is>
      </c>
      <c r="K1117" s="3" t="inlineStr">
        <is>
          <t>Conexion</t>
        </is>
      </c>
      <c r="L1117" s="3" t="inlineStr">
        <is>
          <t>HBT</t>
        </is>
      </c>
    </row>
    <row r="1118">
      <c r="B1118" s="4" t="n">
        <v>1155</v>
      </c>
      <c r="C1118" s="4" t="inlineStr">
        <is>
          <t>13/09/2026</t>
        </is>
      </c>
      <c r="D1118" s="4" t="inlineStr">
        <is>
          <t>domingo</t>
        </is>
      </c>
      <c r="E1118" s="4" t="n">
        <v>2356</v>
      </c>
      <c r="F1118" s="4" t="inlineStr">
        <is>
          <t>LIM</t>
        </is>
      </c>
      <c r="G1118" s="4" t="inlineStr">
        <is>
          <t>CUZ</t>
        </is>
      </c>
      <c r="H1118" s="4" t="inlineStr">
        <is>
          <t>12:10:00</t>
        </is>
      </c>
      <c r="I1118" s="4" t="inlineStr">
        <is>
          <t>13:35:00</t>
        </is>
      </c>
      <c r="J1118" s="4" t="n">
        <v>320</v>
      </c>
      <c r="L1118" s="4" t="inlineStr">
        <is>
          <t>01:25:00</t>
        </is>
      </c>
      <c r="M1118" s="5" t="n"/>
      <c r="N1118" s="6" t="n"/>
      <c r="O1118" s="5" t="n"/>
      <c r="Q1118" s="4">
        <f>B1118</f>
        <v/>
      </c>
      <c r="R1118" s="4">
        <f>C1118</f>
        <v/>
      </c>
      <c r="S1118" s="4">
        <f>D1118</f>
        <v/>
      </c>
      <c r="T1118" s="4">
        <f>E1118&amp;"/"&amp;E1119</f>
        <v/>
      </c>
      <c r="U1118" s="4">
        <f>F1118&amp;"-"&amp;G1118&amp;"-"&amp;F1118</f>
        <v/>
      </c>
      <c r="V1118" s="4">
        <f>IF($M$1118="","",$M$1118)</f>
        <v/>
      </c>
      <c r="W1118" s="4">
        <f>IF($O$1118="","",$O$1118)</f>
        <v/>
      </c>
      <c r="X1118" s="4">
        <f>J1118</f>
        <v/>
      </c>
    </row>
    <row r="1119">
      <c r="B1119" s="4" t="n">
        <v>1155</v>
      </c>
      <c r="C1119" s="4" t="inlineStr">
        <is>
          <t>13/09/2026</t>
        </is>
      </c>
      <c r="D1119" s="4" t="inlineStr">
        <is>
          <t>domingo</t>
        </is>
      </c>
      <c r="E1119" s="4" t="n">
        <v>2357</v>
      </c>
      <c r="F1119" s="4" t="inlineStr">
        <is>
          <t>CUZ</t>
        </is>
      </c>
      <c r="G1119" s="4" t="inlineStr">
        <is>
          <t>LIM</t>
        </is>
      </c>
      <c r="H1119" s="4" t="inlineStr">
        <is>
          <t>14:15:00</t>
        </is>
      </c>
      <c r="I1119" s="4" t="inlineStr">
        <is>
          <t>15:50:00</t>
        </is>
      </c>
      <c r="J1119" s="4" t="n">
        <v>320</v>
      </c>
      <c r="K1119">
        <f>TEXT(TIMEVALUE(H1119)-TIMEVALUE(I1118)+(TIMEVALUE(H1119)&lt;TIMEVALUE(I1118)),"[h]:mm")</f>
        <v/>
      </c>
      <c r="L1119" s="4" t="inlineStr">
        <is>
          <t>01:35:00</t>
        </is>
      </c>
      <c r="O1119">
        <f>"LIM-"&amp;G1118&amp;"-LIM   LA "&amp;E1118&amp;" ("&amp;LEFT(H1118,5)&amp;"-"&amp;LEFT(I1118,5)&amp;" hrs)  /  LA "&amp;E1119&amp;" ("&amp;LEFT(H1119,5)&amp;"-"&amp;LEFT(I1119,5)&amp;" hrs)"</f>
        <v/>
      </c>
    </row>
    <row r="1120">
      <c r="B1120" s="4" t="n">
        <v>1182</v>
      </c>
      <c r="C1120" s="4" t="inlineStr">
        <is>
          <t>13/09/2026</t>
        </is>
      </c>
      <c r="D1120" s="4" t="inlineStr">
        <is>
          <t>domingo</t>
        </is>
      </c>
      <c r="E1120" s="4" t="n">
        <v>2304</v>
      </c>
      <c r="F1120" s="4" t="inlineStr">
        <is>
          <t>LIM</t>
        </is>
      </c>
      <c r="G1120" s="4" t="inlineStr">
        <is>
          <t>PIU</t>
        </is>
      </c>
      <c r="H1120" s="4" t="inlineStr">
        <is>
          <t>16:55:00</t>
        </is>
      </c>
      <c r="I1120" s="4" t="inlineStr">
        <is>
          <t>18:35:00</t>
        </is>
      </c>
      <c r="J1120" s="4" t="n">
        <v>320</v>
      </c>
      <c r="K1120" s="7">
        <f>TEXT(TIMEVALUE(H1120)-TIMEVALUE(I1119)+(TIMEVALUE(H1120)&lt;TIMEVALUE(I1119)),"[h]:mm")</f>
        <v/>
      </c>
      <c r="L1120" s="4" t="inlineStr">
        <is>
          <t>01:40:00</t>
        </is>
      </c>
      <c r="M1120">
        <f>IF($M$1118="","",$M$1118)</f>
        <v/>
      </c>
      <c r="O1120">
        <f>IF($O$1118="","",$O$1118)</f>
        <v/>
      </c>
      <c r="Q1120" s="4">
        <f>B1120</f>
        <v/>
      </c>
      <c r="R1120" s="4">
        <f>C1120</f>
        <v/>
      </c>
      <c r="S1120" s="4">
        <f>D1120</f>
        <v/>
      </c>
      <c r="T1120" s="4">
        <f>E1120&amp;"/"&amp;E1121</f>
        <v/>
      </c>
      <c r="U1120" s="4">
        <f>F1120&amp;"-"&amp;G1120&amp;"-"&amp;F1120</f>
        <v/>
      </c>
      <c r="V1120" s="4">
        <f>IF($M$1118="","",$M$1118)</f>
        <v/>
      </c>
      <c r="W1120" s="4">
        <f>IF($O$1118="","",$O$1118)</f>
        <v/>
      </c>
      <c r="X1120" s="4">
        <f>J1120</f>
        <v/>
      </c>
    </row>
    <row r="1121">
      <c r="B1121" s="4" t="n">
        <v>1182</v>
      </c>
      <c r="C1121" s="4" t="inlineStr">
        <is>
          <t>13/09/2026</t>
        </is>
      </c>
      <c r="D1121" s="4" t="inlineStr">
        <is>
          <t>domingo</t>
        </is>
      </c>
      <c r="E1121" s="4" t="n">
        <v>2305</v>
      </c>
      <c r="F1121" s="4" t="inlineStr">
        <is>
          <t>PIU</t>
        </is>
      </c>
      <c r="G1121" s="4" t="inlineStr">
        <is>
          <t>LIM</t>
        </is>
      </c>
      <c r="H1121" s="4" t="inlineStr">
        <is>
          <t>19:10:00</t>
        </is>
      </c>
      <c r="I1121" s="4" t="inlineStr">
        <is>
          <t>20:40:00</t>
        </is>
      </c>
      <c r="J1121" s="4" t="n">
        <v>320</v>
      </c>
      <c r="K1121">
        <f>TEXT(TIMEVALUE(H1121)-TIMEVALUE(I1120)+(TIMEVALUE(H1121)&lt;TIMEVALUE(I1120)),"[h]:mm")</f>
        <v/>
      </c>
      <c r="L1121" s="4" t="inlineStr">
        <is>
          <t>01:30:00</t>
        </is>
      </c>
      <c r="O1121">
        <f>"LIM-"&amp;G1120&amp;"-LIM   LA "&amp;E1120&amp;" ("&amp;LEFT(H1120,5)&amp;"-"&amp;LEFT(I1120,5)&amp;" hrs)  /  LA "&amp;E1121&amp;" ("&amp;LEFT(H1121,5)&amp;"-"&amp;LEFT(I1121,5)&amp;" hrs)"</f>
        <v/>
      </c>
    </row>
    <row r="1122">
      <c r="J1122" s="8" t="inlineStr">
        <is>
          <t>PSV total:</t>
        </is>
      </c>
      <c r="K1122" s="9">
        <f>TEXT(TIMEVALUE(I1121)-TIMEVALUE(H1118)+(I1121&lt;H1118),"[h]:mm")</f>
        <v/>
      </c>
    </row>
    <row r="1124">
      <c r="B1124" s="3" t="inlineStr">
        <is>
          <t>Pairing ID</t>
        </is>
      </c>
      <c r="C1124" s="3" t="inlineStr">
        <is>
          <t>FECHA REAL</t>
        </is>
      </c>
      <c r="D1124" s="3" t="inlineStr">
        <is>
          <t>Day of Week</t>
        </is>
      </c>
      <c r="E1124" s="3" t="inlineStr">
        <is>
          <t>Flight No</t>
        </is>
      </c>
      <c r="F1124" s="3" t="inlineStr">
        <is>
          <t>Dep Stn</t>
        </is>
      </c>
      <c r="G1124" s="3" t="inlineStr">
        <is>
          <t>Arr Stn</t>
        </is>
      </c>
      <c r="H1124" s="3" t="inlineStr">
        <is>
          <t>STD</t>
        </is>
      </c>
      <c r="I1124" s="3" t="inlineStr">
        <is>
          <t>STA</t>
        </is>
      </c>
      <c r="J1124" s="3" t="inlineStr">
        <is>
          <t>subflota</t>
        </is>
      </c>
      <c r="K1124" s="3" t="inlineStr">
        <is>
          <t>Conexion</t>
        </is>
      </c>
      <c r="L1124" s="3" t="inlineStr">
        <is>
          <t>HBT</t>
        </is>
      </c>
    </row>
    <row r="1125">
      <c r="B1125" s="4" t="n">
        <v>1156</v>
      </c>
      <c r="C1125" s="4" t="inlineStr">
        <is>
          <t>13/09/2026</t>
        </is>
      </c>
      <c r="D1125" s="4" t="inlineStr">
        <is>
          <t>domingo</t>
        </is>
      </c>
      <c r="E1125" s="4" t="n">
        <v>2356</v>
      </c>
      <c r="F1125" s="4" t="inlineStr">
        <is>
          <t>LIM</t>
        </is>
      </c>
      <c r="G1125" s="4" t="inlineStr">
        <is>
          <t>CUZ</t>
        </is>
      </c>
      <c r="H1125" s="4" t="inlineStr">
        <is>
          <t>12:10:00</t>
        </is>
      </c>
      <c r="I1125" s="4" t="inlineStr">
        <is>
          <t>13:35:00</t>
        </is>
      </c>
      <c r="J1125" s="4" t="n">
        <v>320</v>
      </c>
      <c r="L1125" s="4" t="inlineStr">
        <is>
          <t>01:25:00</t>
        </is>
      </c>
      <c r="M1125" s="5" t="n"/>
      <c r="N1125" s="6" t="n"/>
      <c r="O1125" s="5" t="n"/>
      <c r="Q1125" s="4">
        <f>B1125</f>
        <v/>
      </c>
      <c r="R1125" s="4">
        <f>C1125</f>
        <v/>
      </c>
      <c r="S1125" s="4">
        <f>D1125</f>
        <v/>
      </c>
      <c r="T1125" s="4">
        <f>E1125&amp;"/"&amp;E1126</f>
        <v/>
      </c>
      <c r="U1125" s="4">
        <f>F1125&amp;"-"&amp;G1125&amp;"-"&amp;F1125</f>
        <v/>
      </c>
      <c r="V1125" s="4">
        <f>IF($M$1125="","",$M$1125)</f>
        <v/>
      </c>
      <c r="W1125" s="4">
        <f>IF($O$1125="","",$O$1125)</f>
        <v/>
      </c>
      <c r="X1125" s="4">
        <f>J1125</f>
        <v/>
      </c>
    </row>
    <row r="1126">
      <c r="B1126" s="4" t="n">
        <v>1156</v>
      </c>
      <c r="C1126" s="4" t="inlineStr">
        <is>
          <t>13/09/2026</t>
        </is>
      </c>
      <c r="D1126" s="4" t="inlineStr">
        <is>
          <t>domingo</t>
        </is>
      </c>
      <c r="E1126" s="4" t="n">
        <v>2357</v>
      </c>
      <c r="F1126" s="4" t="inlineStr">
        <is>
          <t>CUZ</t>
        </is>
      </c>
      <c r="G1126" s="4" t="inlineStr">
        <is>
          <t>LIM</t>
        </is>
      </c>
      <c r="H1126" s="4" t="inlineStr">
        <is>
          <t>14:15:00</t>
        </is>
      </c>
      <c r="I1126" s="4" t="inlineStr">
        <is>
          <t>15:50:00</t>
        </is>
      </c>
      <c r="J1126" s="4" t="n">
        <v>320</v>
      </c>
      <c r="K1126">
        <f>TEXT(TIMEVALUE(H1126)-TIMEVALUE(I1125)+(TIMEVALUE(H1126)&lt;TIMEVALUE(I1125)),"[h]:mm")</f>
        <v/>
      </c>
      <c r="L1126" s="4" t="inlineStr">
        <is>
          <t>01:35:00</t>
        </is>
      </c>
      <c r="O1126">
        <f>"LIM-"&amp;G1125&amp;"-LIM   LA "&amp;E1125&amp;" ("&amp;LEFT(H1125,5)&amp;"-"&amp;LEFT(I1125,5)&amp;" hrs)  /  LA "&amp;E1126&amp;" ("&amp;LEFT(H1126,5)&amp;"-"&amp;LEFT(I1126,5)&amp;" hrs)"</f>
        <v/>
      </c>
    </row>
    <row r="1127">
      <c r="J1127" s="8" t="inlineStr">
        <is>
          <t>PSV total:</t>
        </is>
      </c>
      <c r="K1127" s="9">
        <f>TEXT(TIMEVALUE(I1126)-TIMEVALUE(H1125)+(I1126&lt;H1125),"[h]:mm")</f>
        <v/>
      </c>
    </row>
    <row r="1129">
      <c r="B1129" s="3" t="inlineStr">
        <is>
          <t>Pairing ID</t>
        </is>
      </c>
      <c r="C1129" s="3" t="inlineStr">
        <is>
          <t>FECHA REAL</t>
        </is>
      </c>
      <c r="D1129" s="3" t="inlineStr">
        <is>
          <t>Day of Week</t>
        </is>
      </c>
      <c r="E1129" s="3" t="inlineStr">
        <is>
          <t>Flight No</t>
        </is>
      </c>
      <c r="F1129" s="3" t="inlineStr">
        <is>
          <t>Dep Stn</t>
        </is>
      </c>
      <c r="G1129" s="3" t="inlineStr">
        <is>
          <t>Arr Stn</t>
        </is>
      </c>
      <c r="H1129" s="3" t="inlineStr">
        <is>
          <t>STD</t>
        </is>
      </c>
      <c r="I1129" s="3" t="inlineStr">
        <is>
          <t>STA</t>
        </is>
      </c>
      <c r="J1129" s="3" t="inlineStr">
        <is>
          <t>subflota</t>
        </is>
      </c>
      <c r="K1129" s="3" t="inlineStr">
        <is>
          <t>Conexion</t>
        </is>
      </c>
      <c r="L1129" s="3" t="inlineStr">
        <is>
          <t>HBT</t>
        </is>
      </c>
    </row>
    <row r="1130">
      <c r="B1130" s="4" t="n">
        <v>1162</v>
      </c>
      <c r="C1130" s="4" t="inlineStr">
        <is>
          <t>13/09/2026</t>
        </is>
      </c>
      <c r="D1130" s="4" t="inlineStr">
        <is>
          <t>domingo</t>
        </is>
      </c>
      <c r="E1130" s="4" t="n">
        <v>2270</v>
      </c>
      <c r="F1130" s="4" t="inlineStr">
        <is>
          <t>LIM</t>
        </is>
      </c>
      <c r="G1130" s="4" t="inlineStr">
        <is>
          <t>CIX</t>
        </is>
      </c>
      <c r="H1130" s="4" t="inlineStr">
        <is>
          <t>13:00:00</t>
        </is>
      </c>
      <c r="I1130" s="4" t="inlineStr">
        <is>
          <t>14:30:00</t>
        </is>
      </c>
      <c r="J1130" s="4" t="n">
        <v>319</v>
      </c>
      <c r="L1130" s="4" t="inlineStr">
        <is>
          <t>01:30:00</t>
        </is>
      </c>
      <c r="M1130" s="5" t="n"/>
      <c r="N1130" s="6" t="n"/>
      <c r="O1130" s="5" t="n"/>
      <c r="Q1130" s="4">
        <f>B1130</f>
        <v/>
      </c>
      <c r="R1130" s="4">
        <f>C1130</f>
        <v/>
      </c>
      <c r="S1130" s="4">
        <f>D1130</f>
        <v/>
      </c>
      <c r="T1130" s="4">
        <f>E1130&amp;"/"&amp;E1131</f>
        <v/>
      </c>
      <c r="U1130" s="4">
        <f>F1130&amp;"-"&amp;G1130&amp;"-"&amp;F1130</f>
        <v/>
      </c>
      <c r="V1130" s="4">
        <f>IF($M$1130="","",$M$1130)</f>
        <v/>
      </c>
      <c r="W1130" s="4">
        <f>IF($O$1130="","",$O$1130)</f>
        <v/>
      </c>
      <c r="X1130" s="4">
        <f>J1130</f>
        <v/>
      </c>
    </row>
    <row r="1131">
      <c r="B1131" s="4" t="n">
        <v>1162</v>
      </c>
      <c r="C1131" s="4" t="inlineStr">
        <is>
          <t>13/09/2026</t>
        </is>
      </c>
      <c r="D1131" s="4" t="inlineStr">
        <is>
          <t>domingo</t>
        </is>
      </c>
      <c r="E1131" s="4" t="n">
        <v>2271</v>
      </c>
      <c r="F1131" s="4" t="inlineStr">
        <is>
          <t>CIX</t>
        </is>
      </c>
      <c r="G1131" s="4" t="inlineStr">
        <is>
          <t>LIM</t>
        </is>
      </c>
      <c r="H1131" s="4" t="inlineStr">
        <is>
          <t>15:05:00</t>
        </is>
      </c>
      <c r="I1131" s="4" t="inlineStr">
        <is>
          <t>16:20:00</t>
        </is>
      </c>
      <c r="J1131" s="4" t="n">
        <v>319</v>
      </c>
      <c r="K1131">
        <f>TEXT(TIMEVALUE(H1131)-TIMEVALUE(I1130)+(TIMEVALUE(H1131)&lt;TIMEVALUE(I1130)),"[h]:mm")</f>
        <v/>
      </c>
      <c r="L1131" s="4" t="inlineStr">
        <is>
          <t>01:15:00</t>
        </is>
      </c>
      <c r="O1131">
        <f>"LIM-"&amp;G1130&amp;"-LIM   LA "&amp;E1130&amp;" ("&amp;LEFT(H1130,5)&amp;"-"&amp;LEFT(I1130,5)&amp;" hrs)  /  LA "&amp;E1131&amp;" ("&amp;LEFT(H1131,5)&amp;"-"&amp;LEFT(I1131,5)&amp;" hrs)"</f>
        <v/>
      </c>
    </row>
    <row r="1132">
      <c r="B1132" s="4" t="n">
        <v>1183</v>
      </c>
      <c r="C1132" s="4" t="inlineStr">
        <is>
          <t>13/09/2026</t>
        </is>
      </c>
      <c r="D1132" s="4" t="inlineStr">
        <is>
          <t>domingo</t>
        </is>
      </c>
      <c r="E1132" s="4" t="n">
        <v>2213</v>
      </c>
      <c r="F1132" s="4" t="inlineStr">
        <is>
          <t>LIM</t>
        </is>
      </c>
      <c r="G1132" s="4" t="inlineStr">
        <is>
          <t>CIX</t>
        </is>
      </c>
      <c r="H1132" s="4" t="inlineStr">
        <is>
          <t>17:20:00</t>
        </is>
      </c>
      <c r="I1132" s="4" t="inlineStr">
        <is>
          <t>18:50:00</t>
        </is>
      </c>
      <c r="J1132" s="4" t="n">
        <v>320</v>
      </c>
      <c r="K1132" s="7">
        <f>TEXT(TIMEVALUE(H1132)-TIMEVALUE(I1131)+(TIMEVALUE(H1132)&lt;TIMEVALUE(I1131)),"[h]:mm")</f>
        <v/>
      </c>
      <c r="L1132" s="4" t="inlineStr">
        <is>
          <t>01:30:00</t>
        </is>
      </c>
      <c r="M1132">
        <f>IF($M$1130="","",$M$1130)</f>
        <v/>
      </c>
      <c r="O1132">
        <f>IF($O$1130="","",$O$1130)</f>
        <v/>
      </c>
      <c r="Q1132" s="4">
        <f>B1132</f>
        <v/>
      </c>
      <c r="R1132" s="4">
        <f>C1132</f>
        <v/>
      </c>
      <c r="S1132" s="4">
        <f>D1132</f>
        <v/>
      </c>
      <c r="T1132" s="4">
        <f>E1132&amp;"/"&amp;E1133</f>
        <v/>
      </c>
      <c r="U1132" s="4">
        <f>F1132&amp;"-"&amp;G1132&amp;"-"&amp;F1132</f>
        <v/>
      </c>
      <c r="V1132" s="4">
        <f>IF($M$1130="","",$M$1130)</f>
        <v/>
      </c>
      <c r="W1132" s="4">
        <f>IF($O$1130="","",$O$1130)</f>
        <v/>
      </c>
      <c r="X1132" s="4">
        <f>J1132</f>
        <v/>
      </c>
    </row>
    <row r="1133">
      <c r="B1133" s="4" t="n">
        <v>1183</v>
      </c>
      <c r="C1133" s="4" t="inlineStr">
        <is>
          <t>13/09/2026</t>
        </is>
      </c>
      <c r="D1133" s="4" t="inlineStr">
        <is>
          <t>domingo</t>
        </is>
      </c>
      <c r="E1133" s="4" t="n">
        <v>2214</v>
      </c>
      <c r="F1133" s="4" t="inlineStr">
        <is>
          <t>CIX</t>
        </is>
      </c>
      <c r="G1133" s="4" t="inlineStr">
        <is>
          <t>LIM</t>
        </is>
      </c>
      <c r="H1133" s="4" t="inlineStr">
        <is>
          <t>19:25:00</t>
        </is>
      </c>
      <c r="I1133" s="4" t="inlineStr">
        <is>
          <t>20:40:00</t>
        </is>
      </c>
      <c r="J1133" s="4" t="n">
        <v>320</v>
      </c>
      <c r="K1133">
        <f>TEXT(TIMEVALUE(H1133)-TIMEVALUE(I1132)+(TIMEVALUE(H1133)&lt;TIMEVALUE(I1132)),"[h]:mm")</f>
        <v/>
      </c>
      <c r="L1133" s="4" t="inlineStr">
        <is>
          <t>01:15:00</t>
        </is>
      </c>
      <c r="O1133">
        <f>"LIM-"&amp;G1132&amp;"-LIM   LA "&amp;E1132&amp;" ("&amp;LEFT(H1132,5)&amp;"-"&amp;LEFT(I1132,5)&amp;" hrs)  /  LA "&amp;E1133&amp;" ("&amp;LEFT(H1133,5)&amp;"-"&amp;LEFT(I1133,5)&amp;" hrs)"</f>
        <v/>
      </c>
    </row>
    <row r="1134">
      <c r="J1134" s="8" t="inlineStr">
        <is>
          <t>PSV total:</t>
        </is>
      </c>
      <c r="K1134" s="9">
        <f>TEXT(TIMEVALUE(I1133)-TIMEVALUE(H1130)+(I1133&lt;H1130),"[h]:mm")</f>
        <v/>
      </c>
    </row>
    <row r="1136">
      <c r="B1136" s="3" t="inlineStr">
        <is>
          <t>Pairing ID</t>
        </is>
      </c>
      <c r="C1136" s="3" t="inlineStr">
        <is>
          <t>FECHA REAL</t>
        </is>
      </c>
      <c r="D1136" s="3" t="inlineStr">
        <is>
          <t>Day of Week</t>
        </is>
      </c>
      <c r="E1136" s="3" t="inlineStr">
        <is>
          <t>Flight No</t>
        </is>
      </c>
      <c r="F1136" s="3" t="inlineStr">
        <is>
          <t>Dep Stn</t>
        </is>
      </c>
      <c r="G1136" s="3" t="inlineStr">
        <is>
          <t>Arr Stn</t>
        </is>
      </c>
      <c r="H1136" s="3" t="inlineStr">
        <is>
          <t>STD</t>
        </is>
      </c>
      <c r="I1136" s="3" t="inlineStr">
        <is>
          <t>STA</t>
        </is>
      </c>
      <c r="J1136" s="3" t="inlineStr">
        <is>
          <t>subflota</t>
        </is>
      </c>
      <c r="K1136" s="3" t="inlineStr">
        <is>
          <t>Conexion</t>
        </is>
      </c>
      <c r="L1136" s="3" t="inlineStr">
        <is>
          <t>HBT</t>
        </is>
      </c>
    </row>
    <row r="1137">
      <c r="B1137" s="4" t="n">
        <v>1165</v>
      </c>
      <c r="C1137" s="4" t="inlineStr">
        <is>
          <t>13/09/2026</t>
        </is>
      </c>
      <c r="D1137" s="4" t="inlineStr">
        <is>
          <t>domingo</t>
        </is>
      </c>
      <c r="E1137" s="4" t="n">
        <v>2087</v>
      </c>
      <c r="F1137" s="4" t="inlineStr">
        <is>
          <t>LIM</t>
        </is>
      </c>
      <c r="G1137" s="4" t="inlineStr">
        <is>
          <t>TPP</t>
        </is>
      </c>
      <c r="H1137" s="4" t="inlineStr">
        <is>
          <t>14:05:00</t>
        </is>
      </c>
      <c r="I1137" s="4" t="inlineStr">
        <is>
          <t>15:30:00</t>
        </is>
      </c>
      <c r="J1137" s="4" t="n">
        <v>320</v>
      </c>
      <c r="L1137" s="4" t="inlineStr">
        <is>
          <t>01:25:00</t>
        </is>
      </c>
      <c r="M1137" s="5" t="n"/>
      <c r="N1137" s="6" t="n"/>
      <c r="O1137" s="5" t="n"/>
      <c r="Q1137" s="4">
        <f>B1137</f>
        <v/>
      </c>
      <c r="R1137" s="4">
        <f>C1137</f>
        <v/>
      </c>
      <c r="S1137" s="4">
        <f>D1137</f>
        <v/>
      </c>
      <c r="T1137" s="4">
        <f>E1137&amp;"/"&amp;E1138</f>
        <v/>
      </c>
      <c r="U1137" s="4">
        <f>F1137&amp;"-"&amp;G1137&amp;"-"&amp;F1137</f>
        <v/>
      </c>
      <c r="V1137" s="4">
        <f>IF($M$1137="","",$M$1137)</f>
        <v/>
      </c>
      <c r="W1137" s="4">
        <f>IF($O$1137="","",$O$1137)</f>
        <v/>
      </c>
      <c r="X1137" s="4">
        <f>J1137</f>
        <v/>
      </c>
    </row>
    <row r="1138">
      <c r="B1138" s="4" t="n">
        <v>1165</v>
      </c>
      <c r="C1138" s="4" t="inlineStr">
        <is>
          <t>13/09/2026</t>
        </is>
      </c>
      <c r="D1138" s="4" t="inlineStr">
        <is>
          <t>domingo</t>
        </is>
      </c>
      <c r="E1138" s="4" t="n">
        <v>2088</v>
      </c>
      <c r="F1138" s="4" t="inlineStr">
        <is>
          <t>TPP</t>
        </is>
      </c>
      <c r="G1138" s="4" t="inlineStr">
        <is>
          <t>LIM</t>
        </is>
      </c>
      <c r="H1138" s="4" t="inlineStr">
        <is>
          <t>16:05:00</t>
        </is>
      </c>
      <c r="I1138" s="4" t="inlineStr">
        <is>
          <t>17:30:00</t>
        </is>
      </c>
      <c r="J1138" s="4" t="n">
        <v>320</v>
      </c>
      <c r="K1138">
        <f>TEXT(TIMEVALUE(H1138)-TIMEVALUE(I1137)+(TIMEVALUE(H1138)&lt;TIMEVALUE(I1137)),"[h]:mm")</f>
        <v/>
      </c>
      <c r="L1138" s="4" t="inlineStr">
        <is>
          <t>01:25:00</t>
        </is>
      </c>
      <c r="O1138">
        <f>"LIM-"&amp;G1137&amp;"-LIM   LA "&amp;E1137&amp;" ("&amp;LEFT(H1137,5)&amp;"-"&amp;LEFT(I1137,5)&amp;" hrs)  /  LA "&amp;E1138&amp;" ("&amp;LEFT(H1138,5)&amp;"-"&amp;LEFT(I1138,5)&amp;" hrs)"</f>
        <v/>
      </c>
    </row>
    <row r="1139">
      <c r="B1139" s="4" t="n">
        <v>1186</v>
      </c>
      <c r="C1139" s="4" t="inlineStr">
        <is>
          <t>13/09/2026</t>
        </is>
      </c>
      <c r="D1139" s="4" t="inlineStr">
        <is>
          <t>domingo</t>
        </is>
      </c>
      <c r="E1139" s="4" t="n">
        <v>2091</v>
      </c>
      <c r="F1139" s="4" t="inlineStr">
        <is>
          <t>LIM</t>
        </is>
      </c>
      <c r="G1139" s="4" t="inlineStr">
        <is>
          <t>TPP</t>
        </is>
      </c>
      <c r="H1139" s="4" t="inlineStr">
        <is>
          <t>18:35:00</t>
        </is>
      </c>
      <c r="I1139" s="4" t="inlineStr">
        <is>
          <t>20:00:00</t>
        </is>
      </c>
      <c r="J1139" s="4" t="n">
        <v>320</v>
      </c>
      <c r="K1139" s="7">
        <f>TEXT(TIMEVALUE(H1139)-TIMEVALUE(I1138)+(TIMEVALUE(H1139)&lt;TIMEVALUE(I1138)),"[h]:mm")</f>
        <v/>
      </c>
      <c r="L1139" s="4" t="inlineStr">
        <is>
          <t>01:25:00</t>
        </is>
      </c>
      <c r="M1139">
        <f>IF($M$1137="","",$M$1137)</f>
        <v/>
      </c>
      <c r="O1139">
        <f>IF($O$1137="","",$O$1137)</f>
        <v/>
      </c>
      <c r="Q1139" s="4">
        <f>B1139</f>
        <v/>
      </c>
      <c r="R1139" s="4">
        <f>C1139</f>
        <v/>
      </c>
      <c r="S1139" s="4">
        <f>D1139</f>
        <v/>
      </c>
      <c r="T1139" s="4">
        <f>E1139&amp;"/"&amp;E1140</f>
        <v/>
      </c>
      <c r="U1139" s="4">
        <f>F1139&amp;"-"&amp;G1139&amp;"-"&amp;F1139</f>
        <v/>
      </c>
      <c r="V1139" s="4">
        <f>IF($M$1137="","",$M$1137)</f>
        <v/>
      </c>
      <c r="W1139" s="4">
        <f>IF($O$1137="","",$O$1137)</f>
        <v/>
      </c>
      <c r="X1139" s="4">
        <f>J1139</f>
        <v/>
      </c>
    </row>
    <row r="1140">
      <c r="B1140" s="4" t="n">
        <v>1186</v>
      </c>
      <c r="C1140" s="4" t="inlineStr">
        <is>
          <t>13/09/2026</t>
        </is>
      </c>
      <c r="D1140" s="4" t="inlineStr">
        <is>
          <t>domingo</t>
        </is>
      </c>
      <c r="E1140" s="4" t="n">
        <v>2092</v>
      </c>
      <c r="F1140" s="4" t="inlineStr">
        <is>
          <t>TPP</t>
        </is>
      </c>
      <c r="G1140" s="4" t="inlineStr">
        <is>
          <t>LIM</t>
        </is>
      </c>
      <c r="H1140" s="4" t="inlineStr">
        <is>
          <t>20:40:00</t>
        </is>
      </c>
      <c r="I1140" s="4" t="inlineStr">
        <is>
          <t>22:05:00</t>
        </is>
      </c>
      <c r="J1140" s="4" t="n">
        <v>320</v>
      </c>
      <c r="K1140">
        <f>TEXT(TIMEVALUE(H1140)-TIMEVALUE(I1139)+(TIMEVALUE(H1140)&lt;TIMEVALUE(I1139)),"[h]:mm")</f>
        <v/>
      </c>
      <c r="L1140" s="4" t="inlineStr">
        <is>
          <t>01:25:00</t>
        </is>
      </c>
      <c r="O1140">
        <f>"LIM-"&amp;G1139&amp;"-LIM   LA "&amp;E1139&amp;" ("&amp;LEFT(H1139,5)&amp;"-"&amp;LEFT(I1139,5)&amp;" hrs)  /  LA "&amp;E1140&amp;" ("&amp;LEFT(H1140,5)&amp;"-"&amp;LEFT(I1140,5)&amp;" hrs)"</f>
        <v/>
      </c>
    </row>
    <row r="1141">
      <c r="J1141" s="8" t="inlineStr">
        <is>
          <t>PSV total:</t>
        </is>
      </c>
      <c r="K1141" s="9">
        <f>TEXT(TIMEVALUE(I1140)-TIMEVALUE(H1137)+(I1140&lt;H1137),"[h]:mm")</f>
        <v/>
      </c>
    </row>
    <row r="1143">
      <c r="B1143" s="3" t="inlineStr">
        <is>
          <t>Pairing ID</t>
        </is>
      </c>
      <c r="C1143" s="3" t="inlineStr">
        <is>
          <t>FECHA REAL</t>
        </is>
      </c>
      <c r="D1143" s="3" t="inlineStr">
        <is>
          <t>Day of Week</t>
        </is>
      </c>
      <c r="E1143" s="3" t="inlineStr">
        <is>
          <t>Flight No</t>
        </is>
      </c>
      <c r="F1143" s="3" t="inlineStr">
        <is>
          <t>Dep Stn</t>
        </is>
      </c>
      <c r="G1143" s="3" t="inlineStr">
        <is>
          <t>Arr Stn</t>
        </is>
      </c>
      <c r="H1143" s="3" t="inlineStr">
        <is>
          <t>STD</t>
        </is>
      </c>
      <c r="I1143" s="3" t="inlineStr">
        <is>
          <t>STA</t>
        </is>
      </c>
      <c r="J1143" s="3" t="inlineStr">
        <is>
          <t>subflota</t>
        </is>
      </c>
      <c r="K1143" s="3" t="inlineStr">
        <is>
          <t>Conexion</t>
        </is>
      </c>
      <c r="L1143" s="3" t="inlineStr">
        <is>
          <t>HBT</t>
        </is>
      </c>
    </row>
    <row r="1144">
      <c r="B1144" s="4" t="n">
        <v>1166</v>
      </c>
      <c r="C1144" s="4" t="inlineStr">
        <is>
          <t>13/09/2026</t>
        </is>
      </c>
      <c r="D1144" s="4" t="inlineStr">
        <is>
          <t>domingo</t>
        </is>
      </c>
      <c r="E1144" s="4" t="n">
        <v>2295</v>
      </c>
      <c r="F1144" s="4" t="inlineStr">
        <is>
          <t>LIM</t>
        </is>
      </c>
      <c r="G1144" s="4" t="inlineStr">
        <is>
          <t>CJA</t>
        </is>
      </c>
      <c r="H1144" s="4" t="inlineStr">
        <is>
          <t>14:10:00</t>
        </is>
      </c>
      <c r="I1144" s="4" t="inlineStr">
        <is>
          <t>15:30:00</t>
        </is>
      </c>
      <c r="J1144" s="4" t="n">
        <v>320</v>
      </c>
      <c r="L1144" s="4" t="inlineStr">
        <is>
          <t>01:20:00</t>
        </is>
      </c>
      <c r="M1144" s="5" t="n"/>
      <c r="N1144" s="6" t="n"/>
      <c r="O1144" s="5" t="n"/>
      <c r="Q1144" s="4">
        <f>B1144</f>
        <v/>
      </c>
      <c r="R1144" s="4">
        <f>C1144</f>
        <v/>
      </c>
      <c r="S1144" s="4">
        <f>D1144</f>
        <v/>
      </c>
      <c r="T1144" s="4">
        <f>E1144&amp;"/"&amp;E1145</f>
        <v/>
      </c>
      <c r="U1144" s="4">
        <f>F1144&amp;"-"&amp;G1144&amp;"-"&amp;F1144</f>
        <v/>
      </c>
      <c r="V1144" s="4">
        <f>IF($M$1144="","",$M$1144)</f>
        <v/>
      </c>
      <c r="W1144" s="4">
        <f>IF($O$1144="","",$O$1144)</f>
        <v/>
      </c>
      <c r="X1144" s="4">
        <f>J1144</f>
        <v/>
      </c>
    </row>
    <row r="1145">
      <c r="B1145" s="4" t="n">
        <v>1166</v>
      </c>
      <c r="C1145" s="4" t="inlineStr">
        <is>
          <t>13/09/2026</t>
        </is>
      </c>
      <c r="D1145" s="4" t="inlineStr">
        <is>
          <t>domingo</t>
        </is>
      </c>
      <c r="E1145" s="4" t="n">
        <v>2294</v>
      </c>
      <c r="F1145" s="4" t="inlineStr">
        <is>
          <t>CJA</t>
        </is>
      </c>
      <c r="G1145" s="4" t="inlineStr">
        <is>
          <t>LIM</t>
        </is>
      </c>
      <c r="H1145" s="4" t="inlineStr">
        <is>
          <t>16:10:00</t>
        </is>
      </c>
      <c r="I1145" s="4" t="inlineStr">
        <is>
          <t>17:15:00</t>
        </is>
      </c>
      <c r="J1145" s="4" t="n">
        <v>320</v>
      </c>
      <c r="K1145">
        <f>TEXT(TIMEVALUE(H1145)-TIMEVALUE(I1144)+(TIMEVALUE(H1145)&lt;TIMEVALUE(I1144)),"[h]:mm")</f>
        <v/>
      </c>
      <c r="L1145" s="4" t="inlineStr">
        <is>
          <t>01:05:00</t>
        </is>
      </c>
      <c r="O1145">
        <f>"LIM-"&amp;G1144&amp;"-LIM   LA "&amp;E1144&amp;" ("&amp;LEFT(H1144,5)&amp;"-"&amp;LEFT(I1144,5)&amp;" hrs)  /  LA "&amp;E1145&amp;" ("&amp;LEFT(H1145,5)&amp;"-"&amp;LEFT(I1145,5)&amp;" hrs)"</f>
        <v/>
      </c>
    </row>
    <row r="1146">
      <c r="B1146" s="4" t="n">
        <v>1185</v>
      </c>
      <c r="C1146" s="4" t="inlineStr">
        <is>
          <t>13/09/2026</t>
        </is>
      </c>
      <c r="D1146" s="4" t="inlineStr">
        <is>
          <t>domingo</t>
        </is>
      </c>
      <c r="E1146" s="4" t="n">
        <v>2039</v>
      </c>
      <c r="F1146" s="4" t="inlineStr">
        <is>
          <t>LIM</t>
        </is>
      </c>
      <c r="G1146" s="4" t="inlineStr">
        <is>
          <t>PCL</t>
        </is>
      </c>
      <c r="H1146" s="4" t="inlineStr">
        <is>
          <t>18:15:00</t>
        </is>
      </c>
      <c r="I1146" s="4" t="inlineStr">
        <is>
          <t>19:30:00</t>
        </is>
      </c>
      <c r="J1146" s="4" t="n">
        <v>320</v>
      </c>
      <c r="K1146" s="7">
        <f>TEXT(TIMEVALUE(H1146)-TIMEVALUE(I1145)+(TIMEVALUE(H1146)&lt;TIMEVALUE(I1145)),"[h]:mm")</f>
        <v/>
      </c>
      <c r="L1146" s="4" t="inlineStr">
        <is>
          <t>01:15:00</t>
        </is>
      </c>
      <c r="M1146">
        <f>IF($M$1144="","",$M$1144)</f>
        <v/>
      </c>
      <c r="O1146">
        <f>IF($O$1144="","",$O$1144)</f>
        <v/>
      </c>
      <c r="Q1146" s="4">
        <f>B1146</f>
        <v/>
      </c>
      <c r="R1146" s="4">
        <f>C1146</f>
        <v/>
      </c>
      <c r="S1146" s="4">
        <f>D1146</f>
        <v/>
      </c>
      <c r="T1146" s="4">
        <f>E1146&amp;"/"&amp;E1147</f>
        <v/>
      </c>
      <c r="U1146" s="4">
        <f>F1146&amp;"-"&amp;G1146&amp;"-"&amp;F1146</f>
        <v/>
      </c>
      <c r="V1146" s="4">
        <f>IF($M$1144="","",$M$1144)</f>
        <v/>
      </c>
      <c r="W1146" s="4">
        <f>IF($O$1144="","",$O$1144)</f>
        <v/>
      </c>
      <c r="X1146" s="4">
        <f>J1146</f>
        <v/>
      </c>
    </row>
    <row r="1147">
      <c r="B1147" s="4" t="n">
        <v>1185</v>
      </c>
      <c r="C1147" s="4" t="inlineStr">
        <is>
          <t>13/09/2026</t>
        </is>
      </c>
      <c r="D1147" s="4" t="inlineStr">
        <is>
          <t>domingo</t>
        </is>
      </c>
      <c r="E1147" s="4" t="n">
        <v>2040</v>
      </c>
      <c r="F1147" s="4" t="inlineStr">
        <is>
          <t>PCL</t>
        </is>
      </c>
      <c r="G1147" s="4" t="inlineStr">
        <is>
          <t>LIM</t>
        </is>
      </c>
      <c r="H1147" s="4" t="inlineStr">
        <is>
          <t>20:15:00</t>
        </is>
      </c>
      <c r="I1147" s="4" t="inlineStr">
        <is>
          <t>21:30:00</t>
        </is>
      </c>
      <c r="J1147" s="4" t="n">
        <v>320</v>
      </c>
      <c r="K1147">
        <f>TEXT(TIMEVALUE(H1147)-TIMEVALUE(I1146)+(TIMEVALUE(H1147)&lt;TIMEVALUE(I1146)),"[h]:mm")</f>
        <v/>
      </c>
      <c r="L1147" s="4" t="inlineStr">
        <is>
          <t>01:15:00</t>
        </is>
      </c>
      <c r="O1147">
        <f>"LIM-"&amp;G1146&amp;"-LIM   LA "&amp;E1146&amp;" ("&amp;LEFT(H1146,5)&amp;"-"&amp;LEFT(I1146,5)&amp;" hrs)  /  LA "&amp;E1147&amp;" ("&amp;LEFT(H1147,5)&amp;"-"&amp;LEFT(I1147,5)&amp;" hrs)"</f>
        <v/>
      </c>
    </row>
    <row r="1148">
      <c r="J1148" s="8" t="inlineStr">
        <is>
          <t>PSV total:</t>
        </is>
      </c>
      <c r="K1148" s="9">
        <f>TEXT(TIMEVALUE(I1147)-TIMEVALUE(H1144)+(I1147&lt;H1144),"[h]:mm")</f>
        <v/>
      </c>
    </row>
    <row r="1150">
      <c r="B1150" s="3" t="inlineStr">
        <is>
          <t>Pairing ID</t>
        </is>
      </c>
      <c r="C1150" s="3" t="inlineStr">
        <is>
          <t>FECHA REAL</t>
        </is>
      </c>
      <c r="D1150" s="3" t="inlineStr">
        <is>
          <t>Day of Week</t>
        </is>
      </c>
      <c r="E1150" s="3" t="inlineStr">
        <is>
          <t>Flight No</t>
        </is>
      </c>
      <c r="F1150" s="3" t="inlineStr">
        <is>
          <t>Dep Stn</t>
        </is>
      </c>
      <c r="G1150" s="3" t="inlineStr">
        <is>
          <t>Arr Stn</t>
        </is>
      </c>
      <c r="H1150" s="3" t="inlineStr">
        <is>
          <t>STD</t>
        </is>
      </c>
      <c r="I1150" s="3" t="inlineStr">
        <is>
          <t>STA</t>
        </is>
      </c>
      <c r="J1150" s="3" t="inlineStr">
        <is>
          <t>subflota</t>
        </is>
      </c>
      <c r="K1150" s="3" t="inlineStr">
        <is>
          <t>Conexion</t>
        </is>
      </c>
      <c r="L1150" s="3" t="inlineStr">
        <is>
          <t>HBT</t>
        </is>
      </c>
    </row>
    <row r="1151">
      <c r="B1151" s="4" t="n">
        <v>1167</v>
      </c>
      <c r="C1151" s="4" t="inlineStr">
        <is>
          <t>13/09/2026</t>
        </is>
      </c>
      <c r="D1151" s="4" t="inlineStr">
        <is>
          <t>domingo</t>
        </is>
      </c>
      <c r="E1151" s="4" t="n">
        <v>2295</v>
      </c>
      <c r="F1151" s="4" t="inlineStr">
        <is>
          <t>LIM</t>
        </is>
      </c>
      <c r="G1151" s="4" t="inlineStr">
        <is>
          <t>CJA</t>
        </is>
      </c>
      <c r="H1151" s="4" t="inlineStr">
        <is>
          <t>14:10:00</t>
        </is>
      </c>
      <c r="I1151" s="4" t="inlineStr">
        <is>
          <t>15:30:00</t>
        </is>
      </c>
      <c r="J1151" s="4" t="n">
        <v>320</v>
      </c>
      <c r="L1151" s="4" t="inlineStr">
        <is>
          <t>01:20:00</t>
        </is>
      </c>
      <c r="M1151" s="5" t="n"/>
      <c r="N1151" s="6" t="n"/>
      <c r="O1151" s="5" t="n"/>
      <c r="Q1151" s="4">
        <f>B1151</f>
        <v/>
      </c>
      <c r="R1151" s="4">
        <f>C1151</f>
        <v/>
      </c>
      <c r="S1151" s="4">
        <f>D1151</f>
        <v/>
      </c>
      <c r="T1151" s="4">
        <f>E1151&amp;"/"&amp;E1152</f>
        <v/>
      </c>
      <c r="U1151" s="4">
        <f>F1151&amp;"-"&amp;G1151&amp;"-"&amp;F1151</f>
        <v/>
      </c>
      <c r="V1151" s="4">
        <f>IF($M$1151="","",$M$1151)</f>
        <v/>
      </c>
      <c r="W1151" s="4">
        <f>IF($O$1151="","",$O$1151)</f>
        <v/>
      </c>
      <c r="X1151" s="4">
        <f>J1151</f>
        <v/>
      </c>
    </row>
    <row r="1152">
      <c r="B1152" s="4" t="n">
        <v>1167</v>
      </c>
      <c r="C1152" s="4" t="inlineStr">
        <is>
          <t>13/09/2026</t>
        </is>
      </c>
      <c r="D1152" s="4" t="inlineStr">
        <is>
          <t>domingo</t>
        </is>
      </c>
      <c r="E1152" s="4" t="n">
        <v>2294</v>
      </c>
      <c r="F1152" s="4" t="inlineStr">
        <is>
          <t>CJA</t>
        </is>
      </c>
      <c r="G1152" s="4" t="inlineStr">
        <is>
          <t>LIM</t>
        </is>
      </c>
      <c r="H1152" s="4" t="inlineStr">
        <is>
          <t>16:10:00</t>
        </is>
      </c>
      <c r="I1152" s="4" t="inlineStr">
        <is>
          <t>17:15:00</t>
        </is>
      </c>
      <c r="J1152" s="4" t="n">
        <v>320</v>
      </c>
      <c r="K1152">
        <f>TEXT(TIMEVALUE(H1152)-TIMEVALUE(I1151)+(TIMEVALUE(H1152)&lt;TIMEVALUE(I1151)),"[h]:mm")</f>
        <v/>
      </c>
      <c r="L1152" s="4" t="inlineStr">
        <is>
          <t>01:05:00</t>
        </is>
      </c>
      <c r="O1152">
        <f>"LIM-"&amp;G1151&amp;"-LIM   LA "&amp;E1151&amp;" ("&amp;LEFT(H1151,5)&amp;"-"&amp;LEFT(I1151,5)&amp;" hrs)  /  LA "&amp;E1152&amp;" ("&amp;LEFT(H1152,5)&amp;"-"&amp;LEFT(I1152,5)&amp;" hrs)"</f>
        <v/>
      </c>
    </row>
    <row r="1153">
      <c r="B1153" s="4" t="n">
        <v>1187</v>
      </c>
      <c r="C1153" s="4" t="inlineStr">
        <is>
          <t>13/09/2026</t>
        </is>
      </c>
      <c r="D1153" s="4" t="inlineStr">
        <is>
          <t>domingo</t>
        </is>
      </c>
      <c r="E1153" s="4" t="n">
        <v>2117</v>
      </c>
      <c r="F1153" s="4" t="inlineStr">
        <is>
          <t>LIM</t>
        </is>
      </c>
      <c r="G1153" s="4" t="inlineStr">
        <is>
          <t>AQP</t>
        </is>
      </c>
      <c r="H1153" s="4" t="inlineStr">
        <is>
          <t>18:35:00</t>
        </is>
      </c>
      <c r="I1153" s="4" t="inlineStr">
        <is>
          <t>20:05:00</t>
        </is>
      </c>
      <c r="J1153" s="4" t="n">
        <v>320</v>
      </c>
      <c r="K1153" s="7">
        <f>TEXT(TIMEVALUE(H1153)-TIMEVALUE(I1152)+(TIMEVALUE(H1153)&lt;TIMEVALUE(I1152)),"[h]:mm")</f>
        <v/>
      </c>
      <c r="L1153" s="4" t="inlineStr">
        <is>
          <t>01:30:00</t>
        </is>
      </c>
      <c r="M1153">
        <f>IF($M$1151="","",$M$1151)</f>
        <v/>
      </c>
      <c r="O1153">
        <f>IF($O$1151="","",$O$1151)</f>
        <v/>
      </c>
      <c r="Q1153" s="4">
        <f>B1153</f>
        <v/>
      </c>
      <c r="R1153" s="4">
        <f>C1153</f>
        <v/>
      </c>
      <c r="S1153" s="4">
        <f>D1153</f>
        <v/>
      </c>
      <c r="T1153" s="4">
        <f>E1153&amp;"/"&amp;E1154</f>
        <v/>
      </c>
      <c r="U1153" s="4">
        <f>F1153&amp;"-"&amp;G1153&amp;"-"&amp;F1153</f>
        <v/>
      </c>
      <c r="V1153" s="4">
        <f>IF($M$1151="","",$M$1151)</f>
        <v/>
      </c>
      <c r="W1153" s="4">
        <f>IF($O$1151="","",$O$1151)</f>
        <v/>
      </c>
      <c r="X1153" s="4">
        <f>J1153</f>
        <v/>
      </c>
    </row>
    <row r="1154">
      <c r="B1154" s="4" t="n">
        <v>1187</v>
      </c>
      <c r="C1154" s="4" t="inlineStr">
        <is>
          <t>13/09/2026</t>
        </is>
      </c>
      <c r="D1154" s="4" t="inlineStr">
        <is>
          <t>domingo</t>
        </is>
      </c>
      <c r="E1154" s="4" t="n">
        <v>2116</v>
      </c>
      <c r="F1154" s="4" t="inlineStr">
        <is>
          <t>AQP</t>
        </is>
      </c>
      <c r="G1154" s="4" t="inlineStr">
        <is>
          <t>LIM</t>
        </is>
      </c>
      <c r="H1154" s="4" t="inlineStr">
        <is>
          <t>20:40:00</t>
        </is>
      </c>
      <c r="I1154" s="4" t="inlineStr">
        <is>
          <t>22:20:00</t>
        </is>
      </c>
      <c r="J1154" s="4" t="n">
        <v>320</v>
      </c>
      <c r="K1154">
        <f>TEXT(TIMEVALUE(H1154)-TIMEVALUE(I1153)+(TIMEVALUE(H1154)&lt;TIMEVALUE(I1153)),"[h]:mm")</f>
        <v/>
      </c>
      <c r="L1154" s="4" t="inlineStr">
        <is>
          <t>01:40:00</t>
        </is>
      </c>
      <c r="O1154">
        <f>"LIM-"&amp;G1153&amp;"-LIM   LA "&amp;E1153&amp;" ("&amp;LEFT(H1153,5)&amp;"-"&amp;LEFT(I1153,5)&amp;" hrs)  /  LA "&amp;E1154&amp;" ("&amp;LEFT(H1154,5)&amp;"-"&amp;LEFT(I1154,5)&amp;" hrs)"</f>
        <v/>
      </c>
    </row>
    <row r="1155">
      <c r="J1155" s="8" t="inlineStr">
        <is>
          <t>PSV total:</t>
        </is>
      </c>
      <c r="K1155" s="9">
        <f>TEXT(TIMEVALUE(I1154)-TIMEVALUE(H1151)+(I1154&lt;H1151),"[h]:mm")</f>
        <v/>
      </c>
    </row>
    <row r="1157">
      <c r="B1157" s="3" t="inlineStr">
        <is>
          <t>Pairing ID</t>
        </is>
      </c>
      <c r="C1157" s="3" t="inlineStr">
        <is>
          <t>FECHA REAL</t>
        </is>
      </c>
      <c r="D1157" s="3" t="inlineStr">
        <is>
          <t>Day of Week</t>
        </is>
      </c>
      <c r="E1157" s="3" t="inlineStr">
        <is>
          <t>Flight No</t>
        </is>
      </c>
      <c r="F1157" s="3" t="inlineStr">
        <is>
          <t>Dep Stn</t>
        </is>
      </c>
      <c r="G1157" s="3" t="inlineStr">
        <is>
          <t>Arr Stn</t>
        </is>
      </c>
      <c r="H1157" s="3" t="inlineStr">
        <is>
          <t>STD</t>
        </is>
      </c>
      <c r="I1157" s="3" t="inlineStr">
        <is>
          <t>STA</t>
        </is>
      </c>
      <c r="J1157" s="3" t="inlineStr">
        <is>
          <t>subflota</t>
        </is>
      </c>
      <c r="K1157" s="3" t="inlineStr">
        <is>
          <t>Conexion</t>
        </is>
      </c>
      <c r="L1157" s="3" t="inlineStr">
        <is>
          <t>HBT</t>
        </is>
      </c>
    </row>
    <row r="1158">
      <c r="B1158" s="4" t="n">
        <v>1168</v>
      </c>
      <c r="C1158" s="4" t="inlineStr">
        <is>
          <t>13/09/2026</t>
        </is>
      </c>
      <c r="D1158" s="4" t="inlineStr">
        <is>
          <t>domingo</t>
        </is>
      </c>
      <c r="E1158" s="4" t="n">
        <v>2282</v>
      </c>
      <c r="F1158" s="4" t="inlineStr">
        <is>
          <t>LIM</t>
        </is>
      </c>
      <c r="G1158" s="4" t="inlineStr">
        <is>
          <t>CIX</t>
        </is>
      </c>
      <c r="H1158" s="4" t="inlineStr">
        <is>
          <t>14:35:00</t>
        </is>
      </c>
      <c r="I1158" s="4" t="inlineStr">
        <is>
          <t>16:05:00</t>
        </is>
      </c>
      <c r="J1158" s="4" t="n">
        <v>320</v>
      </c>
      <c r="L1158" s="4" t="inlineStr">
        <is>
          <t>01:30:00</t>
        </is>
      </c>
      <c r="M1158" s="5" t="n"/>
      <c r="N1158" s="6" t="n"/>
      <c r="O1158" s="5" t="n"/>
      <c r="Q1158" s="4">
        <f>B1158</f>
        <v/>
      </c>
      <c r="R1158" s="4">
        <f>C1158</f>
        <v/>
      </c>
      <c r="S1158" s="4">
        <f>D1158</f>
        <v/>
      </c>
      <c r="T1158" s="4">
        <f>E1158&amp;"/"&amp;E1159</f>
        <v/>
      </c>
      <c r="U1158" s="4">
        <f>F1158&amp;"-"&amp;G1158&amp;"-"&amp;F1158</f>
        <v/>
      </c>
      <c r="V1158" s="4">
        <f>IF($M$1158="","",$M$1158)</f>
        <v/>
      </c>
      <c r="W1158" s="4">
        <f>IF($O$1158="","",$O$1158)</f>
        <v/>
      </c>
      <c r="X1158" s="4">
        <f>J1158</f>
        <v/>
      </c>
    </row>
    <row r="1159">
      <c r="B1159" s="4" t="n">
        <v>1168</v>
      </c>
      <c r="C1159" s="4" t="inlineStr">
        <is>
          <t>13/09/2026</t>
        </is>
      </c>
      <c r="D1159" s="4" t="inlineStr">
        <is>
          <t>domingo</t>
        </is>
      </c>
      <c r="E1159" s="4" t="n">
        <v>2283</v>
      </c>
      <c r="F1159" s="4" t="inlineStr">
        <is>
          <t>CIX</t>
        </is>
      </c>
      <c r="G1159" s="4" t="inlineStr">
        <is>
          <t>LIM</t>
        </is>
      </c>
      <c r="H1159" s="4" t="inlineStr">
        <is>
          <t>16:50:00</t>
        </is>
      </c>
      <c r="I1159" s="4" t="inlineStr">
        <is>
          <t>18:10:00</t>
        </is>
      </c>
      <c r="J1159" s="4" t="n">
        <v>320</v>
      </c>
      <c r="K1159">
        <f>TEXT(TIMEVALUE(H1159)-TIMEVALUE(I1158)+(TIMEVALUE(H1159)&lt;TIMEVALUE(I1158)),"[h]:mm")</f>
        <v/>
      </c>
      <c r="L1159" s="4" t="inlineStr">
        <is>
          <t>01:20:00</t>
        </is>
      </c>
      <c r="O1159">
        <f>"LIM-"&amp;G1158&amp;"-LIM   LA "&amp;E1158&amp;" ("&amp;LEFT(H1158,5)&amp;"-"&amp;LEFT(I1158,5)&amp;" hrs)  /  LA "&amp;E1159&amp;" ("&amp;LEFT(H1159,5)&amp;"-"&amp;LEFT(I1159,5)&amp;" hrs)"</f>
        <v/>
      </c>
    </row>
    <row r="1160">
      <c r="J1160" s="8" t="inlineStr">
        <is>
          <t>PSV total:</t>
        </is>
      </c>
      <c r="K1160" s="9">
        <f>TEXT(TIMEVALUE(I1159)-TIMEVALUE(H1158)+(I1159&lt;H1158),"[h]:mm")</f>
        <v/>
      </c>
    </row>
    <row r="1162">
      <c r="B1162" s="3" t="inlineStr">
        <is>
          <t>Pairing ID</t>
        </is>
      </c>
      <c r="C1162" s="3" t="inlineStr">
        <is>
          <t>FECHA REAL</t>
        </is>
      </c>
      <c r="D1162" s="3" t="inlineStr">
        <is>
          <t>Day of Week</t>
        </is>
      </c>
      <c r="E1162" s="3" t="inlineStr">
        <is>
          <t>Flight No</t>
        </is>
      </c>
      <c r="F1162" s="3" t="inlineStr">
        <is>
          <t>Dep Stn</t>
        </is>
      </c>
      <c r="G1162" s="3" t="inlineStr">
        <is>
          <t>Arr Stn</t>
        </is>
      </c>
      <c r="H1162" s="3" t="inlineStr">
        <is>
          <t>STD</t>
        </is>
      </c>
      <c r="I1162" s="3" t="inlineStr">
        <is>
          <t>STA</t>
        </is>
      </c>
      <c r="J1162" s="3" t="inlineStr">
        <is>
          <t>subflota</t>
        </is>
      </c>
      <c r="K1162" s="3" t="inlineStr">
        <is>
          <t>Conexion</t>
        </is>
      </c>
      <c r="L1162" s="3" t="inlineStr">
        <is>
          <t>HBT</t>
        </is>
      </c>
    </row>
    <row r="1163">
      <c r="B1163" s="4" t="n">
        <v>1169</v>
      </c>
      <c r="C1163" s="4" t="inlineStr">
        <is>
          <t>13/09/2026</t>
        </is>
      </c>
      <c r="D1163" s="4" t="inlineStr">
        <is>
          <t>domingo</t>
        </is>
      </c>
      <c r="E1163" s="4" t="n">
        <v>2022</v>
      </c>
      <c r="F1163" s="4" t="inlineStr">
        <is>
          <t>LIM</t>
        </is>
      </c>
      <c r="G1163" s="4" t="inlineStr">
        <is>
          <t>CUZ</t>
        </is>
      </c>
      <c r="H1163" s="4" t="inlineStr">
        <is>
          <t>14:50:00</t>
        </is>
      </c>
      <c r="I1163" s="4" t="inlineStr">
        <is>
          <t>16:10:00</t>
        </is>
      </c>
      <c r="J1163" s="4" t="n">
        <v>320</v>
      </c>
      <c r="L1163" s="4" t="inlineStr">
        <is>
          <t>01:20:00</t>
        </is>
      </c>
      <c r="M1163" s="5" t="n"/>
      <c r="N1163" s="6" t="n"/>
      <c r="O1163" s="5" t="n"/>
      <c r="Q1163" s="4">
        <f>B1163</f>
        <v/>
      </c>
      <c r="R1163" s="4">
        <f>C1163</f>
        <v/>
      </c>
      <c r="S1163" s="4">
        <f>D1163</f>
        <v/>
      </c>
      <c r="T1163" s="4">
        <f>E1163&amp;"/"&amp;E1164</f>
        <v/>
      </c>
      <c r="U1163" s="4">
        <f>F1163&amp;"-"&amp;G1163&amp;"-"&amp;F1163</f>
        <v/>
      </c>
      <c r="V1163" s="4">
        <f>IF($M$1163="","",$M$1163)</f>
        <v/>
      </c>
      <c r="W1163" s="4">
        <f>IF($O$1163="","",$O$1163)</f>
        <v/>
      </c>
      <c r="X1163" s="4">
        <f>J1163</f>
        <v/>
      </c>
    </row>
    <row r="1164">
      <c r="B1164" s="4" t="n">
        <v>1169</v>
      </c>
      <c r="C1164" s="4" t="inlineStr">
        <is>
          <t>13/09/2026</t>
        </is>
      </c>
      <c r="D1164" s="4" t="inlineStr">
        <is>
          <t>domingo</t>
        </is>
      </c>
      <c r="E1164" s="4" t="n">
        <v>2025</v>
      </c>
      <c r="F1164" s="4" t="inlineStr">
        <is>
          <t>CUZ</t>
        </is>
      </c>
      <c r="G1164" s="4" t="inlineStr">
        <is>
          <t>LIM</t>
        </is>
      </c>
      <c r="H1164" s="4" t="inlineStr">
        <is>
          <t>16:55:00</t>
        </is>
      </c>
      <c r="I1164" s="4" t="inlineStr">
        <is>
          <t>18:30:00</t>
        </is>
      </c>
      <c r="J1164" s="4" t="n">
        <v>320</v>
      </c>
      <c r="K1164">
        <f>TEXT(TIMEVALUE(H1164)-TIMEVALUE(I1163)+(TIMEVALUE(H1164)&lt;TIMEVALUE(I1163)),"[h]:mm")</f>
        <v/>
      </c>
      <c r="L1164" s="4" t="inlineStr">
        <is>
          <t>01:35:00</t>
        </is>
      </c>
      <c r="O1164">
        <f>"LIM-"&amp;G1163&amp;"-LIM   LA "&amp;E1163&amp;" ("&amp;LEFT(H1163,5)&amp;"-"&amp;LEFT(I1163,5)&amp;" hrs)  /  LA "&amp;E1164&amp;" ("&amp;LEFT(H1164,5)&amp;"-"&amp;LEFT(I1164,5)&amp;" hrs)"</f>
        <v/>
      </c>
    </row>
    <row r="1165">
      <c r="J1165" s="8" t="inlineStr">
        <is>
          <t>PSV total:</t>
        </is>
      </c>
      <c r="K1165" s="9">
        <f>TEXT(TIMEVALUE(I1164)-TIMEVALUE(H1163)+(I1164&lt;H1163),"[h]:mm")</f>
        <v/>
      </c>
    </row>
    <row r="1167">
      <c r="B1167" s="3" t="inlineStr">
        <is>
          <t>Pairing ID</t>
        </is>
      </c>
      <c r="C1167" s="3" t="inlineStr">
        <is>
          <t>FECHA REAL</t>
        </is>
      </c>
      <c r="D1167" s="3" t="inlineStr">
        <is>
          <t>Day of Week</t>
        </is>
      </c>
      <c r="E1167" s="3" t="inlineStr">
        <is>
          <t>Flight No</t>
        </is>
      </c>
      <c r="F1167" s="3" t="inlineStr">
        <is>
          <t>Dep Stn</t>
        </is>
      </c>
      <c r="G1167" s="3" t="inlineStr">
        <is>
          <t>Arr Stn</t>
        </is>
      </c>
      <c r="H1167" s="3" t="inlineStr">
        <is>
          <t>STD</t>
        </is>
      </c>
      <c r="I1167" s="3" t="inlineStr">
        <is>
          <t>STA</t>
        </is>
      </c>
      <c r="J1167" s="3" t="inlineStr">
        <is>
          <t>subflota</t>
        </is>
      </c>
      <c r="K1167" s="3" t="inlineStr">
        <is>
          <t>Conexion</t>
        </is>
      </c>
      <c r="L1167" s="3" t="inlineStr">
        <is>
          <t>HBT</t>
        </is>
      </c>
    </row>
    <row r="1168">
      <c r="B1168" s="4" t="n">
        <v>1171</v>
      </c>
      <c r="C1168" s="4" t="inlineStr">
        <is>
          <t>13/09/2026</t>
        </is>
      </c>
      <c r="D1168" s="4" t="inlineStr">
        <is>
          <t>domingo</t>
        </is>
      </c>
      <c r="E1168" s="4" t="n">
        <v>2338</v>
      </c>
      <c r="F1168" s="4" t="inlineStr">
        <is>
          <t>LIM</t>
        </is>
      </c>
      <c r="G1168" s="4" t="inlineStr">
        <is>
          <t>PIU</t>
        </is>
      </c>
      <c r="H1168" s="4" t="inlineStr">
        <is>
          <t>15:00:00</t>
        </is>
      </c>
      <c r="I1168" s="4" t="inlineStr">
        <is>
          <t>16:45:00</t>
        </is>
      </c>
      <c r="J1168" s="4" t="n">
        <v>319</v>
      </c>
      <c r="L1168" s="4" t="inlineStr">
        <is>
          <t>01:45:00</t>
        </is>
      </c>
      <c r="M1168" s="5" t="n"/>
      <c r="N1168" s="6" t="n"/>
      <c r="O1168" s="5" t="n"/>
      <c r="Q1168" s="4">
        <f>B1168</f>
        <v/>
      </c>
      <c r="R1168" s="4">
        <f>C1168</f>
        <v/>
      </c>
      <c r="S1168" s="4">
        <f>D1168</f>
        <v/>
      </c>
      <c r="T1168" s="4">
        <f>E1168&amp;"/"&amp;E1169</f>
        <v/>
      </c>
      <c r="U1168" s="4">
        <f>F1168&amp;"-"&amp;G1168&amp;"-"&amp;F1168</f>
        <v/>
      </c>
      <c r="V1168" s="4">
        <f>IF($M$1168="","",$M$1168)</f>
        <v/>
      </c>
      <c r="W1168" s="4">
        <f>IF($O$1168="","",$O$1168)</f>
        <v/>
      </c>
      <c r="X1168" s="4">
        <f>J1168</f>
        <v/>
      </c>
    </row>
    <row r="1169">
      <c r="B1169" s="4" t="n">
        <v>1171</v>
      </c>
      <c r="C1169" s="4" t="inlineStr">
        <is>
          <t>13/09/2026</t>
        </is>
      </c>
      <c r="D1169" s="4" t="inlineStr">
        <is>
          <t>domingo</t>
        </is>
      </c>
      <c r="E1169" s="4" t="n">
        <v>2339</v>
      </c>
      <c r="F1169" s="4" t="inlineStr">
        <is>
          <t>PIU</t>
        </is>
      </c>
      <c r="G1169" s="4" t="inlineStr">
        <is>
          <t>LIM</t>
        </is>
      </c>
      <c r="H1169" s="4" t="inlineStr">
        <is>
          <t>17:20:00</t>
        </is>
      </c>
      <c r="I1169" s="4" t="inlineStr">
        <is>
          <t>18:50:00</t>
        </is>
      </c>
      <c r="J1169" s="4" t="n">
        <v>319</v>
      </c>
      <c r="K1169">
        <f>TEXT(TIMEVALUE(H1169)-TIMEVALUE(I1168)+(TIMEVALUE(H1169)&lt;TIMEVALUE(I1168)),"[h]:mm")</f>
        <v/>
      </c>
      <c r="L1169" s="4" t="inlineStr">
        <is>
          <t>01:30:00</t>
        </is>
      </c>
      <c r="O1169">
        <f>"LIM-"&amp;G1168&amp;"-LIM   LA "&amp;E1168&amp;" ("&amp;LEFT(H1168,5)&amp;"-"&amp;LEFT(I1168,5)&amp;" hrs)  /  LA "&amp;E1169&amp;" ("&amp;LEFT(H1169,5)&amp;"-"&amp;LEFT(I1169,5)&amp;" hrs)"</f>
        <v/>
      </c>
    </row>
    <row r="1170">
      <c r="J1170" s="8" t="inlineStr">
        <is>
          <t>PSV total:</t>
        </is>
      </c>
      <c r="K1170" s="9">
        <f>TEXT(TIMEVALUE(I1169)-TIMEVALUE(H1168)+(I1169&lt;H1168),"[h]:mm")</f>
        <v/>
      </c>
    </row>
    <row r="1172">
      <c r="B1172" s="3" t="inlineStr">
        <is>
          <t>Pairing ID</t>
        </is>
      </c>
      <c r="C1172" s="3" t="inlineStr">
        <is>
          <t>FECHA REAL</t>
        </is>
      </c>
      <c r="D1172" s="3" t="inlineStr">
        <is>
          <t>Day of Week</t>
        </is>
      </c>
      <c r="E1172" s="3" t="inlineStr">
        <is>
          <t>Flight No</t>
        </is>
      </c>
      <c r="F1172" s="3" t="inlineStr">
        <is>
          <t>Dep Stn</t>
        </is>
      </c>
      <c r="G1172" s="3" t="inlineStr">
        <is>
          <t>Arr Stn</t>
        </is>
      </c>
      <c r="H1172" s="3" t="inlineStr">
        <is>
          <t>STD</t>
        </is>
      </c>
      <c r="I1172" s="3" t="inlineStr">
        <is>
          <t>STA</t>
        </is>
      </c>
      <c r="J1172" s="3" t="inlineStr">
        <is>
          <t>subflota</t>
        </is>
      </c>
      <c r="K1172" s="3" t="inlineStr">
        <is>
          <t>Conexion</t>
        </is>
      </c>
      <c r="L1172" s="3" t="inlineStr">
        <is>
          <t>HBT</t>
        </is>
      </c>
    </row>
    <row r="1173">
      <c r="B1173" s="4" t="n">
        <v>1172</v>
      </c>
      <c r="C1173" s="4" t="inlineStr">
        <is>
          <t>13/09/2026</t>
        </is>
      </c>
      <c r="D1173" s="4" t="inlineStr">
        <is>
          <t>domingo</t>
        </is>
      </c>
      <c r="E1173" s="4" t="n">
        <v>2113</v>
      </c>
      <c r="F1173" s="4" t="inlineStr">
        <is>
          <t>LIM</t>
        </is>
      </c>
      <c r="G1173" s="4" t="inlineStr">
        <is>
          <t>AQP</t>
        </is>
      </c>
      <c r="H1173" s="4" t="inlineStr">
        <is>
          <t>15:05:00</t>
        </is>
      </c>
      <c r="I1173" s="4" t="inlineStr">
        <is>
          <t>16:35:00</t>
        </is>
      </c>
      <c r="J1173" s="4" t="n">
        <v>320</v>
      </c>
      <c r="L1173" s="4" t="inlineStr">
        <is>
          <t>01:30:00</t>
        </is>
      </c>
      <c r="M1173" s="5" t="n"/>
      <c r="N1173" s="6" t="n"/>
      <c r="O1173" s="5" t="n"/>
      <c r="Q1173" s="4">
        <f>B1173</f>
        <v/>
      </c>
      <c r="R1173" s="4">
        <f>C1173</f>
        <v/>
      </c>
      <c r="S1173" s="4">
        <f>D1173</f>
        <v/>
      </c>
      <c r="T1173" s="4">
        <f>E1173&amp;"/"&amp;E1174</f>
        <v/>
      </c>
      <c r="U1173" s="4">
        <f>F1173&amp;"-"&amp;G1173&amp;"-"&amp;F1173</f>
        <v/>
      </c>
      <c r="V1173" s="4">
        <f>IF($M$1173="","",$M$1173)</f>
        <v/>
      </c>
      <c r="W1173" s="4">
        <f>IF($O$1173="","",$O$1173)</f>
        <v/>
      </c>
      <c r="X1173" s="4">
        <f>J1173</f>
        <v/>
      </c>
    </row>
    <row r="1174">
      <c r="B1174" s="4" t="n">
        <v>1172</v>
      </c>
      <c r="C1174" s="4" t="inlineStr">
        <is>
          <t>13/09/2026</t>
        </is>
      </c>
      <c r="D1174" s="4" t="inlineStr">
        <is>
          <t>domingo</t>
        </is>
      </c>
      <c r="E1174" s="4" t="n">
        <v>2112</v>
      </c>
      <c r="F1174" s="4" t="inlineStr">
        <is>
          <t>AQP</t>
        </is>
      </c>
      <c r="G1174" s="4" t="inlineStr">
        <is>
          <t>LIM</t>
        </is>
      </c>
      <c r="H1174" s="4" t="inlineStr">
        <is>
          <t>17:15:00</t>
        </is>
      </c>
      <c r="I1174" s="4" t="inlineStr">
        <is>
          <t>18:55:00</t>
        </is>
      </c>
      <c r="J1174" s="4" t="n">
        <v>320</v>
      </c>
      <c r="K1174">
        <f>TEXT(TIMEVALUE(H1174)-TIMEVALUE(I1173)+(TIMEVALUE(H1174)&lt;TIMEVALUE(I1173)),"[h]:mm")</f>
        <v/>
      </c>
      <c r="L1174" s="4" t="inlineStr">
        <is>
          <t>01:40:00</t>
        </is>
      </c>
      <c r="O1174">
        <f>"LIM-"&amp;G1173&amp;"-LIM   LA "&amp;E1173&amp;" ("&amp;LEFT(H1173,5)&amp;"-"&amp;LEFT(I1173,5)&amp;" hrs)  /  LA "&amp;E1174&amp;" ("&amp;LEFT(H1174,5)&amp;"-"&amp;LEFT(I1174,5)&amp;" hrs)"</f>
        <v/>
      </c>
    </row>
    <row r="1175">
      <c r="J1175" s="8" t="inlineStr">
        <is>
          <t>PSV total:</t>
        </is>
      </c>
      <c r="K1175" s="9">
        <f>TEXT(TIMEVALUE(I1174)-TIMEVALUE(H1173)+(I1174&lt;H1173),"[h]:mm")</f>
        <v/>
      </c>
    </row>
    <row r="1177">
      <c r="B1177" s="3" t="inlineStr">
        <is>
          <t>Pairing ID</t>
        </is>
      </c>
      <c r="C1177" s="3" t="inlineStr">
        <is>
          <t>FECHA REAL</t>
        </is>
      </c>
      <c r="D1177" s="3" t="inlineStr">
        <is>
          <t>Day of Week</t>
        </is>
      </c>
      <c r="E1177" s="3" t="inlineStr">
        <is>
          <t>Flight No</t>
        </is>
      </c>
      <c r="F1177" s="3" t="inlineStr">
        <is>
          <t>Dep Stn</t>
        </is>
      </c>
      <c r="G1177" s="3" t="inlineStr">
        <is>
          <t>Arr Stn</t>
        </is>
      </c>
      <c r="H1177" s="3" t="inlineStr">
        <is>
          <t>STD</t>
        </is>
      </c>
      <c r="I1177" s="3" t="inlineStr">
        <is>
          <t>STA</t>
        </is>
      </c>
      <c r="J1177" s="3" t="inlineStr">
        <is>
          <t>subflota</t>
        </is>
      </c>
      <c r="K1177" s="3" t="inlineStr">
        <is>
          <t>Conexion</t>
        </is>
      </c>
      <c r="L1177" s="3" t="inlineStr">
        <is>
          <t>HBT</t>
        </is>
      </c>
    </row>
    <row r="1178">
      <c r="B1178" s="4" t="n">
        <v>1173</v>
      </c>
      <c r="C1178" s="4" t="inlineStr">
        <is>
          <t>13/09/2026</t>
        </is>
      </c>
      <c r="D1178" s="4" t="inlineStr">
        <is>
          <t>domingo</t>
        </is>
      </c>
      <c r="E1178" s="4" t="n">
        <v>2113</v>
      </c>
      <c r="F1178" s="4" t="inlineStr">
        <is>
          <t>LIM</t>
        </is>
      </c>
      <c r="G1178" s="4" t="inlineStr">
        <is>
          <t>AQP</t>
        </is>
      </c>
      <c r="H1178" s="4" t="inlineStr">
        <is>
          <t>15:05:00</t>
        </is>
      </c>
      <c r="I1178" s="4" t="inlineStr">
        <is>
          <t>16:35:00</t>
        </is>
      </c>
      <c r="J1178" s="4" t="n">
        <v>320</v>
      </c>
      <c r="L1178" s="4" t="inlineStr">
        <is>
          <t>01:30:00</t>
        </is>
      </c>
      <c r="M1178" s="5" t="n"/>
      <c r="N1178" s="6" t="n"/>
      <c r="O1178" s="5" t="n"/>
      <c r="Q1178" s="4">
        <f>B1178</f>
        <v/>
      </c>
      <c r="R1178" s="4">
        <f>C1178</f>
        <v/>
      </c>
      <c r="S1178" s="4">
        <f>D1178</f>
        <v/>
      </c>
      <c r="T1178" s="4">
        <f>E1178&amp;"/"&amp;E1179</f>
        <v/>
      </c>
      <c r="U1178" s="4">
        <f>F1178&amp;"-"&amp;G1178&amp;"-"&amp;F1178</f>
        <v/>
      </c>
      <c r="V1178" s="4">
        <f>IF($M$1178="","",$M$1178)</f>
        <v/>
      </c>
      <c r="W1178" s="4">
        <f>IF($O$1178="","",$O$1178)</f>
        <v/>
      </c>
      <c r="X1178" s="4">
        <f>J1178</f>
        <v/>
      </c>
    </row>
    <row r="1179">
      <c r="B1179" s="4" t="n">
        <v>1173</v>
      </c>
      <c r="C1179" s="4" t="inlineStr">
        <is>
          <t>13/09/2026</t>
        </is>
      </c>
      <c r="D1179" s="4" t="inlineStr">
        <is>
          <t>domingo</t>
        </is>
      </c>
      <c r="E1179" s="4" t="n">
        <v>2112</v>
      </c>
      <c r="F1179" s="4" t="inlineStr">
        <is>
          <t>AQP</t>
        </is>
      </c>
      <c r="G1179" s="4" t="inlineStr">
        <is>
          <t>LIM</t>
        </is>
      </c>
      <c r="H1179" s="4" t="inlineStr">
        <is>
          <t>17:15:00</t>
        </is>
      </c>
      <c r="I1179" s="4" t="inlineStr">
        <is>
          <t>18:55:00</t>
        </is>
      </c>
      <c r="J1179" s="4" t="n">
        <v>320</v>
      </c>
      <c r="K1179">
        <f>TEXT(TIMEVALUE(H1179)-TIMEVALUE(I1178)+(TIMEVALUE(H1179)&lt;TIMEVALUE(I1178)),"[h]:mm")</f>
        <v/>
      </c>
      <c r="L1179" s="4" t="inlineStr">
        <is>
          <t>01:40:00</t>
        </is>
      </c>
      <c r="O1179">
        <f>"LIM-"&amp;G1178&amp;"-LIM   LA "&amp;E1178&amp;" ("&amp;LEFT(H1178,5)&amp;"-"&amp;LEFT(I1178,5)&amp;" hrs)  /  LA "&amp;E1179&amp;" ("&amp;LEFT(H1179,5)&amp;"-"&amp;LEFT(I1179,5)&amp;" hrs)"</f>
        <v/>
      </c>
    </row>
    <row r="1180">
      <c r="J1180" s="8" t="inlineStr">
        <is>
          <t>PSV total:</t>
        </is>
      </c>
      <c r="K1180" s="9">
        <f>TEXT(TIMEVALUE(I1179)-TIMEVALUE(H1178)+(I1179&lt;H1178),"[h]:mm")</f>
        <v/>
      </c>
    </row>
    <row r="1182">
      <c r="B1182" s="3" t="inlineStr">
        <is>
          <t>Pairing ID</t>
        </is>
      </c>
      <c r="C1182" s="3" t="inlineStr">
        <is>
          <t>FECHA REAL</t>
        </is>
      </c>
      <c r="D1182" s="3" t="inlineStr">
        <is>
          <t>Day of Week</t>
        </is>
      </c>
      <c r="E1182" s="3" t="inlineStr">
        <is>
          <t>Flight No</t>
        </is>
      </c>
      <c r="F1182" s="3" t="inlineStr">
        <is>
          <t>Dep Stn</t>
        </is>
      </c>
      <c r="G1182" s="3" t="inlineStr">
        <is>
          <t>Arr Stn</t>
        </is>
      </c>
      <c r="H1182" s="3" t="inlineStr">
        <is>
          <t>STD</t>
        </is>
      </c>
      <c r="I1182" s="3" t="inlineStr">
        <is>
          <t>STA</t>
        </is>
      </c>
      <c r="J1182" s="3" t="inlineStr">
        <is>
          <t>subflota</t>
        </is>
      </c>
      <c r="K1182" s="3" t="inlineStr">
        <is>
          <t>Conexion</t>
        </is>
      </c>
      <c r="L1182" s="3" t="inlineStr">
        <is>
          <t>HBT</t>
        </is>
      </c>
    </row>
    <row r="1183">
      <c r="B1183" s="4" t="n">
        <v>1175</v>
      </c>
      <c r="C1183" s="4" t="inlineStr">
        <is>
          <t>13/09/2026</t>
        </is>
      </c>
      <c r="D1183" s="4" t="inlineStr">
        <is>
          <t>domingo</t>
        </is>
      </c>
      <c r="E1183" s="4" t="n">
        <v>2297</v>
      </c>
      <c r="F1183" s="4" t="inlineStr">
        <is>
          <t>LIM</t>
        </is>
      </c>
      <c r="G1183" s="4" t="inlineStr">
        <is>
          <t>CJA</t>
        </is>
      </c>
      <c r="H1183" s="4" t="inlineStr">
        <is>
          <t>15:15:00</t>
        </is>
      </c>
      <c r="I1183" s="4" t="inlineStr">
        <is>
          <t>16:35:00</t>
        </is>
      </c>
      <c r="J1183" s="4" t="n">
        <v>319</v>
      </c>
      <c r="L1183" s="4" t="inlineStr">
        <is>
          <t>01:20:00</t>
        </is>
      </c>
      <c r="M1183" s="5" t="n"/>
      <c r="N1183" s="6" t="n"/>
      <c r="O1183" s="5" t="n"/>
      <c r="Q1183" s="4">
        <f>B1183</f>
        <v/>
      </c>
      <c r="R1183" s="4">
        <f>C1183</f>
        <v/>
      </c>
      <c r="S1183" s="4">
        <f>D1183</f>
        <v/>
      </c>
      <c r="T1183" s="4">
        <f>E1183&amp;"/"&amp;E1184</f>
        <v/>
      </c>
      <c r="U1183" s="4">
        <f>F1183&amp;"-"&amp;G1183&amp;"-"&amp;F1183</f>
        <v/>
      </c>
      <c r="V1183" s="4">
        <f>IF($M$1183="","",$M$1183)</f>
        <v/>
      </c>
      <c r="W1183" s="4">
        <f>IF($O$1183="","",$O$1183)</f>
        <v/>
      </c>
      <c r="X1183" s="4">
        <f>J1183</f>
        <v/>
      </c>
    </row>
    <row r="1184">
      <c r="B1184" s="4" t="n">
        <v>1175</v>
      </c>
      <c r="C1184" s="4" t="inlineStr">
        <is>
          <t>13/09/2026</t>
        </is>
      </c>
      <c r="D1184" s="4" t="inlineStr">
        <is>
          <t>domingo</t>
        </is>
      </c>
      <c r="E1184" s="4" t="n">
        <v>2296</v>
      </c>
      <c r="F1184" s="4" t="inlineStr">
        <is>
          <t>CJA</t>
        </is>
      </c>
      <c r="G1184" s="4" t="inlineStr">
        <is>
          <t>LIM</t>
        </is>
      </c>
      <c r="H1184" s="4" t="inlineStr">
        <is>
          <t>17:20:00</t>
        </is>
      </c>
      <c r="I1184" s="4" t="inlineStr">
        <is>
          <t>18:25:00</t>
        </is>
      </c>
      <c r="J1184" s="4" t="n">
        <v>319</v>
      </c>
      <c r="K1184">
        <f>TEXT(TIMEVALUE(H1184)-TIMEVALUE(I1183)+(TIMEVALUE(H1184)&lt;TIMEVALUE(I1183)),"[h]:mm")</f>
        <v/>
      </c>
      <c r="L1184" s="4" t="inlineStr">
        <is>
          <t>01:05:00</t>
        </is>
      </c>
      <c r="O1184">
        <f>"LIM-"&amp;G1183&amp;"-LIM   LA "&amp;E1183&amp;" ("&amp;LEFT(H1183,5)&amp;"-"&amp;LEFT(I1183,5)&amp;" hrs)  /  LA "&amp;E1184&amp;" ("&amp;LEFT(H1184,5)&amp;"-"&amp;LEFT(I1184,5)&amp;" hrs)"</f>
        <v/>
      </c>
    </row>
    <row r="1185">
      <c r="J1185" s="8" t="inlineStr">
        <is>
          <t>PSV total:</t>
        </is>
      </c>
      <c r="K1185" s="9">
        <f>TEXT(TIMEVALUE(I1184)-TIMEVALUE(H1183)+(I1184&lt;H1183),"[h]:mm")</f>
        <v/>
      </c>
    </row>
    <row r="1187">
      <c r="B1187" s="3" t="inlineStr">
        <is>
          <t>Pairing ID</t>
        </is>
      </c>
      <c r="C1187" s="3" t="inlineStr">
        <is>
          <t>FECHA REAL</t>
        </is>
      </c>
      <c r="D1187" s="3" t="inlineStr">
        <is>
          <t>Day of Week</t>
        </is>
      </c>
      <c r="E1187" s="3" t="inlineStr">
        <is>
          <t>Flight No</t>
        </is>
      </c>
      <c r="F1187" s="3" t="inlineStr">
        <is>
          <t>Dep Stn</t>
        </is>
      </c>
      <c r="G1187" s="3" t="inlineStr">
        <is>
          <t>Arr Stn</t>
        </is>
      </c>
      <c r="H1187" s="3" t="inlineStr">
        <is>
          <t>STD</t>
        </is>
      </c>
      <c r="I1187" s="3" t="inlineStr">
        <is>
          <t>STA</t>
        </is>
      </c>
      <c r="J1187" s="3" t="inlineStr">
        <is>
          <t>subflota</t>
        </is>
      </c>
      <c r="K1187" s="3" t="inlineStr">
        <is>
          <t>Conexion</t>
        </is>
      </c>
      <c r="L1187" s="3" t="inlineStr">
        <is>
          <t>HBT</t>
        </is>
      </c>
    </row>
    <row r="1188">
      <c r="B1188" s="4" t="n">
        <v>1176</v>
      </c>
      <c r="C1188" s="4" t="inlineStr">
        <is>
          <t>13/09/2026</t>
        </is>
      </c>
      <c r="D1188" s="4" t="inlineStr">
        <is>
          <t>domingo</t>
        </is>
      </c>
      <c r="E1188" s="4" t="n">
        <v>2360</v>
      </c>
      <c r="F1188" s="4" t="inlineStr">
        <is>
          <t>LIM</t>
        </is>
      </c>
      <c r="G1188" s="4" t="inlineStr">
        <is>
          <t>PCL</t>
        </is>
      </c>
      <c r="H1188" s="4" t="inlineStr">
        <is>
          <t>15:25:00</t>
        </is>
      </c>
      <c r="I1188" s="4" t="inlineStr">
        <is>
          <t>16:40:00</t>
        </is>
      </c>
      <c r="J1188" s="4" t="n">
        <v>320</v>
      </c>
      <c r="L1188" s="4" t="inlineStr">
        <is>
          <t>01:15:00</t>
        </is>
      </c>
      <c r="M1188" s="5" t="n"/>
      <c r="N1188" s="6" t="n"/>
      <c r="O1188" s="5" t="n"/>
      <c r="Q1188" s="4">
        <f>B1188</f>
        <v/>
      </c>
      <c r="R1188" s="4">
        <f>C1188</f>
        <v/>
      </c>
      <c r="S1188" s="4">
        <f>D1188</f>
        <v/>
      </c>
      <c r="T1188" s="4">
        <f>E1188&amp;"/"&amp;E1189</f>
        <v/>
      </c>
      <c r="U1188" s="4">
        <f>F1188&amp;"-"&amp;G1188&amp;"-"&amp;F1188</f>
        <v/>
      </c>
      <c r="V1188" s="4">
        <f>IF($M$1188="","",$M$1188)</f>
        <v/>
      </c>
      <c r="W1188" s="4">
        <f>IF($O$1188="","",$O$1188)</f>
        <v/>
      </c>
      <c r="X1188" s="4">
        <f>J1188</f>
        <v/>
      </c>
    </row>
    <row r="1189">
      <c r="B1189" s="4" t="n">
        <v>1176</v>
      </c>
      <c r="C1189" s="4" t="inlineStr">
        <is>
          <t>13/09/2026</t>
        </is>
      </c>
      <c r="D1189" s="4" t="inlineStr">
        <is>
          <t>domingo</t>
        </is>
      </c>
      <c r="E1189" s="4" t="n">
        <v>2361</v>
      </c>
      <c r="F1189" s="4" t="inlineStr">
        <is>
          <t>PCL</t>
        </is>
      </c>
      <c r="G1189" s="4" t="inlineStr">
        <is>
          <t>LIM</t>
        </is>
      </c>
      <c r="H1189" s="4" t="inlineStr">
        <is>
          <t>17:20:00</t>
        </is>
      </c>
      <c r="I1189" s="4" t="inlineStr">
        <is>
          <t>18:35:00</t>
        </is>
      </c>
      <c r="J1189" s="4" t="n">
        <v>320</v>
      </c>
      <c r="K1189">
        <f>TEXT(TIMEVALUE(H1189)-TIMEVALUE(I1188)+(TIMEVALUE(H1189)&lt;TIMEVALUE(I1188)),"[h]:mm")</f>
        <v/>
      </c>
      <c r="L1189" s="4" t="inlineStr">
        <is>
          <t>01:15:00</t>
        </is>
      </c>
      <c r="O1189">
        <f>"LIM-"&amp;G1188&amp;"-LIM   LA "&amp;E1188&amp;" ("&amp;LEFT(H1188,5)&amp;"-"&amp;LEFT(I1188,5)&amp;" hrs)  /  LA "&amp;E1189&amp;" ("&amp;LEFT(H1189,5)&amp;"-"&amp;LEFT(I1189,5)&amp;" hrs)"</f>
        <v/>
      </c>
    </row>
    <row r="1190">
      <c r="J1190" s="8" t="inlineStr">
        <is>
          <t>PSV total:</t>
        </is>
      </c>
      <c r="K1190" s="9">
        <f>TEXT(TIMEVALUE(I1189)-TIMEVALUE(H1188)+(I1189&lt;H1188),"[h]:mm")</f>
        <v/>
      </c>
    </row>
    <row r="1192">
      <c r="B1192" s="3" t="inlineStr">
        <is>
          <t>Pairing ID</t>
        </is>
      </c>
      <c r="C1192" s="3" t="inlineStr">
        <is>
          <t>FECHA REAL</t>
        </is>
      </c>
      <c r="D1192" s="3" t="inlineStr">
        <is>
          <t>Day of Week</t>
        </is>
      </c>
      <c r="E1192" s="3" t="inlineStr">
        <is>
          <t>Flight No</t>
        </is>
      </c>
      <c r="F1192" s="3" t="inlineStr">
        <is>
          <t>Dep Stn</t>
        </is>
      </c>
      <c r="G1192" s="3" t="inlineStr">
        <is>
          <t>Arr Stn</t>
        </is>
      </c>
      <c r="H1192" s="3" t="inlineStr">
        <is>
          <t>STD</t>
        </is>
      </c>
      <c r="I1192" s="3" t="inlineStr">
        <is>
          <t>STA</t>
        </is>
      </c>
      <c r="J1192" s="3" t="inlineStr">
        <is>
          <t>subflota</t>
        </is>
      </c>
      <c r="K1192" s="3" t="inlineStr">
        <is>
          <t>Conexion</t>
        </is>
      </c>
      <c r="L1192" s="3" t="inlineStr">
        <is>
          <t>HBT</t>
        </is>
      </c>
    </row>
    <row r="1193">
      <c r="B1193" s="4" t="n">
        <v>1177</v>
      </c>
      <c r="C1193" s="4" t="inlineStr">
        <is>
          <t>13/09/2026</t>
        </is>
      </c>
      <c r="D1193" s="4" t="inlineStr">
        <is>
          <t>domingo</t>
        </is>
      </c>
      <c r="E1193" s="4" t="n">
        <v>2312</v>
      </c>
      <c r="F1193" s="4" t="inlineStr">
        <is>
          <t>LIM</t>
        </is>
      </c>
      <c r="G1193" s="4" t="inlineStr">
        <is>
          <t>CIX</t>
        </is>
      </c>
      <c r="H1193" s="4" t="inlineStr">
        <is>
          <t>15:35:00</t>
        </is>
      </c>
      <c r="I1193" s="4" t="inlineStr">
        <is>
          <t>17:05:00</t>
        </is>
      </c>
      <c r="J1193" s="4" t="n">
        <v>319</v>
      </c>
      <c r="L1193" s="4" t="inlineStr">
        <is>
          <t>01:30:00</t>
        </is>
      </c>
      <c r="M1193" s="5" t="n"/>
      <c r="N1193" s="6" t="n"/>
      <c r="O1193" s="5" t="n"/>
      <c r="Q1193" s="4">
        <f>B1193</f>
        <v/>
      </c>
      <c r="R1193" s="4">
        <f>C1193</f>
        <v/>
      </c>
      <c r="S1193" s="4">
        <f>D1193</f>
        <v/>
      </c>
      <c r="T1193" s="4">
        <f>E1193&amp;"/"&amp;E1194</f>
        <v/>
      </c>
      <c r="U1193" s="4">
        <f>F1193&amp;"-"&amp;G1193&amp;"-"&amp;F1193</f>
        <v/>
      </c>
      <c r="V1193" s="4">
        <f>IF($M$1193="","",$M$1193)</f>
        <v/>
      </c>
      <c r="W1193" s="4">
        <f>IF($O$1193="","",$O$1193)</f>
        <v/>
      </c>
      <c r="X1193" s="4">
        <f>J1193</f>
        <v/>
      </c>
    </row>
    <row r="1194">
      <c r="B1194" s="4" t="n">
        <v>1177</v>
      </c>
      <c r="C1194" s="4" t="inlineStr">
        <is>
          <t>13/09/2026</t>
        </is>
      </c>
      <c r="D1194" s="4" t="inlineStr">
        <is>
          <t>domingo</t>
        </is>
      </c>
      <c r="E1194" s="4" t="n">
        <v>2313</v>
      </c>
      <c r="F1194" s="4" t="inlineStr">
        <is>
          <t>CIX</t>
        </is>
      </c>
      <c r="G1194" s="4" t="inlineStr">
        <is>
          <t>LIM</t>
        </is>
      </c>
      <c r="H1194" s="4" t="inlineStr">
        <is>
          <t>17:50:00</t>
        </is>
      </c>
      <c r="I1194" s="4" t="inlineStr">
        <is>
          <t>19:10:00</t>
        </is>
      </c>
      <c r="J1194" s="4" t="n">
        <v>319</v>
      </c>
      <c r="K1194">
        <f>TEXT(TIMEVALUE(H1194)-TIMEVALUE(I1193)+(TIMEVALUE(H1194)&lt;TIMEVALUE(I1193)),"[h]:mm")</f>
        <v/>
      </c>
      <c r="L1194" s="4" t="inlineStr">
        <is>
          <t>01:20:00</t>
        </is>
      </c>
      <c r="O1194">
        <f>"LIM-"&amp;G1193&amp;"-LIM   LA "&amp;E1193&amp;" ("&amp;LEFT(H1193,5)&amp;"-"&amp;LEFT(I1193,5)&amp;" hrs)  /  LA "&amp;E1194&amp;" ("&amp;LEFT(H1194,5)&amp;"-"&amp;LEFT(I1194,5)&amp;" hrs)"</f>
        <v/>
      </c>
    </row>
    <row r="1195">
      <c r="J1195" s="8" t="inlineStr">
        <is>
          <t>PSV total:</t>
        </is>
      </c>
      <c r="K1195" s="9">
        <f>TEXT(TIMEVALUE(I1194)-TIMEVALUE(H1193)+(I1194&lt;H1193),"[h]:mm")</f>
        <v/>
      </c>
    </row>
    <row r="1197">
      <c r="B1197" s="3" t="inlineStr">
        <is>
          <t>Pairing ID</t>
        </is>
      </c>
      <c r="C1197" s="3" t="inlineStr">
        <is>
          <t>FECHA REAL</t>
        </is>
      </c>
      <c r="D1197" s="3" t="inlineStr">
        <is>
          <t>Day of Week</t>
        </is>
      </c>
      <c r="E1197" s="3" t="inlineStr">
        <is>
          <t>Flight No</t>
        </is>
      </c>
      <c r="F1197" s="3" t="inlineStr">
        <is>
          <t>Dep Stn</t>
        </is>
      </c>
      <c r="G1197" s="3" t="inlineStr">
        <is>
          <t>Arr Stn</t>
        </is>
      </c>
      <c r="H1197" s="3" t="inlineStr">
        <is>
          <t>STD</t>
        </is>
      </c>
      <c r="I1197" s="3" t="inlineStr">
        <is>
          <t>STA</t>
        </is>
      </c>
      <c r="J1197" s="3" t="inlineStr">
        <is>
          <t>subflota</t>
        </is>
      </c>
      <c r="K1197" s="3" t="inlineStr">
        <is>
          <t>Conexion</t>
        </is>
      </c>
      <c r="L1197" s="3" t="inlineStr">
        <is>
          <t>HBT</t>
        </is>
      </c>
    </row>
    <row r="1198">
      <c r="B1198" s="4" t="n">
        <v>1178</v>
      </c>
      <c r="C1198" s="4" t="inlineStr">
        <is>
          <t>13/09/2026</t>
        </is>
      </c>
      <c r="D1198" s="4" t="inlineStr">
        <is>
          <t>domingo</t>
        </is>
      </c>
      <c r="E1198" s="4" t="n">
        <v>2301</v>
      </c>
      <c r="F1198" s="4" t="inlineStr">
        <is>
          <t>LIM</t>
        </is>
      </c>
      <c r="G1198" s="4" t="inlineStr">
        <is>
          <t>TPP</t>
        </is>
      </c>
      <c r="H1198" s="4" t="inlineStr">
        <is>
          <t>15:40:00</t>
        </is>
      </c>
      <c r="I1198" s="4" t="inlineStr">
        <is>
          <t>17:05:00</t>
        </is>
      </c>
      <c r="J1198" s="4" t="n">
        <v>320</v>
      </c>
      <c r="L1198" s="4" t="inlineStr">
        <is>
          <t>01:25:00</t>
        </is>
      </c>
      <c r="M1198" s="5" t="n"/>
      <c r="N1198" s="6" t="n"/>
      <c r="O1198" s="5" t="n"/>
      <c r="Q1198" s="4">
        <f>B1198</f>
        <v/>
      </c>
      <c r="R1198" s="4">
        <f>C1198</f>
        <v/>
      </c>
      <c r="S1198" s="4">
        <f>D1198</f>
        <v/>
      </c>
      <c r="T1198" s="4">
        <f>E1198&amp;"/"&amp;E1199</f>
        <v/>
      </c>
      <c r="U1198" s="4">
        <f>F1198&amp;"-"&amp;G1198&amp;"-"&amp;F1198</f>
        <v/>
      </c>
      <c r="V1198" s="4">
        <f>IF($M$1198="","",$M$1198)</f>
        <v/>
      </c>
      <c r="W1198" s="4">
        <f>IF($O$1198="","",$O$1198)</f>
        <v/>
      </c>
      <c r="X1198" s="4">
        <f>J1198</f>
        <v/>
      </c>
    </row>
    <row r="1199">
      <c r="B1199" s="4" t="n">
        <v>1178</v>
      </c>
      <c r="C1199" s="4" t="inlineStr">
        <is>
          <t>13/09/2026</t>
        </is>
      </c>
      <c r="D1199" s="4" t="inlineStr">
        <is>
          <t>domingo</t>
        </is>
      </c>
      <c r="E1199" s="4" t="n">
        <v>2300</v>
      </c>
      <c r="F1199" s="4" t="inlineStr">
        <is>
          <t>TPP</t>
        </is>
      </c>
      <c r="G1199" s="4" t="inlineStr">
        <is>
          <t>LIM</t>
        </is>
      </c>
      <c r="H1199" s="4" t="inlineStr">
        <is>
          <t>17:50:00</t>
        </is>
      </c>
      <c r="I1199" s="4" t="inlineStr">
        <is>
          <t>19:20:00</t>
        </is>
      </c>
      <c r="J1199" s="4" t="n">
        <v>320</v>
      </c>
      <c r="K1199">
        <f>TEXT(TIMEVALUE(H1199)-TIMEVALUE(I1198)+(TIMEVALUE(H1199)&lt;TIMEVALUE(I1198)),"[h]:mm")</f>
        <v/>
      </c>
      <c r="L1199" s="4" t="inlineStr">
        <is>
          <t>01:30:00</t>
        </is>
      </c>
      <c r="O1199">
        <f>"LIM-"&amp;G1198&amp;"-LIM   LA "&amp;E1198&amp;" ("&amp;LEFT(H1198,5)&amp;"-"&amp;LEFT(I1198,5)&amp;" hrs)  /  LA "&amp;E1199&amp;" ("&amp;LEFT(H1199,5)&amp;"-"&amp;LEFT(I1199,5)&amp;" hrs)"</f>
        <v/>
      </c>
    </row>
    <row r="1200">
      <c r="J1200" s="8" t="inlineStr">
        <is>
          <t>PSV total:</t>
        </is>
      </c>
      <c r="K1200" s="9">
        <f>TEXT(TIMEVALUE(I1199)-TIMEVALUE(H1198)+(I1199&lt;H1198),"[h]:mm")</f>
        <v/>
      </c>
    </row>
    <row r="1202">
      <c r="B1202" s="3" t="inlineStr">
        <is>
          <t>Pairing ID</t>
        </is>
      </c>
      <c r="C1202" s="3" t="inlineStr">
        <is>
          <t>FECHA REAL</t>
        </is>
      </c>
      <c r="D1202" s="3" t="inlineStr">
        <is>
          <t>Day of Week</t>
        </is>
      </c>
      <c r="E1202" s="3" t="inlineStr">
        <is>
          <t>Flight No</t>
        </is>
      </c>
      <c r="F1202" s="3" t="inlineStr">
        <is>
          <t>Dep Stn</t>
        </is>
      </c>
      <c r="G1202" s="3" t="inlineStr">
        <is>
          <t>Arr Stn</t>
        </is>
      </c>
      <c r="H1202" s="3" t="inlineStr">
        <is>
          <t>STD</t>
        </is>
      </c>
      <c r="I1202" s="3" t="inlineStr">
        <is>
          <t>STA</t>
        </is>
      </c>
      <c r="J1202" s="3" t="inlineStr">
        <is>
          <t>subflota</t>
        </is>
      </c>
      <c r="K1202" s="3" t="inlineStr">
        <is>
          <t>Conexion</t>
        </is>
      </c>
      <c r="L1202" s="3" t="inlineStr">
        <is>
          <t>HBT</t>
        </is>
      </c>
    </row>
    <row r="1203">
      <c r="B1203" s="4" t="n">
        <v>1184</v>
      </c>
      <c r="C1203" s="4" t="inlineStr">
        <is>
          <t>13/09/2026</t>
        </is>
      </c>
      <c r="D1203" s="4" t="inlineStr">
        <is>
          <t>domingo</t>
        </is>
      </c>
      <c r="E1203" s="4" t="n">
        <v>2213</v>
      </c>
      <c r="F1203" s="4" t="inlineStr">
        <is>
          <t>LIM</t>
        </is>
      </c>
      <c r="G1203" s="4" t="inlineStr">
        <is>
          <t>CIX</t>
        </is>
      </c>
      <c r="H1203" s="4" t="inlineStr">
        <is>
          <t>17:20:00</t>
        </is>
      </c>
      <c r="I1203" s="4" t="inlineStr">
        <is>
          <t>18:50:00</t>
        </is>
      </c>
      <c r="J1203" s="4" t="n">
        <v>320</v>
      </c>
      <c r="L1203" s="4" t="inlineStr">
        <is>
          <t>01:30:00</t>
        </is>
      </c>
      <c r="M1203" s="5" t="n"/>
      <c r="N1203" s="6" t="n"/>
      <c r="O1203" s="5" t="n"/>
      <c r="Q1203" s="4">
        <f>B1203</f>
        <v/>
      </c>
      <c r="R1203" s="4">
        <f>C1203</f>
        <v/>
      </c>
      <c r="S1203" s="4">
        <f>D1203</f>
        <v/>
      </c>
      <c r="T1203" s="4">
        <f>E1203&amp;"/"&amp;E1204</f>
        <v/>
      </c>
      <c r="U1203" s="4">
        <f>F1203&amp;"-"&amp;G1203&amp;"-"&amp;F1203</f>
        <v/>
      </c>
      <c r="V1203" s="4">
        <f>IF($M$1203="","",$M$1203)</f>
        <v/>
      </c>
      <c r="W1203" s="4">
        <f>IF($O$1203="","",$O$1203)</f>
        <v/>
      </c>
      <c r="X1203" s="4">
        <f>J1203</f>
        <v/>
      </c>
    </row>
    <row r="1204">
      <c r="B1204" s="4" t="n">
        <v>1184</v>
      </c>
      <c r="C1204" s="4" t="inlineStr">
        <is>
          <t>13/09/2026</t>
        </is>
      </c>
      <c r="D1204" s="4" t="inlineStr">
        <is>
          <t>domingo</t>
        </is>
      </c>
      <c r="E1204" s="4" t="n">
        <v>2214</v>
      </c>
      <c r="F1204" s="4" t="inlineStr">
        <is>
          <t>CIX</t>
        </is>
      </c>
      <c r="G1204" s="4" t="inlineStr">
        <is>
          <t>LIM</t>
        </is>
      </c>
      <c r="H1204" s="4" t="inlineStr">
        <is>
          <t>19:25:00</t>
        </is>
      </c>
      <c r="I1204" s="4" t="inlineStr">
        <is>
          <t>20:40:00</t>
        </is>
      </c>
      <c r="J1204" s="4" t="n">
        <v>320</v>
      </c>
      <c r="K1204">
        <f>TEXT(TIMEVALUE(H1204)-TIMEVALUE(I1203)+(TIMEVALUE(H1204)&lt;TIMEVALUE(I1203)),"[h]:mm")</f>
        <v/>
      </c>
      <c r="L1204" s="4" t="inlineStr">
        <is>
          <t>01:15:00</t>
        </is>
      </c>
      <c r="O1204">
        <f>"LIM-"&amp;G1203&amp;"-LIM   LA "&amp;E1203&amp;" ("&amp;LEFT(H1203,5)&amp;"-"&amp;LEFT(I1203,5)&amp;" hrs)  /  LA "&amp;E1204&amp;" ("&amp;LEFT(H1204,5)&amp;"-"&amp;LEFT(I1204,5)&amp;" hrs)"</f>
        <v/>
      </c>
    </row>
    <row r="1205">
      <c r="J1205" s="8" t="inlineStr">
        <is>
          <t>PSV total:</t>
        </is>
      </c>
      <c r="K1205" s="9">
        <f>TEXT(TIMEVALUE(I1204)-TIMEVALUE(H1203)+(I1204&lt;H1203),"[h]:mm")</f>
        <v/>
      </c>
    </row>
    <row r="1207">
      <c r="B1207" s="3" t="inlineStr">
        <is>
          <t>Pairing ID</t>
        </is>
      </c>
      <c r="C1207" s="3" t="inlineStr">
        <is>
          <t>FECHA REAL</t>
        </is>
      </c>
      <c r="D1207" s="3" t="inlineStr">
        <is>
          <t>Day of Week</t>
        </is>
      </c>
      <c r="E1207" s="3" t="inlineStr">
        <is>
          <t>Flight No</t>
        </is>
      </c>
      <c r="F1207" s="3" t="inlineStr">
        <is>
          <t>Dep Stn</t>
        </is>
      </c>
      <c r="G1207" s="3" t="inlineStr">
        <is>
          <t>Arr Stn</t>
        </is>
      </c>
      <c r="H1207" s="3" t="inlineStr">
        <is>
          <t>STD</t>
        </is>
      </c>
      <c r="I1207" s="3" t="inlineStr">
        <is>
          <t>STA</t>
        </is>
      </c>
      <c r="J1207" s="3" t="inlineStr">
        <is>
          <t>subflota</t>
        </is>
      </c>
      <c r="K1207" s="3" t="inlineStr">
        <is>
          <t>Conexion</t>
        </is>
      </c>
      <c r="L1207" s="3" t="inlineStr">
        <is>
          <t>HBT</t>
        </is>
      </c>
    </row>
    <row r="1208">
      <c r="B1208" s="4" t="n">
        <v>1188</v>
      </c>
      <c r="C1208" s="4" t="inlineStr">
        <is>
          <t>13/09/2026</t>
        </is>
      </c>
      <c r="D1208" s="4" t="inlineStr">
        <is>
          <t>domingo</t>
        </is>
      </c>
      <c r="E1208" s="4" t="n">
        <v>2117</v>
      </c>
      <c r="F1208" s="4" t="inlineStr">
        <is>
          <t>LIM</t>
        </is>
      </c>
      <c r="G1208" s="4" t="inlineStr">
        <is>
          <t>AQP</t>
        </is>
      </c>
      <c r="H1208" s="4" t="inlineStr">
        <is>
          <t>18:35:00</t>
        </is>
      </c>
      <c r="I1208" s="4" t="inlineStr">
        <is>
          <t>20:05:00</t>
        </is>
      </c>
      <c r="J1208" s="4" t="n">
        <v>320</v>
      </c>
      <c r="L1208" s="4" t="inlineStr">
        <is>
          <t>01:30:00</t>
        </is>
      </c>
      <c r="M1208" s="5" t="n"/>
      <c r="N1208" s="6" t="n"/>
      <c r="O1208" s="5" t="n"/>
      <c r="Q1208" s="4">
        <f>B1208</f>
        <v/>
      </c>
      <c r="R1208" s="4">
        <f>C1208</f>
        <v/>
      </c>
      <c r="S1208" s="4">
        <f>D1208</f>
        <v/>
      </c>
      <c r="T1208" s="4">
        <f>E1208&amp;"/"&amp;E1209</f>
        <v/>
      </c>
      <c r="U1208" s="4">
        <f>F1208&amp;"-"&amp;G1208&amp;"-"&amp;F1208</f>
        <v/>
      </c>
      <c r="V1208" s="4">
        <f>IF($M$1208="","",$M$1208)</f>
        <v/>
      </c>
      <c r="W1208" s="4">
        <f>IF($O$1208="","",$O$1208)</f>
        <v/>
      </c>
      <c r="X1208" s="4">
        <f>J1208</f>
        <v/>
      </c>
    </row>
    <row r="1209">
      <c r="B1209" s="4" t="n">
        <v>1188</v>
      </c>
      <c r="C1209" s="4" t="inlineStr">
        <is>
          <t>13/09/2026</t>
        </is>
      </c>
      <c r="D1209" s="4" t="inlineStr">
        <is>
          <t>domingo</t>
        </is>
      </c>
      <c r="E1209" s="4" t="n">
        <v>2116</v>
      </c>
      <c r="F1209" s="4" t="inlineStr">
        <is>
          <t>AQP</t>
        </is>
      </c>
      <c r="G1209" s="4" t="inlineStr">
        <is>
          <t>LIM</t>
        </is>
      </c>
      <c r="H1209" s="4" t="inlineStr">
        <is>
          <t>20:40:00</t>
        </is>
      </c>
      <c r="I1209" s="4" t="inlineStr">
        <is>
          <t>22:20:00</t>
        </is>
      </c>
      <c r="J1209" s="4" t="n">
        <v>320</v>
      </c>
      <c r="K1209">
        <f>TEXT(TIMEVALUE(H1209)-TIMEVALUE(I1208)+(TIMEVALUE(H1209)&lt;TIMEVALUE(I1208)),"[h]:mm")</f>
        <v/>
      </c>
      <c r="L1209" s="4" t="inlineStr">
        <is>
          <t>01:40:00</t>
        </is>
      </c>
      <c r="O1209">
        <f>"LIM-"&amp;G1208&amp;"-LIM   LA "&amp;E1208&amp;" ("&amp;LEFT(H1208,5)&amp;"-"&amp;LEFT(I1208,5)&amp;" hrs)  /  LA "&amp;E1209&amp;" ("&amp;LEFT(H1209,5)&amp;"-"&amp;LEFT(I1209,5)&amp;" hrs)"</f>
        <v/>
      </c>
    </row>
    <row r="1210">
      <c r="J1210" s="8" t="inlineStr">
        <is>
          <t>PSV total:</t>
        </is>
      </c>
      <c r="K1210" s="9">
        <f>TEXT(TIMEVALUE(I1209)-TIMEVALUE(H1208)+(I1209&lt;H1208),"[h]:mm")</f>
        <v/>
      </c>
    </row>
    <row r="1212">
      <c r="B1212" s="3" t="inlineStr">
        <is>
          <t>Pairing ID</t>
        </is>
      </c>
      <c r="C1212" s="3" t="inlineStr">
        <is>
          <t>FECHA REAL</t>
        </is>
      </c>
      <c r="D1212" s="3" t="inlineStr">
        <is>
          <t>Day of Week</t>
        </is>
      </c>
      <c r="E1212" s="3" t="inlineStr">
        <is>
          <t>Flight No</t>
        </is>
      </c>
      <c r="F1212" s="3" t="inlineStr">
        <is>
          <t>Dep Stn</t>
        </is>
      </c>
      <c r="G1212" s="3" t="inlineStr">
        <is>
          <t>Arr Stn</t>
        </is>
      </c>
      <c r="H1212" s="3" t="inlineStr">
        <is>
          <t>STD</t>
        </is>
      </c>
      <c r="I1212" s="3" t="inlineStr">
        <is>
          <t>STA</t>
        </is>
      </c>
      <c r="J1212" s="3" t="inlineStr">
        <is>
          <t>subflota</t>
        </is>
      </c>
      <c r="K1212" s="3" t="inlineStr">
        <is>
          <t>Conexion</t>
        </is>
      </c>
      <c r="L1212" s="3" t="inlineStr">
        <is>
          <t>HBT</t>
        </is>
      </c>
    </row>
    <row r="1213">
      <c r="B1213" s="4" t="n">
        <v>1234</v>
      </c>
      <c r="C1213" s="4" t="inlineStr">
        <is>
          <t>14/09/2026</t>
        </is>
      </c>
      <c r="D1213" s="4" t="inlineStr">
        <is>
          <t>lunes</t>
        </is>
      </c>
      <c r="E1213" s="4" t="n">
        <v>2013</v>
      </c>
      <c r="F1213" s="4" t="inlineStr">
        <is>
          <t>LIM</t>
        </is>
      </c>
      <c r="G1213" s="4" t="inlineStr">
        <is>
          <t>CUZ</t>
        </is>
      </c>
      <c r="H1213" s="4" t="inlineStr">
        <is>
          <t>08:35:00</t>
        </is>
      </c>
      <c r="I1213" s="4" t="inlineStr">
        <is>
          <t>09:55:00</t>
        </is>
      </c>
      <c r="J1213" s="4" t="n">
        <v>320</v>
      </c>
      <c r="L1213" s="4" t="inlineStr">
        <is>
          <t>01:20:00</t>
        </is>
      </c>
      <c r="M1213" s="5" t="n"/>
      <c r="N1213" s="6" t="n"/>
      <c r="O1213" s="5" t="n"/>
      <c r="Q1213" s="4">
        <f>B1213</f>
        <v/>
      </c>
      <c r="R1213" s="4">
        <f>C1213</f>
        <v/>
      </c>
      <c r="S1213" s="4">
        <f>D1213</f>
        <v/>
      </c>
      <c r="T1213" s="4">
        <f>E1213&amp;"/"&amp;E1214</f>
        <v/>
      </c>
      <c r="U1213" s="4">
        <f>F1213&amp;"-"&amp;G1213&amp;"-"&amp;F1213</f>
        <v/>
      </c>
      <c r="V1213" s="4">
        <f>IF($M$1213="","",$M$1213)</f>
        <v/>
      </c>
      <c r="W1213" s="4">
        <f>IF($O$1213="","",$O$1213)</f>
        <v/>
      </c>
      <c r="X1213" s="4">
        <f>J1213</f>
        <v/>
      </c>
    </row>
    <row r="1214">
      <c r="B1214" s="4" t="n">
        <v>1234</v>
      </c>
      <c r="C1214" s="4" t="inlineStr">
        <is>
          <t>14/09/2026</t>
        </is>
      </c>
      <c r="D1214" s="4" t="inlineStr">
        <is>
          <t>lunes</t>
        </is>
      </c>
      <c r="E1214" s="4" t="n">
        <v>2014</v>
      </c>
      <c r="F1214" s="4" t="inlineStr">
        <is>
          <t>CUZ</t>
        </is>
      </c>
      <c r="G1214" s="4" t="inlineStr">
        <is>
          <t>LIM</t>
        </is>
      </c>
      <c r="H1214" s="4" t="inlineStr">
        <is>
          <t>10:40:00</t>
        </is>
      </c>
      <c r="I1214" s="4" t="inlineStr">
        <is>
          <t>12:15:00</t>
        </is>
      </c>
      <c r="J1214" s="4" t="n">
        <v>320</v>
      </c>
      <c r="K1214">
        <f>TEXT(TIMEVALUE(H1214)-TIMEVALUE(I1213)+(TIMEVALUE(H1214)&lt;TIMEVALUE(I1213)),"[h]:mm")</f>
        <v/>
      </c>
      <c r="L1214" s="4" t="inlineStr">
        <is>
          <t>01:35:00</t>
        </is>
      </c>
      <c r="O1214">
        <f>"LIM-"&amp;G1213&amp;"-LIM   LA "&amp;E1213&amp;" ("&amp;LEFT(H1213,5)&amp;"-"&amp;LEFT(I1213,5)&amp;" hrs)  /  LA "&amp;E1214&amp;" ("&amp;LEFT(H1214,5)&amp;"-"&amp;LEFT(I1214,5)&amp;" hrs)"</f>
        <v/>
      </c>
    </row>
    <row r="1215">
      <c r="J1215" s="8" t="inlineStr">
        <is>
          <t>PSV total:</t>
        </is>
      </c>
      <c r="K1215" s="9">
        <f>TEXT(TIMEVALUE(I1214)-TIMEVALUE(H1213)+(I1214&lt;H1213),"[h]:mm")</f>
        <v/>
      </c>
    </row>
    <row r="1217">
      <c r="B1217" s="3" t="inlineStr">
        <is>
          <t>Pairing ID</t>
        </is>
      </c>
      <c r="C1217" s="3" t="inlineStr">
        <is>
          <t>FECHA REAL</t>
        </is>
      </c>
      <c r="D1217" s="3" t="inlineStr">
        <is>
          <t>Day of Week</t>
        </is>
      </c>
      <c r="E1217" s="3" t="inlineStr">
        <is>
          <t>Flight No</t>
        </is>
      </c>
      <c r="F1217" s="3" t="inlineStr">
        <is>
          <t>Dep Stn</t>
        </is>
      </c>
      <c r="G1217" s="3" t="inlineStr">
        <is>
          <t>Arr Stn</t>
        </is>
      </c>
      <c r="H1217" s="3" t="inlineStr">
        <is>
          <t>STD</t>
        </is>
      </c>
      <c r="I1217" s="3" t="inlineStr">
        <is>
          <t>STA</t>
        </is>
      </c>
      <c r="J1217" s="3" t="inlineStr">
        <is>
          <t>subflota</t>
        </is>
      </c>
      <c r="K1217" s="3" t="inlineStr">
        <is>
          <t>Conexion</t>
        </is>
      </c>
      <c r="L1217" s="3" t="inlineStr">
        <is>
          <t>HBT</t>
        </is>
      </c>
    </row>
    <row r="1218">
      <c r="B1218" s="4" t="n">
        <v>1238</v>
      </c>
      <c r="C1218" s="4" t="inlineStr">
        <is>
          <t>14/09/2026</t>
        </is>
      </c>
      <c r="D1218" s="4" t="inlineStr">
        <is>
          <t>lunes</t>
        </is>
      </c>
      <c r="E1218" s="4" t="n">
        <v>2007</v>
      </c>
      <c r="F1218" s="4" t="inlineStr">
        <is>
          <t>LIM</t>
        </is>
      </c>
      <c r="G1218" s="4" t="inlineStr">
        <is>
          <t>CUZ</t>
        </is>
      </c>
      <c r="H1218" s="4" t="inlineStr">
        <is>
          <t>09:10:00</t>
        </is>
      </c>
      <c r="I1218" s="4" t="inlineStr">
        <is>
          <t>10:30:00</t>
        </is>
      </c>
      <c r="J1218" s="4" t="n">
        <v>320</v>
      </c>
      <c r="L1218" s="4" t="inlineStr">
        <is>
          <t>01:20:00</t>
        </is>
      </c>
      <c r="M1218" s="5" t="n"/>
      <c r="N1218" s="6" t="n"/>
      <c r="O1218" s="5" t="n"/>
      <c r="Q1218" s="4">
        <f>B1218</f>
        <v/>
      </c>
      <c r="R1218" s="4">
        <f>C1218</f>
        <v/>
      </c>
      <c r="S1218" s="4">
        <f>D1218</f>
        <v/>
      </c>
      <c r="T1218" s="4">
        <f>E1218&amp;"/"&amp;E1219</f>
        <v/>
      </c>
      <c r="U1218" s="4">
        <f>F1218&amp;"-"&amp;G1218&amp;"-"&amp;F1218</f>
        <v/>
      </c>
      <c r="V1218" s="4">
        <f>IF($M$1218="","",$M$1218)</f>
        <v/>
      </c>
      <c r="W1218" s="4">
        <f>IF($O$1218="","",$O$1218)</f>
        <v/>
      </c>
      <c r="X1218" s="4">
        <f>J1218</f>
        <v/>
      </c>
    </row>
    <row r="1219">
      <c r="B1219" s="4" t="n">
        <v>1238</v>
      </c>
      <c r="C1219" s="4" t="inlineStr">
        <is>
          <t>14/09/2026</t>
        </is>
      </c>
      <c r="D1219" s="4" t="inlineStr">
        <is>
          <t>lunes</t>
        </is>
      </c>
      <c r="E1219" s="4" t="n">
        <v>2008</v>
      </c>
      <c r="F1219" s="4" t="inlineStr">
        <is>
          <t>CUZ</t>
        </is>
      </c>
      <c r="G1219" s="4" t="inlineStr">
        <is>
          <t>LIM</t>
        </is>
      </c>
      <c r="H1219" s="4" t="inlineStr">
        <is>
          <t>11:20:00</t>
        </is>
      </c>
      <c r="I1219" s="4" t="inlineStr">
        <is>
          <t>12:55:00</t>
        </is>
      </c>
      <c r="J1219" s="4" t="n">
        <v>320</v>
      </c>
      <c r="K1219">
        <f>TEXT(TIMEVALUE(H1219)-TIMEVALUE(I1218)+(TIMEVALUE(H1219)&lt;TIMEVALUE(I1218)),"[h]:mm")</f>
        <v/>
      </c>
      <c r="L1219" s="4" t="inlineStr">
        <is>
          <t>01:35:00</t>
        </is>
      </c>
      <c r="O1219">
        <f>"LIM-"&amp;G1218&amp;"-LIM   LA "&amp;E1218&amp;" ("&amp;LEFT(H1218,5)&amp;"-"&amp;LEFT(I1218,5)&amp;" hrs)  /  LA "&amp;E1219&amp;" ("&amp;LEFT(H1219,5)&amp;"-"&amp;LEFT(I1219,5)&amp;" hrs)"</f>
        <v/>
      </c>
    </row>
    <row r="1220">
      <c r="B1220" s="4" t="n">
        <v>1258</v>
      </c>
      <c r="C1220" s="4" t="inlineStr">
        <is>
          <t>14/09/2026</t>
        </is>
      </c>
      <c r="D1220" s="4" t="inlineStr">
        <is>
          <t>lunes</t>
        </is>
      </c>
      <c r="E1220" s="4" t="n">
        <v>2295</v>
      </c>
      <c r="F1220" s="4" t="inlineStr">
        <is>
          <t>LIM</t>
        </is>
      </c>
      <c r="G1220" s="4" t="inlineStr">
        <is>
          <t>CJA</t>
        </is>
      </c>
      <c r="H1220" s="4" t="inlineStr">
        <is>
          <t>14:10:00</t>
        </is>
      </c>
      <c r="I1220" s="4" t="inlineStr">
        <is>
          <t>15:30:00</t>
        </is>
      </c>
      <c r="J1220" s="4" t="n">
        <v>320</v>
      </c>
      <c r="K1220" s="7">
        <f>TEXT(TIMEVALUE(H1220)-TIMEVALUE(I1219)+(TIMEVALUE(H1220)&lt;TIMEVALUE(I1219)),"[h]:mm")</f>
        <v/>
      </c>
      <c r="L1220" s="4" t="inlineStr">
        <is>
          <t>01:20:00</t>
        </is>
      </c>
      <c r="M1220">
        <f>IF($M$1218="","",$M$1218)</f>
        <v/>
      </c>
      <c r="O1220">
        <f>IF($O$1218="","",$O$1218)</f>
        <v/>
      </c>
      <c r="Q1220" s="4">
        <f>B1220</f>
        <v/>
      </c>
      <c r="R1220" s="4">
        <f>C1220</f>
        <v/>
      </c>
      <c r="S1220" s="4">
        <f>D1220</f>
        <v/>
      </c>
      <c r="T1220" s="4">
        <f>E1220&amp;"/"&amp;E1221</f>
        <v/>
      </c>
      <c r="U1220" s="4">
        <f>F1220&amp;"-"&amp;G1220&amp;"-"&amp;F1220</f>
        <v/>
      </c>
      <c r="V1220" s="4">
        <f>IF($M$1218="","",$M$1218)</f>
        <v/>
      </c>
      <c r="W1220" s="4">
        <f>IF($O$1218="","",$O$1218)</f>
        <v/>
      </c>
      <c r="X1220" s="4">
        <f>J1220</f>
        <v/>
      </c>
    </row>
    <row r="1221">
      <c r="B1221" s="4" t="n">
        <v>1258</v>
      </c>
      <c r="C1221" s="4" t="inlineStr">
        <is>
          <t>14/09/2026</t>
        </is>
      </c>
      <c r="D1221" s="4" t="inlineStr">
        <is>
          <t>lunes</t>
        </is>
      </c>
      <c r="E1221" s="4" t="n">
        <v>2294</v>
      </c>
      <c r="F1221" s="4" t="inlineStr">
        <is>
          <t>CJA</t>
        </is>
      </c>
      <c r="G1221" s="4" t="inlineStr">
        <is>
          <t>LIM</t>
        </is>
      </c>
      <c r="H1221" s="4" t="inlineStr">
        <is>
          <t>16:10:00</t>
        </is>
      </c>
      <c r="I1221" s="4" t="inlineStr">
        <is>
          <t>17:15:00</t>
        </is>
      </c>
      <c r="J1221" s="4" t="n">
        <v>320</v>
      </c>
      <c r="K1221">
        <f>TEXT(TIMEVALUE(H1221)-TIMEVALUE(I1220)+(TIMEVALUE(H1221)&lt;TIMEVALUE(I1220)),"[h]:mm")</f>
        <v/>
      </c>
      <c r="L1221" s="4" t="inlineStr">
        <is>
          <t>01:05:00</t>
        </is>
      </c>
      <c r="O1221">
        <f>"LIM-"&amp;G1220&amp;"-LIM   LA "&amp;E1220&amp;" ("&amp;LEFT(H1220,5)&amp;"-"&amp;LEFT(I1220,5)&amp;" hrs)  /  LA "&amp;E1221&amp;" ("&amp;LEFT(H1221,5)&amp;"-"&amp;LEFT(I1221,5)&amp;" hrs)"</f>
        <v/>
      </c>
    </row>
    <row r="1222">
      <c r="J1222" s="8" t="inlineStr">
        <is>
          <t>PSV total:</t>
        </is>
      </c>
      <c r="K1222" s="9">
        <f>TEXT(TIMEVALUE(I1221)-TIMEVALUE(H1218)+(I1221&lt;H1218),"[h]:mm")</f>
        <v/>
      </c>
    </row>
    <row r="1224">
      <c r="B1224" s="3" t="inlineStr">
        <is>
          <t>Pairing ID</t>
        </is>
      </c>
      <c r="C1224" s="3" t="inlineStr">
        <is>
          <t>FECHA REAL</t>
        </is>
      </c>
      <c r="D1224" s="3" t="inlineStr">
        <is>
          <t>Day of Week</t>
        </is>
      </c>
      <c r="E1224" s="3" t="inlineStr">
        <is>
          <t>Flight No</t>
        </is>
      </c>
      <c r="F1224" s="3" t="inlineStr">
        <is>
          <t>Dep Stn</t>
        </is>
      </c>
      <c r="G1224" s="3" t="inlineStr">
        <is>
          <t>Arr Stn</t>
        </is>
      </c>
      <c r="H1224" s="3" t="inlineStr">
        <is>
          <t>STD</t>
        </is>
      </c>
      <c r="I1224" s="3" t="inlineStr">
        <is>
          <t>STA</t>
        </is>
      </c>
      <c r="J1224" s="3" t="inlineStr">
        <is>
          <t>subflota</t>
        </is>
      </c>
      <c r="K1224" s="3" t="inlineStr">
        <is>
          <t>Conexion</t>
        </is>
      </c>
      <c r="L1224" s="3" t="inlineStr">
        <is>
          <t>HBT</t>
        </is>
      </c>
    </row>
    <row r="1225">
      <c r="B1225" s="4" t="n">
        <v>1243</v>
      </c>
      <c r="C1225" s="4" t="inlineStr">
        <is>
          <t>14/09/2026</t>
        </is>
      </c>
      <c r="D1225" s="4" t="inlineStr">
        <is>
          <t>lunes</t>
        </is>
      </c>
      <c r="E1225" s="4" t="n">
        <v>2019</v>
      </c>
      <c r="F1225" s="4" t="inlineStr">
        <is>
          <t>LIM</t>
        </is>
      </c>
      <c r="G1225" s="4" t="inlineStr">
        <is>
          <t>IQT</t>
        </is>
      </c>
      <c r="H1225" s="4" t="inlineStr">
        <is>
          <t>11:35:00</t>
        </is>
      </c>
      <c r="I1225" s="4" t="inlineStr">
        <is>
          <t>13:25:00</t>
        </is>
      </c>
      <c r="J1225" s="4" t="n">
        <v>320</v>
      </c>
      <c r="L1225" s="4" t="inlineStr">
        <is>
          <t>01:50:00</t>
        </is>
      </c>
      <c r="M1225" s="5" t="n"/>
      <c r="N1225" s="6" t="n"/>
      <c r="O1225" s="5" t="n"/>
      <c r="Q1225" s="4">
        <f>B1225</f>
        <v/>
      </c>
      <c r="R1225" s="4">
        <f>C1225</f>
        <v/>
      </c>
      <c r="S1225" s="4">
        <f>D1225</f>
        <v/>
      </c>
      <c r="T1225" s="4">
        <f>E1225&amp;"/"&amp;E1226</f>
        <v/>
      </c>
      <c r="U1225" s="4">
        <f>F1225&amp;"-"&amp;G1225&amp;"-"&amp;F1225</f>
        <v/>
      </c>
      <c r="V1225" s="4">
        <f>IF($M$1225="","",$M$1225)</f>
        <v/>
      </c>
      <c r="W1225" s="4">
        <f>IF($O$1225="","",$O$1225)</f>
        <v/>
      </c>
      <c r="X1225" s="4">
        <f>J1225</f>
        <v/>
      </c>
    </row>
    <row r="1226">
      <c r="B1226" s="4" t="n">
        <v>1243</v>
      </c>
      <c r="C1226" s="4" t="inlineStr">
        <is>
          <t>14/09/2026</t>
        </is>
      </c>
      <c r="D1226" s="4" t="inlineStr">
        <is>
          <t>lunes</t>
        </is>
      </c>
      <c r="E1226" s="4" t="n">
        <v>2038</v>
      </c>
      <c r="F1226" s="4" t="inlineStr">
        <is>
          <t>IQT</t>
        </is>
      </c>
      <c r="G1226" s="4" t="inlineStr">
        <is>
          <t>LIM</t>
        </is>
      </c>
      <c r="H1226" s="4" t="inlineStr">
        <is>
          <t>14:05:00</t>
        </is>
      </c>
      <c r="I1226" s="4" t="inlineStr">
        <is>
          <t>15:55:00</t>
        </is>
      </c>
      <c r="J1226" s="4" t="n">
        <v>320</v>
      </c>
      <c r="K1226">
        <f>TEXT(TIMEVALUE(H1226)-TIMEVALUE(I1225)+(TIMEVALUE(H1226)&lt;TIMEVALUE(I1225)),"[h]:mm")</f>
        <v/>
      </c>
      <c r="L1226" s="4" t="inlineStr">
        <is>
          <t>01:50:00</t>
        </is>
      </c>
      <c r="O1226">
        <f>"LIM-"&amp;G1225&amp;"-LIM   LA "&amp;E1225&amp;" ("&amp;LEFT(H1225,5)&amp;"-"&amp;LEFT(I1225,5)&amp;" hrs)  /  LA "&amp;E1226&amp;" ("&amp;LEFT(H1226,5)&amp;"-"&amp;LEFT(I1226,5)&amp;" hrs)"</f>
        <v/>
      </c>
    </row>
    <row r="1227">
      <c r="B1227" s="4" t="n">
        <v>1274</v>
      </c>
      <c r="C1227" s="4" t="inlineStr">
        <is>
          <t>14/09/2026</t>
        </is>
      </c>
      <c r="D1227" s="4" t="inlineStr">
        <is>
          <t>lunes</t>
        </is>
      </c>
      <c r="E1227" s="4" t="n">
        <v>2304</v>
      </c>
      <c r="F1227" s="4" t="inlineStr">
        <is>
          <t>LIM</t>
        </is>
      </c>
      <c r="G1227" s="4" t="inlineStr">
        <is>
          <t>PIU</t>
        </is>
      </c>
      <c r="H1227" s="4" t="inlineStr">
        <is>
          <t>16:55:00</t>
        </is>
      </c>
      <c r="I1227" s="4" t="inlineStr">
        <is>
          <t>18:35:00</t>
        </is>
      </c>
      <c r="J1227" s="4" t="n">
        <v>320</v>
      </c>
      <c r="K1227" s="7">
        <f>TEXT(TIMEVALUE(H1227)-TIMEVALUE(I1226)+(TIMEVALUE(H1227)&lt;TIMEVALUE(I1226)),"[h]:mm")</f>
        <v/>
      </c>
      <c r="L1227" s="4" t="inlineStr">
        <is>
          <t>01:40:00</t>
        </is>
      </c>
      <c r="M1227">
        <f>IF($M$1225="","",$M$1225)</f>
        <v/>
      </c>
      <c r="O1227">
        <f>IF($O$1225="","",$O$1225)</f>
        <v/>
      </c>
      <c r="Q1227" s="4">
        <f>B1227</f>
        <v/>
      </c>
      <c r="R1227" s="4">
        <f>C1227</f>
        <v/>
      </c>
      <c r="S1227" s="4">
        <f>D1227</f>
        <v/>
      </c>
      <c r="T1227" s="4">
        <f>E1227&amp;"/"&amp;E1228</f>
        <v/>
      </c>
      <c r="U1227" s="4">
        <f>F1227&amp;"-"&amp;G1227&amp;"-"&amp;F1227</f>
        <v/>
      </c>
      <c r="V1227" s="4">
        <f>IF($M$1225="","",$M$1225)</f>
        <v/>
      </c>
      <c r="W1227" s="4">
        <f>IF($O$1225="","",$O$1225)</f>
        <v/>
      </c>
      <c r="X1227" s="4">
        <f>J1227</f>
        <v/>
      </c>
    </row>
    <row r="1228">
      <c r="B1228" s="4" t="n">
        <v>1274</v>
      </c>
      <c r="C1228" s="4" t="inlineStr">
        <is>
          <t>14/09/2026</t>
        </is>
      </c>
      <c r="D1228" s="4" t="inlineStr">
        <is>
          <t>lunes</t>
        </is>
      </c>
      <c r="E1228" s="4" t="n">
        <v>2305</v>
      </c>
      <c r="F1228" s="4" t="inlineStr">
        <is>
          <t>PIU</t>
        </is>
      </c>
      <c r="G1228" s="4" t="inlineStr">
        <is>
          <t>LIM</t>
        </is>
      </c>
      <c r="H1228" s="4" t="inlineStr">
        <is>
          <t>19:10:00</t>
        </is>
      </c>
      <c r="I1228" s="4" t="inlineStr">
        <is>
          <t>20:40:00</t>
        </is>
      </c>
      <c r="J1228" s="4" t="n">
        <v>320</v>
      </c>
      <c r="K1228">
        <f>TEXT(TIMEVALUE(H1228)-TIMEVALUE(I1227)+(TIMEVALUE(H1228)&lt;TIMEVALUE(I1227)),"[h]:mm")</f>
        <v/>
      </c>
      <c r="L1228" s="4" t="inlineStr">
        <is>
          <t>01:30:00</t>
        </is>
      </c>
      <c r="O1228">
        <f>"LIM-"&amp;G1227&amp;"-LIM   LA "&amp;E1227&amp;" ("&amp;LEFT(H1227,5)&amp;"-"&amp;LEFT(I1227,5)&amp;" hrs)  /  LA "&amp;E1228&amp;" ("&amp;LEFT(H1228,5)&amp;"-"&amp;LEFT(I1228,5)&amp;" hrs)"</f>
        <v/>
      </c>
    </row>
    <row r="1229">
      <c r="J1229" s="8" t="inlineStr">
        <is>
          <t>PSV total:</t>
        </is>
      </c>
      <c r="K1229" s="9">
        <f>TEXT(TIMEVALUE(I1228)-TIMEVALUE(H1225)+(I1228&lt;H1225),"[h]:mm")</f>
        <v/>
      </c>
    </row>
    <row r="1231">
      <c r="B1231" s="3" t="inlineStr">
        <is>
          <t>Pairing ID</t>
        </is>
      </c>
      <c r="C1231" s="3" t="inlineStr">
        <is>
          <t>FECHA REAL</t>
        </is>
      </c>
      <c r="D1231" s="3" t="inlineStr">
        <is>
          <t>Day of Week</t>
        </is>
      </c>
      <c r="E1231" s="3" t="inlineStr">
        <is>
          <t>Flight No</t>
        </is>
      </c>
      <c r="F1231" s="3" t="inlineStr">
        <is>
          <t>Dep Stn</t>
        </is>
      </c>
      <c r="G1231" s="3" t="inlineStr">
        <is>
          <t>Arr Stn</t>
        </is>
      </c>
      <c r="H1231" s="3" t="inlineStr">
        <is>
          <t>STD</t>
        </is>
      </c>
      <c r="I1231" s="3" t="inlineStr">
        <is>
          <t>STA</t>
        </is>
      </c>
      <c r="J1231" s="3" t="inlineStr">
        <is>
          <t>subflota</t>
        </is>
      </c>
      <c r="K1231" s="3" t="inlineStr">
        <is>
          <t>Conexion</t>
        </is>
      </c>
      <c r="L1231" s="3" t="inlineStr">
        <is>
          <t>HBT</t>
        </is>
      </c>
    </row>
    <row r="1232">
      <c r="B1232" s="4" t="n">
        <v>1245</v>
      </c>
      <c r="C1232" s="4" t="inlineStr">
        <is>
          <t>14/09/2026</t>
        </is>
      </c>
      <c r="D1232" s="4" t="inlineStr">
        <is>
          <t>lunes</t>
        </is>
      </c>
      <c r="E1232" s="4" t="n">
        <v>2111</v>
      </c>
      <c r="F1232" s="4" t="inlineStr">
        <is>
          <t>LIM</t>
        </is>
      </c>
      <c r="G1232" s="4" t="inlineStr">
        <is>
          <t>AQP</t>
        </is>
      </c>
      <c r="H1232" s="4" t="inlineStr">
        <is>
          <t>11:40:00</t>
        </is>
      </c>
      <c r="I1232" s="4" t="inlineStr">
        <is>
          <t>13:10:00</t>
        </is>
      </c>
      <c r="J1232" s="4" t="n">
        <v>320</v>
      </c>
      <c r="L1232" s="4" t="inlineStr">
        <is>
          <t>01:30:00</t>
        </is>
      </c>
      <c r="M1232" s="5" t="n"/>
      <c r="N1232" s="6" t="n"/>
      <c r="O1232" s="5" t="n"/>
      <c r="Q1232" s="4">
        <f>B1232</f>
        <v/>
      </c>
      <c r="R1232" s="4">
        <f>C1232</f>
        <v/>
      </c>
      <c r="S1232" s="4">
        <f>D1232</f>
        <v/>
      </c>
      <c r="T1232" s="4">
        <f>E1232&amp;"/"&amp;E1233</f>
        <v/>
      </c>
      <c r="U1232" s="4">
        <f>F1232&amp;"-"&amp;G1232&amp;"-"&amp;F1232</f>
        <v/>
      </c>
      <c r="V1232" s="4">
        <f>IF($M$1232="","",$M$1232)</f>
        <v/>
      </c>
      <c r="W1232" s="4">
        <f>IF($O$1232="","",$O$1232)</f>
        <v/>
      </c>
      <c r="X1232" s="4">
        <f>J1232</f>
        <v/>
      </c>
    </row>
    <row r="1233">
      <c r="B1233" s="4" t="n">
        <v>1245</v>
      </c>
      <c r="C1233" s="4" t="inlineStr">
        <is>
          <t>14/09/2026</t>
        </is>
      </c>
      <c r="D1233" s="4" t="inlineStr">
        <is>
          <t>lunes</t>
        </is>
      </c>
      <c r="E1233" s="4" t="n">
        <v>2110</v>
      </c>
      <c r="F1233" s="4" t="inlineStr">
        <is>
          <t>AQP</t>
        </is>
      </c>
      <c r="G1233" s="4" t="inlineStr">
        <is>
          <t>LIM</t>
        </is>
      </c>
      <c r="H1233" s="4" t="inlineStr">
        <is>
          <t>17:50:00</t>
        </is>
      </c>
      <c r="I1233" s="4" t="inlineStr">
        <is>
          <t>19:30:00</t>
        </is>
      </c>
      <c r="J1233" s="4" t="n">
        <v>320</v>
      </c>
      <c r="K1233">
        <f>TEXT(TIMEVALUE(H1233)-TIMEVALUE(I1232)+(TIMEVALUE(H1233)&lt;TIMEVALUE(I1232)),"[h]:mm")</f>
        <v/>
      </c>
      <c r="L1233" s="4" t="inlineStr">
        <is>
          <t>01:40:00</t>
        </is>
      </c>
      <c r="O1233">
        <f>"LIM-"&amp;G1232&amp;"-LIM   LA "&amp;E1232&amp;" ("&amp;LEFT(H1232,5)&amp;"-"&amp;LEFT(I1232,5)&amp;" hrs)  /  LA "&amp;E1233&amp;" ("&amp;LEFT(H1233,5)&amp;"-"&amp;LEFT(I1233,5)&amp;" hrs)"</f>
        <v/>
      </c>
    </row>
    <row r="1234">
      <c r="J1234" s="8" t="inlineStr">
        <is>
          <t>PSV total:</t>
        </is>
      </c>
      <c r="K1234" s="9">
        <f>TEXT(TIMEVALUE(I1233)-TIMEVALUE(H1232)+(I1233&lt;H1232),"[h]:mm")</f>
        <v/>
      </c>
    </row>
    <row r="1236">
      <c r="B1236" s="3" t="inlineStr">
        <is>
          <t>Pairing ID</t>
        </is>
      </c>
      <c r="C1236" s="3" t="inlineStr">
        <is>
          <t>FECHA REAL</t>
        </is>
      </c>
      <c r="D1236" s="3" t="inlineStr">
        <is>
          <t>Day of Week</t>
        </is>
      </c>
      <c r="E1236" s="3" t="inlineStr">
        <is>
          <t>Flight No</t>
        </is>
      </c>
      <c r="F1236" s="3" t="inlineStr">
        <is>
          <t>Dep Stn</t>
        </is>
      </c>
      <c r="G1236" s="3" t="inlineStr">
        <is>
          <t>Arr Stn</t>
        </is>
      </c>
      <c r="H1236" s="3" t="inlineStr">
        <is>
          <t>STD</t>
        </is>
      </c>
      <c r="I1236" s="3" t="inlineStr">
        <is>
          <t>STA</t>
        </is>
      </c>
      <c r="J1236" s="3" t="inlineStr">
        <is>
          <t>subflota</t>
        </is>
      </c>
      <c r="K1236" s="3" t="inlineStr">
        <is>
          <t>Conexion</t>
        </is>
      </c>
      <c r="L1236" s="3" t="inlineStr">
        <is>
          <t>HBT</t>
        </is>
      </c>
    </row>
    <row r="1237">
      <c r="B1237" s="4" t="n">
        <v>1246</v>
      </c>
      <c r="C1237" s="4" t="inlineStr">
        <is>
          <t>14/09/2026</t>
        </is>
      </c>
      <c r="D1237" s="4" t="inlineStr">
        <is>
          <t>lunes</t>
        </is>
      </c>
      <c r="E1237" s="4" t="n">
        <v>2316</v>
      </c>
      <c r="F1237" s="4" t="inlineStr">
        <is>
          <t>LIM</t>
        </is>
      </c>
      <c r="G1237" s="4" t="inlineStr">
        <is>
          <t>PIU</t>
        </is>
      </c>
      <c r="H1237" s="4" t="inlineStr">
        <is>
          <t>11:40:00</t>
        </is>
      </c>
      <c r="I1237" s="4" t="inlineStr">
        <is>
          <t>13:25:00</t>
        </is>
      </c>
      <c r="J1237" s="4" t="n">
        <v>320</v>
      </c>
      <c r="L1237" s="4" t="inlineStr">
        <is>
          <t>01:45:00</t>
        </is>
      </c>
      <c r="M1237" s="5" t="n"/>
      <c r="N1237" s="6" t="n"/>
      <c r="O1237" s="5" t="n"/>
      <c r="Q1237" s="4">
        <f>B1237</f>
        <v/>
      </c>
      <c r="R1237" s="4">
        <f>C1237</f>
        <v/>
      </c>
      <c r="S1237" s="4">
        <f>D1237</f>
        <v/>
      </c>
      <c r="T1237" s="4">
        <f>E1237&amp;"/"&amp;E1238</f>
        <v/>
      </c>
      <c r="U1237" s="4">
        <f>F1237&amp;"-"&amp;G1237&amp;"-"&amp;F1237</f>
        <v/>
      </c>
      <c r="V1237" s="4">
        <f>IF($M$1237="","",$M$1237)</f>
        <v/>
      </c>
      <c r="W1237" s="4">
        <f>IF($O$1237="","",$O$1237)</f>
        <v/>
      </c>
      <c r="X1237" s="4">
        <f>J1237</f>
        <v/>
      </c>
    </row>
    <row r="1238">
      <c r="B1238" s="4" t="n">
        <v>1246</v>
      </c>
      <c r="C1238" s="4" t="inlineStr">
        <is>
          <t>14/09/2026</t>
        </is>
      </c>
      <c r="D1238" s="4" t="inlineStr">
        <is>
          <t>lunes</t>
        </is>
      </c>
      <c r="E1238" s="4" t="n">
        <v>2317</v>
      </c>
      <c r="F1238" s="4" t="inlineStr">
        <is>
          <t>PIU</t>
        </is>
      </c>
      <c r="G1238" s="4" t="inlineStr">
        <is>
          <t>LIM</t>
        </is>
      </c>
      <c r="H1238" s="4" t="inlineStr">
        <is>
          <t>14:05:00</t>
        </is>
      </c>
      <c r="I1238" s="4" t="inlineStr">
        <is>
          <t>15:40:00</t>
        </is>
      </c>
      <c r="J1238" s="4" t="n">
        <v>320</v>
      </c>
      <c r="K1238">
        <f>TEXT(TIMEVALUE(H1238)-TIMEVALUE(I1237)+(TIMEVALUE(H1238)&lt;TIMEVALUE(I1237)),"[h]:mm")</f>
        <v/>
      </c>
      <c r="L1238" s="4" t="inlineStr">
        <is>
          <t>01:35:00</t>
        </is>
      </c>
      <c r="O1238">
        <f>"LIM-"&amp;G1237&amp;"-LIM   LA "&amp;E1237&amp;" ("&amp;LEFT(H1237,5)&amp;"-"&amp;LEFT(I1237,5)&amp;" hrs)  /  LA "&amp;E1238&amp;" ("&amp;LEFT(H1238,5)&amp;"-"&amp;LEFT(I1238,5)&amp;" hrs)"</f>
        <v/>
      </c>
    </row>
    <row r="1239">
      <c r="J1239" s="8" t="inlineStr">
        <is>
          <t>PSV total:</t>
        </is>
      </c>
      <c r="K1239" s="9">
        <f>TEXT(TIMEVALUE(I1238)-TIMEVALUE(H1237)+(I1238&lt;H1237),"[h]:mm")</f>
        <v/>
      </c>
    </row>
    <row r="1241">
      <c r="B1241" s="3" t="inlineStr">
        <is>
          <t>Pairing ID</t>
        </is>
      </c>
      <c r="C1241" s="3" t="inlineStr">
        <is>
          <t>FECHA REAL</t>
        </is>
      </c>
      <c r="D1241" s="3" t="inlineStr">
        <is>
          <t>Day of Week</t>
        </is>
      </c>
      <c r="E1241" s="3" t="inlineStr">
        <is>
          <t>Flight No</t>
        </is>
      </c>
      <c r="F1241" s="3" t="inlineStr">
        <is>
          <t>Dep Stn</t>
        </is>
      </c>
      <c r="G1241" s="3" t="inlineStr">
        <is>
          <t>Arr Stn</t>
        </is>
      </c>
      <c r="H1241" s="3" t="inlineStr">
        <is>
          <t>STD</t>
        </is>
      </c>
      <c r="I1241" s="3" t="inlineStr">
        <is>
          <t>STA</t>
        </is>
      </c>
      <c r="J1241" s="3" t="inlineStr">
        <is>
          <t>subflota</t>
        </is>
      </c>
      <c r="K1241" s="3" t="inlineStr">
        <is>
          <t>Conexion</t>
        </is>
      </c>
      <c r="L1241" s="3" t="inlineStr">
        <is>
          <t>HBT</t>
        </is>
      </c>
    </row>
    <row r="1242">
      <c r="B1242" s="4" t="n">
        <v>1249</v>
      </c>
      <c r="C1242" s="4" t="inlineStr">
        <is>
          <t>14/09/2026</t>
        </is>
      </c>
      <c r="D1242" s="4" t="inlineStr">
        <is>
          <t>lunes</t>
        </is>
      </c>
      <c r="E1242" s="4" t="n">
        <v>2023</v>
      </c>
      <c r="F1242" s="4" t="inlineStr">
        <is>
          <t>LIM</t>
        </is>
      </c>
      <c r="G1242" s="4" t="inlineStr">
        <is>
          <t>PEM</t>
        </is>
      </c>
      <c r="H1242" s="4" t="inlineStr">
        <is>
          <t>12:15:00</t>
        </is>
      </c>
      <c r="I1242" s="4" t="inlineStr">
        <is>
          <t>13:55:00</t>
        </is>
      </c>
      <c r="J1242" s="4" t="n">
        <v>319</v>
      </c>
      <c r="L1242" s="4" t="inlineStr">
        <is>
          <t>01:40:00</t>
        </is>
      </c>
      <c r="M1242" s="5" t="n"/>
      <c r="N1242" s="6" t="n"/>
      <c r="O1242" s="5" t="n"/>
      <c r="Q1242" s="4">
        <f>B1242</f>
        <v/>
      </c>
      <c r="R1242" s="4">
        <f>C1242</f>
        <v/>
      </c>
      <c r="S1242" s="4">
        <f>D1242</f>
        <v/>
      </c>
      <c r="T1242" s="4">
        <f>E1242&amp;"/"&amp;E1243</f>
        <v/>
      </c>
      <c r="U1242" s="4">
        <f>F1242&amp;"-"&amp;G1242&amp;"-"&amp;F1242</f>
        <v/>
      </c>
      <c r="V1242" s="4">
        <f>IF($M$1242="","",$M$1242)</f>
        <v/>
      </c>
      <c r="W1242" s="4">
        <f>IF($O$1242="","",$O$1242)</f>
        <v/>
      </c>
      <c r="X1242" s="4">
        <f>J1242</f>
        <v/>
      </c>
    </row>
    <row r="1243">
      <c r="B1243" s="4" t="n">
        <v>1249</v>
      </c>
      <c r="C1243" s="4" t="inlineStr">
        <is>
          <t>14/09/2026</t>
        </is>
      </c>
      <c r="D1243" s="4" t="inlineStr">
        <is>
          <t>lunes</t>
        </is>
      </c>
      <c r="E1243" s="4" t="n">
        <v>2024</v>
      </c>
      <c r="F1243" s="4" t="inlineStr">
        <is>
          <t>PEM</t>
        </is>
      </c>
      <c r="G1243" s="4" t="inlineStr">
        <is>
          <t>LIM</t>
        </is>
      </c>
      <c r="H1243" s="4" t="inlineStr">
        <is>
          <t>14:35:00</t>
        </is>
      </c>
      <c r="I1243" s="4" t="inlineStr">
        <is>
          <t>16:10:00</t>
        </is>
      </c>
      <c r="J1243" s="4" t="n">
        <v>319</v>
      </c>
      <c r="K1243">
        <f>TEXT(TIMEVALUE(H1243)-TIMEVALUE(I1242)+(TIMEVALUE(H1243)&lt;TIMEVALUE(I1242)),"[h]:mm")</f>
        <v/>
      </c>
      <c r="L1243" s="4" t="inlineStr">
        <is>
          <t>01:35:00</t>
        </is>
      </c>
      <c r="O1243">
        <f>"LIM-"&amp;G1242&amp;"-LIM   LA "&amp;E1242&amp;" ("&amp;LEFT(H1242,5)&amp;"-"&amp;LEFT(I1242,5)&amp;" hrs)  /  LA "&amp;E1243&amp;" ("&amp;LEFT(H1243,5)&amp;"-"&amp;LEFT(I1243,5)&amp;" hrs)"</f>
        <v/>
      </c>
    </row>
    <row r="1244">
      <c r="J1244" s="8" t="inlineStr">
        <is>
          <t>PSV total:</t>
        </is>
      </c>
      <c r="K1244" s="9">
        <f>TEXT(TIMEVALUE(I1243)-TIMEVALUE(H1242)+(I1243&lt;H1242),"[h]:mm")</f>
        <v/>
      </c>
    </row>
    <row r="1246">
      <c r="B1246" s="3" t="inlineStr">
        <is>
          <t>Pairing ID</t>
        </is>
      </c>
      <c r="C1246" s="3" t="inlineStr">
        <is>
          <t>FECHA REAL</t>
        </is>
      </c>
      <c r="D1246" s="3" t="inlineStr">
        <is>
          <t>Day of Week</t>
        </is>
      </c>
      <c r="E1246" s="3" t="inlineStr">
        <is>
          <t>Flight No</t>
        </is>
      </c>
      <c r="F1246" s="3" t="inlineStr">
        <is>
          <t>Dep Stn</t>
        </is>
      </c>
      <c r="G1246" s="3" t="inlineStr">
        <is>
          <t>Arr Stn</t>
        </is>
      </c>
      <c r="H1246" s="3" t="inlineStr">
        <is>
          <t>STD</t>
        </is>
      </c>
      <c r="I1246" s="3" t="inlineStr">
        <is>
          <t>STA</t>
        </is>
      </c>
      <c r="J1246" s="3" t="inlineStr">
        <is>
          <t>subflota</t>
        </is>
      </c>
      <c r="K1246" s="3" t="inlineStr">
        <is>
          <t>Conexion</t>
        </is>
      </c>
      <c r="L1246" s="3" t="inlineStr">
        <is>
          <t>HBT</t>
        </is>
      </c>
    </row>
    <row r="1247">
      <c r="B1247" s="4" t="n">
        <v>1252</v>
      </c>
      <c r="C1247" s="4" t="inlineStr">
        <is>
          <t>14/09/2026</t>
        </is>
      </c>
      <c r="D1247" s="4" t="inlineStr">
        <is>
          <t>lunes</t>
        </is>
      </c>
      <c r="E1247" s="4" t="n">
        <v>2308</v>
      </c>
      <c r="F1247" s="4" t="inlineStr">
        <is>
          <t>LIM</t>
        </is>
      </c>
      <c r="G1247" s="4" t="inlineStr">
        <is>
          <t>PIU</t>
        </is>
      </c>
      <c r="H1247" s="4" t="inlineStr">
        <is>
          <t>12:50:00</t>
        </is>
      </c>
      <c r="I1247" s="4" t="inlineStr">
        <is>
          <t>14:35:00</t>
        </is>
      </c>
      <c r="J1247" s="4" t="n">
        <v>320</v>
      </c>
      <c r="L1247" s="4" t="inlineStr">
        <is>
          <t>01:45:00</t>
        </is>
      </c>
      <c r="M1247" s="5" t="n"/>
      <c r="N1247" s="6" t="n"/>
      <c r="O1247" s="5" t="n"/>
      <c r="Q1247" s="4">
        <f>B1247</f>
        <v/>
      </c>
      <c r="R1247" s="4">
        <f>C1247</f>
        <v/>
      </c>
      <c r="S1247" s="4">
        <f>D1247</f>
        <v/>
      </c>
      <c r="T1247" s="4">
        <f>E1247&amp;"/"&amp;E1248</f>
        <v/>
      </c>
      <c r="U1247" s="4">
        <f>F1247&amp;"-"&amp;G1247&amp;"-"&amp;F1247</f>
        <v/>
      </c>
      <c r="V1247" s="4">
        <f>IF($M$1247="","",$M$1247)</f>
        <v/>
      </c>
      <c r="W1247" s="4">
        <f>IF($O$1247="","",$O$1247)</f>
        <v/>
      </c>
      <c r="X1247" s="4">
        <f>J1247</f>
        <v/>
      </c>
    </row>
    <row r="1248">
      <c r="B1248" s="4" t="n">
        <v>1252</v>
      </c>
      <c r="C1248" s="4" t="inlineStr">
        <is>
          <t>14/09/2026</t>
        </is>
      </c>
      <c r="D1248" s="4" t="inlineStr">
        <is>
          <t>lunes</t>
        </is>
      </c>
      <c r="E1248" s="4" t="n">
        <v>2309</v>
      </c>
      <c r="F1248" s="4" t="inlineStr">
        <is>
          <t>PIU</t>
        </is>
      </c>
      <c r="G1248" s="4" t="inlineStr">
        <is>
          <t>LIM</t>
        </is>
      </c>
      <c r="H1248" s="4" t="inlineStr">
        <is>
          <t>15:25:00</t>
        </is>
      </c>
      <c r="I1248" s="4" t="inlineStr">
        <is>
          <t>16:55:00</t>
        </is>
      </c>
      <c r="J1248" s="4" t="n">
        <v>320</v>
      </c>
      <c r="K1248">
        <f>TEXT(TIMEVALUE(H1248)-TIMEVALUE(I1247)+(TIMEVALUE(H1248)&lt;TIMEVALUE(I1247)),"[h]:mm")</f>
        <v/>
      </c>
      <c r="L1248" s="4" t="inlineStr">
        <is>
          <t>01:30:00</t>
        </is>
      </c>
      <c r="O1248">
        <f>"LIM-"&amp;G1247&amp;"-LIM   LA "&amp;E1247&amp;" ("&amp;LEFT(H1247,5)&amp;"-"&amp;LEFT(I1247,5)&amp;" hrs)  /  LA "&amp;E1248&amp;" ("&amp;LEFT(H1248,5)&amp;"-"&amp;LEFT(I1248,5)&amp;" hrs)"</f>
        <v/>
      </c>
    </row>
    <row r="1249">
      <c r="B1249" s="4" t="n">
        <v>1276</v>
      </c>
      <c r="C1249" s="4" t="inlineStr">
        <is>
          <t>14/09/2026</t>
        </is>
      </c>
      <c r="D1249" s="4" t="inlineStr">
        <is>
          <t>lunes</t>
        </is>
      </c>
      <c r="E1249" s="4" t="n">
        <v>2223</v>
      </c>
      <c r="F1249" s="4" t="inlineStr">
        <is>
          <t>LIM</t>
        </is>
      </c>
      <c r="G1249" s="4" t="inlineStr">
        <is>
          <t>CUZ</t>
        </is>
      </c>
      <c r="H1249" s="4" t="inlineStr">
        <is>
          <t>18:15:00</t>
        </is>
      </c>
      <c r="I1249" s="4" t="inlineStr">
        <is>
          <t>19:40:00</t>
        </is>
      </c>
      <c r="J1249" s="4" t="n">
        <v>320</v>
      </c>
      <c r="K1249" s="7">
        <f>TEXT(TIMEVALUE(H1249)-TIMEVALUE(I1248)+(TIMEVALUE(H1249)&lt;TIMEVALUE(I1248)),"[h]:mm")</f>
        <v/>
      </c>
      <c r="L1249" s="4" t="inlineStr">
        <is>
          <t>01:25:00</t>
        </is>
      </c>
      <c r="M1249">
        <f>IF($M$1247="","",$M$1247)</f>
        <v/>
      </c>
      <c r="O1249">
        <f>IF($O$1247="","",$O$1247)</f>
        <v/>
      </c>
      <c r="Q1249" s="4">
        <f>B1249</f>
        <v/>
      </c>
      <c r="R1249" s="4">
        <f>C1249</f>
        <v/>
      </c>
      <c r="S1249" s="4">
        <f>D1249</f>
        <v/>
      </c>
      <c r="T1249" s="4">
        <f>E1249&amp;"/"&amp;E1250</f>
        <v/>
      </c>
      <c r="U1249" s="4">
        <f>F1249&amp;"-"&amp;G1249&amp;"-"&amp;F1249</f>
        <v/>
      </c>
      <c r="V1249" s="4">
        <f>IF($M$1247="","",$M$1247)</f>
        <v/>
      </c>
      <c r="W1249" s="4">
        <f>IF($O$1247="","",$O$1247)</f>
        <v/>
      </c>
      <c r="X1249" s="4">
        <f>J1249</f>
        <v/>
      </c>
    </row>
    <row r="1250">
      <c r="B1250" s="4" t="n">
        <v>1276</v>
      </c>
      <c r="C1250" s="4" t="inlineStr">
        <is>
          <t>14/09/2026</t>
        </is>
      </c>
      <c r="D1250" s="4" t="inlineStr">
        <is>
          <t>lunes</t>
        </is>
      </c>
      <c r="E1250" s="4" t="n">
        <v>2224</v>
      </c>
      <c r="F1250" s="4" t="inlineStr">
        <is>
          <t>CUZ</t>
        </is>
      </c>
      <c r="G1250" s="4" t="inlineStr">
        <is>
          <t>LIM</t>
        </is>
      </c>
      <c r="H1250" s="4" t="inlineStr">
        <is>
          <t>21:20:00</t>
        </is>
      </c>
      <c r="I1250" s="4" t="inlineStr">
        <is>
          <t>22:55:00</t>
        </is>
      </c>
      <c r="J1250" s="4" t="n">
        <v>320</v>
      </c>
      <c r="K1250">
        <f>TEXT(TIMEVALUE(H1250)-TIMEVALUE(I1249)+(TIMEVALUE(H1250)&lt;TIMEVALUE(I1249)),"[h]:mm")</f>
        <v/>
      </c>
      <c r="L1250" s="4" t="inlineStr">
        <is>
          <t>01:35:00</t>
        </is>
      </c>
      <c r="O1250">
        <f>"LIM-"&amp;G1249&amp;"-LIM   LA "&amp;E1249&amp;" ("&amp;LEFT(H1249,5)&amp;"-"&amp;LEFT(I1249,5)&amp;" hrs)  /  LA "&amp;E1250&amp;" ("&amp;LEFT(H1250,5)&amp;"-"&amp;LEFT(I1250,5)&amp;" hrs)"</f>
        <v/>
      </c>
    </row>
    <row r="1251">
      <c r="J1251" s="8" t="inlineStr">
        <is>
          <t>PSV total:</t>
        </is>
      </c>
      <c r="K1251" s="9">
        <f>TEXT(TIMEVALUE(I1250)-TIMEVALUE(H1247)+(I1250&lt;H1247),"[h]:mm")</f>
        <v/>
      </c>
    </row>
    <row r="1253">
      <c r="B1253" s="3" t="inlineStr">
        <is>
          <t>Pairing ID</t>
        </is>
      </c>
      <c r="C1253" s="3" t="inlineStr">
        <is>
          <t>FECHA REAL</t>
        </is>
      </c>
      <c r="D1253" s="3" t="inlineStr">
        <is>
          <t>Day of Week</t>
        </is>
      </c>
      <c r="E1253" s="3" t="inlineStr">
        <is>
          <t>Flight No</t>
        </is>
      </c>
      <c r="F1253" s="3" t="inlineStr">
        <is>
          <t>Dep Stn</t>
        </is>
      </c>
      <c r="G1253" s="3" t="inlineStr">
        <is>
          <t>Arr Stn</t>
        </is>
      </c>
      <c r="H1253" s="3" t="inlineStr">
        <is>
          <t>STD</t>
        </is>
      </c>
      <c r="I1253" s="3" t="inlineStr">
        <is>
          <t>STA</t>
        </is>
      </c>
      <c r="J1253" s="3" t="inlineStr">
        <is>
          <t>subflota</t>
        </is>
      </c>
      <c r="K1253" s="3" t="inlineStr">
        <is>
          <t>Conexion</t>
        </is>
      </c>
      <c r="L1253" s="3" t="inlineStr">
        <is>
          <t>HBT</t>
        </is>
      </c>
    </row>
    <row r="1254">
      <c r="B1254" s="4" t="n">
        <v>1254</v>
      </c>
      <c r="C1254" s="4" t="inlineStr">
        <is>
          <t>14/09/2026</t>
        </is>
      </c>
      <c r="D1254" s="4" t="inlineStr">
        <is>
          <t>lunes</t>
        </is>
      </c>
      <c r="E1254" s="4" t="n">
        <v>2270</v>
      </c>
      <c r="F1254" s="4" t="inlineStr">
        <is>
          <t>LIM</t>
        </is>
      </c>
      <c r="G1254" s="4" t="inlineStr">
        <is>
          <t>CIX</t>
        </is>
      </c>
      <c r="H1254" s="4" t="inlineStr">
        <is>
          <t>13:00:00</t>
        </is>
      </c>
      <c r="I1254" s="4" t="inlineStr">
        <is>
          <t>14:30:00</t>
        </is>
      </c>
      <c r="J1254" s="4" t="n">
        <v>320</v>
      </c>
      <c r="L1254" s="4" t="inlineStr">
        <is>
          <t>01:30:00</t>
        </is>
      </c>
      <c r="M1254" s="5" t="n"/>
      <c r="N1254" s="6" t="n"/>
      <c r="O1254" s="5" t="n"/>
      <c r="Q1254" s="4">
        <f>B1254</f>
        <v/>
      </c>
      <c r="R1254" s="4">
        <f>C1254</f>
        <v/>
      </c>
      <c r="S1254" s="4">
        <f>D1254</f>
        <v/>
      </c>
      <c r="T1254" s="4">
        <f>E1254&amp;"/"&amp;E1255</f>
        <v/>
      </c>
      <c r="U1254" s="4">
        <f>F1254&amp;"-"&amp;G1254&amp;"-"&amp;F1254</f>
        <v/>
      </c>
      <c r="V1254" s="4">
        <f>IF($M$1254="","",$M$1254)</f>
        <v/>
      </c>
      <c r="W1254" s="4">
        <f>IF($O$1254="","",$O$1254)</f>
        <v/>
      </c>
      <c r="X1254" s="4">
        <f>J1254</f>
        <v/>
      </c>
    </row>
    <row r="1255">
      <c r="B1255" s="4" t="n">
        <v>1254</v>
      </c>
      <c r="C1255" s="4" t="inlineStr">
        <is>
          <t>14/09/2026</t>
        </is>
      </c>
      <c r="D1255" s="4" t="inlineStr">
        <is>
          <t>lunes</t>
        </is>
      </c>
      <c r="E1255" s="4" t="n">
        <v>2271</v>
      </c>
      <c r="F1255" s="4" t="inlineStr">
        <is>
          <t>CIX</t>
        </is>
      </c>
      <c r="G1255" s="4" t="inlineStr">
        <is>
          <t>LIM</t>
        </is>
      </c>
      <c r="H1255" s="4" t="inlineStr">
        <is>
          <t>15:05:00</t>
        </is>
      </c>
      <c r="I1255" s="4" t="inlineStr">
        <is>
          <t>16:20:00</t>
        </is>
      </c>
      <c r="J1255" s="4" t="n">
        <v>320</v>
      </c>
      <c r="K1255">
        <f>TEXT(TIMEVALUE(H1255)-TIMEVALUE(I1254)+(TIMEVALUE(H1255)&lt;TIMEVALUE(I1254)),"[h]:mm")</f>
        <v/>
      </c>
      <c r="L1255" s="4" t="inlineStr">
        <is>
          <t>01:15:00</t>
        </is>
      </c>
      <c r="O1255">
        <f>"LIM-"&amp;G1254&amp;"-LIM   LA "&amp;E1254&amp;" ("&amp;LEFT(H1254,5)&amp;"-"&amp;LEFT(I1254,5)&amp;" hrs)  /  LA "&amp;E1255&amp;" ("&amp;LEFT(H1255,5)&amp;"-"&amp;LEFT(I1255,5)&amp;" hrs)"</f>
        <v/>
      </c>
    </row>
    <row r="1256">
      <c r="J1256" s="8" t="inlineStr">
        <is>
          <t>PSV total:</t>
        </is>
      </c>
      <c r="K1256" s="9">
        <f>TEXT(TIMEVALUE(I1255)-TIMEVALUE(H1254)+(I1255&lt;H1254),"[h]:mm")</f>
        <v/>
      </c>
    </row>
    <row r="1258">
      <c r="B1258" s="3" t="inlineStr">
        <is>
          <t>Pairing ID</t>
        </is>
      </c>
      <c r="C1258" s="3" t="inlineStr">
        <is>
          <t>FECHA REAL</t>
        </is>
      </c>
      <c r="D1258" s="3" t="inlineStr">
        <is>
          <t>Day of Week</t>
        </is>
      </c>
      <c r="E1258" s="3" t="inlineStr">
        <is>
          <t>Flight No</t>
        </is>
      </c>
      <c r="F1258" s="3" t="inlineStr">
        <is>
          <t>Dep Stn</t>
        </is>
      </c>
      <c r="G1258" s="3" t="inlineStr">
        <is>
          <t>Arr Stn</t>
        </is>
      </c>
      <c r="H1258" s="3" t="inlineStr">
        <is>
          <t>STD</t>
        </is>
      </c>
      <c r="I1258" s="3" t="inlineStr">
        <is>
          <t>STA</t>
        </is>
      </c>
      <c r="J1258" s="3" t="inlineStr">
        <is>
          <t>subflota</t>
        </is>
      </c>
      <c r="K1258" s="3" t="inlineStr">
        <is>
          <t>Conexion</t>
        </is>
      </c>
      <c r="L1258" s="3" t="inlineStr">
        <is>
          <t>HBT</t>
        </is>
      </c>
    </row>
    <row r="1259">
      <c r="B1259" s="4" t="n">
        <v>1261</v>
      </c>
      <c r="C1259" s="4" t="inlineStr">
        <is>
          <t>14/09/2026</t>
        </is>
      </c>
      <c r="D1259" s="4" t="inlineStr">
        <is>
          <t>lunes</t>
        </is>
      </c>
      <c r="E1259" s="4" t="n">
        <v>2264</v>
      </c>
      <c r="F1259" s="4" t="inlineStr">
        <is>
          <t>LIM</t>
        </is>
      </c>
      <c r="G1259" s="4" t="inlineStr">
        <is>
          <t>PEM</t>
        </is>
      </c>
      <c r="H1259" s="4" t="inlineStr">
        <is>
          <t>14:55:00</t>
        </is>
      </c>
      <c r="I1259" s="4" t="inlineStr">
        <is>
          <t>16:40:00</t>
        </is>
      </c>
      <c r="J1259" s="4" t="n">
        <v>320</v>
      </c>
      <c r="L1259" s="4" t="inlineStr">
        <is>
          <t>01:45:00</t>
        </is>
      </c>
      <c r="M1259" s="5" t="n"/>
      <c r="N1259" s="6" t="n"/>
      <c r="O1259" s="5" t="n"/>
      <c r="Q1259" s="4">
        <f>B1259</f>
        <v/>
      </c>
      <c r="R1259" s="4">
        <f>C1259</f>
        <v/>
      </c>
      <c r="S1259" s="4">
        <f>D1259</f>
        <v/>
      </c>
      <c r="T1259" s="4">
        <f>E1259&amp;"/"&amp;E1260</f>
        <v/>
      </c>
      <c r="U1259" s="4">
        <f>F1259&amp;"-"&amp;G1259&amp;"-"&amp;F1259</f>
        <v/>
      </c>
      <c r="V1259" s="4">
        <f>IF($M$1259="","",$M$1259)</f>
        <v/>
      </c>
      <c r="W1259" s="4">
        <f>IF($O$1259="","",$O$1259)</f>
        <v/>
      </c>
      <c r="X1259" s="4">
        <f>J1259</f>
        <v/>
      </c>
    </row>
    <row r="1260">
      <c r="B1260" s="4" t="n">
        <v>1261</v>
      </c>
      <c r="C1260" s="4" t="inlineStr">
        <is>
          <t>14/09/2026</t>
        </is>
      </c>
      <c r="D1260" s="4" t="inlineStr">
        <is>
          <t>lunes</t>
        </is>
      </c>
      <c r="E1260" s="4" t="n">
        <v>2265</v>
      </c>
      <c r="F1260" s="4" t="inlineStr">
        <is>
          <t>PEM</t>
        </is>
      </c>
      <c r="G1260" s="4" t="inlineStr">
        <is>
          <t>LIM</t>
        </is>
      </c>
      <c r="H1260" s="4" t="inlineStr">
        <is>
          <t>17:20:00</t>
        </is>
      </c>
      <c r="I1260" s="4" t="inlineStr">
        <is>
          <t>18:55:00</t>
        </is>
      </c>
      <c r="J1260" s="4" t="n">
        <v>320</v>
      </c>
      <c r="K1260">
        <f>TEXT(TIMEVALUE(H1260)-TIMEVALUE(I1259)+(TIMEVALUE(H1260)&lt;TIMEVALUE(I1259)),"[h]:mm")</f>
        <v/>
      </c>
      <c r="L1260" s="4" t="inlineStr">
        <is>
          <t>01:35:00</t>
        </is>
      </c>
      <c r="O1260">
        <f>"LIM-"&amp;G1259&amp;"-LIM   LA "&amp;E1259&amp;" ("&amp;LEFT(H1259,5)&amp;"-"&amp;LEFT(I1259,5)&amp;" hrs)  /  LA "&amp;E1260&amp;" ("&amp;LEFT(H1260,5)&amp;"-"&amp;LEFT(I1260,5)&amp;" hrs)"</f>
        <v/>
      </c>
    </row>
    <row r="1261">
      <c r="J1261" s="8" t="inlineStr">
        <is>
          <t>PSV total:</t>
        </is>
      </c>
      <c r="K1261" s="9">
        <f>TEXT(TIMEVALUE(I1260)-TIMEVALUE(H1259)+(I1260&lt;H1259),"[h]:mm")</f>
        <v/>
      </c>
    </row>
    <row r="1263">
      <c r="B1263" s="3" t="inlineStr">
        <is>
          <t>Pairing ID</t>
        </is>
      </c>
      <c r="C1263" s="3" t="inlineStr">
        <is>
          <t>FECHA REAL</t>
        </is>
      </c>
      <c r="D1263" s="3" t="inlineStr">
        <is>
          <t>Day of Week</t>
        </is>
      </c>
      <c r="E1263" s="3" t="inlineStr">
        <is>
          <t>Flight No</t>
        </is>
      </c>
      <c r="F1263" s="3" t="inlineStr">
        <is>
          <t>Dep Stn</t>
        </is>
      </c>
      <c r="G1263" s="3" t="inlineStr">
        <is>
          <t>Arr Stn</t>
        </is>
      </c>
      <c r="H1263" s="3" t="inlineStr">
        <is>
          <t>STD</t>
        </is>
      </c>
      <c r="I1263" s="3" t="inlineStr">
        <is>
          <t>STA</t>
        </is>
      </c>
      <c r="J1263" s="3" t="inlineStr">
        <is>
          <t>subflota</t>
        </is>
      </c>
      <c r="K1263" s="3" t="inlineStr">
        <is>
          <t>Conexion</t>
        </is>
      </c>
      <c r="L1263" s="3" t="inlineStr">
        <is>
          <t>HBT</t>
        </is>
      </c>
    </row>
    <row r="1264">
      <c r="B1264" s="4" t="n">
        <v>1262</v>
      </c>
      <c r="C1264" s="4" t="inlineStr">
        <is>
          <t>14/09/2026</t>
        </is>
      </c>
      <c r="D1264" s="4" t="inlineStr">
        <is>
          <t>lunes</t>
        </is>
      </c>
      <c r="E1264" s="4" t="n">
        <v>2338</v>
      </c>
      <c r="F1264" s="4" t="inlineStr">
        <is>
          <t>LIM</t>
        </is>
      </c>
      <c r="G1264" s="4" t="inlineStr">
        <is>
          <t>PIU</t>
        </is>
      </c>
      <c r="H1264" s="4" t="inlineStr">
        <is>
          <t>15:00:00</t>
        </is>
      </c>
      <c r="I1264" s="4" t="inlineStr">
        <is>
          <t>16:45:00</t>
        </is>
      </c>
      <c r="J1264" s="4" t="n">
        <v>319</v>
      </c>
      <c r="L1264" s="4" t="inlineStr">
        <is>
          <t>01:45:00</t>
        </is>
      </c>
      <c r="M1264" s="5" t="n"/>
      <c r="N1264" s="6" t="n"/>
      <c r="O1264" s="5" t="n"/>
      <c r="Q1264" s="4">
        <f>B1264</f>
        <v/>
      </c>
      <c r="R1264" s="4">
        <f>C1264</f>
        <v/>
      </c>
      <c r="S1264" s="4">
        <f>D1264</f>
        <v/>
      </c>
      <c r="T1264" s="4">
        <f>E1264&amp;"/"&amp;E1265</f>
        <v/>
      </c>
      <c r="U1264" s="4">
        <f>F1264&amp;"-"&amp;G1264&amp;"-"&amp;F1264</f>
        <v/>
      </c>
      <c r="V1264" s="4">
        <f>IF($M$1264="","",$M$1264)</f>
        <v/>
      </c>
      <c r="W1264" s="4">
        <f>IF($O$1264="","",$O$1264)</f>
        <v/>
      </c>
      <c r="X1264" s="4">
        <f>J1264</f>
        <v/>
      </c>
    </row>
    <row r="1265">
      <c r="B1265" s="4" t="n">
        <v>1262</v>
      </c>
      <c r="C1265" s="4" t="inlineStr">
        <is>
          <t>14/09/2026</t>
        </is>
      </c>
      <c r="D1265" s="4" t="inlineStr">
        <is>
          <t>lunes</t>
        </is>
      </c>
      <c r="E1265" s="4" t="n">
        <v>2339</v>
      </c>
      <c r="F1265" s="4" t="inlineStr">
        <is>
          <t>PIU</t>
        </is>
      </c>
      <c r="G1265" s="4" t="inlineStr">
        <is>
          <t>LIM</t>
        </is>
      </c>
      <c r="H1265" s="4" t="inlineStr">
        <is>
          <t>17:20:00</t>
        </is>
      </c>
      <c r="I1265" s="4" t="inlineStr">
        <is>
          <t>18:50:00</t>
        </is>
      </c>
      <c r="J1265" s="4" t="n">
        <v>319</v>
      </c>
      <c r="K1265">
        <f>TEXT(TIMEVALUE(H1265)-TIMEVALUE(I1264)+(TIMEVALUE(H1265)&lt;TIMEVALUE(I1264)),"[h]:mm")</f>
        <v/>
      </c>
      <c r="L1265" s="4" t="inlineStr">
        <is>
          <t>01:30:00</t>
        </is>
      </c>
      <c r="O1265">
        <f>"LIM-"&amp;G1264&amp;"-LIM   LA "&amp;E1264&amp;" ("&amp;LEFT(H1264,5)&amp;"-"&amp;LEFT(I1264,5)&amp;" hrs)  /  LA "&amp;E1265&amp;" ("&amp;LEFT(H1265,5)&amp;"-"&amp;LEFT(I1265,5)&amp;" hrs)"</f>
        <v/>
      </c>
    </row>
    <row r="1266">
      <c r="J1266" s="8" t="inlineStr">
        <is>
          <t>PSV total:</t>
        </is>
      </c>
      <c r="K1266" s="9">
        <f>TEXT(TIMEVALUE(I1265)-TIMEVALUE(H1264)+(I1265&lt;H1264),"[h]:mm")</f>
        <v/>
      </c>
    </row>
    <row r="1268">
      <c r="B1268" s="3" t="inlineStr">
        <is>
          <t>Pairing ID</t>
        </is>
      </c>
      <c r="C1268" s="3" t="inlineStr">
        <is>
          <t>FECHA REAL</t>
        </is>
      </c>
      <c r="D1268" s="3" t="inlineStr">
        <is>
          <t>Day of Week</t>
        </is>
      </c>
      <c r="E1268" s="3" t="inlineStr">
        <is>
          <t>Flight No</t>
        </is>
      </c>
      <c r="F1268" s="3" t="inlineStr">
        <is>
          <t>Dep Stn</t>
        </is>
      </c>
      <c r="G1268" s="3" t="inlineStr">
        <is>
          <t>Arr Stn</t>
        </is>
      </c>
      <c r="H1268" s="3" t="inlineStr">
        <is>
          <t>STD</t>
        </is>
      </c>
      <c r="I1268" s="3" t="inlineStr">
        <is>
          <t>STA</t>
        </is>
      </c>
      <c r="J1268" s="3" t="inlineStr">
        <is>
          <t>subflota</t>
        </is>
      </c>
      <c r="K1268" s="3" t="inlineStr">
        <is>
          <t>Conexion</t>
        </is>
      </c>
      <c r="L1268" s="3" t="inlineStr">
        <is>
          <t>HBT</t>
        </is>
      </c>
    </row>
    <row r="1269">
      <c r="B1269" s="4" t="n">
        <v>1263</v>
      </c>
      <c r="C1269" s="4" t="inlineStr">
        <is>
          <t>14/09/2026</t>
        </is>
      </c>
      <c r="D1269" s="4" t="inlineStr">
        <is>
          <t>lunes</t>
        </is>
      </c>
      <c r="E1269" s="4" t="n">
        <v>2248</v>
      </c>
      <c r="F1269" s="4" t="inlineStr">
        <is>
          <t>LIM</t>
        </is>
      </c>
      <c r="G1269" s="4" t="inlineStr">
        <is>
          <t>CUZ</t>
        </is>
      </c>
      <c r="H1269" s="4" t="inlineStr">
        <is>
          <t>15:00:00</t>
        </is>
      </c>
      <c r="I1269" s="4" t="inlineStr">
        <is>
          <t>16:20:00</t>
        </is>
      </c>
      <c r="J1269" s="4" t="n">
        <v>320</v>
      </c>
      <c r="L1269" s="4" t="inlineStr">
        <is>
          <t>01:20:00</t>
        </is>
      </c>
      <c r="M1269" s="5" t="n"/>
      <c r="N1269" s="6" t="n"/>
      <c r="O1269" s="5" t="n"/>
      <c r="Q1269" s="4">
        <f>B1269</f>
        <v/>
      </c>
      <c r="R1269" s="4">
        <f>C1269</f>
        <v/>
      </c>
      <c r="S1269" s="4">
        <f>D1269</f>
        <v/>
      </c>
      <c r="T1269" s="4">
        <f>E1269&amp;"/"&amp;E1270</f>
        <v/>
      </c>
      <c r="U1269" s="4">
        <f>F1269&amp;"-"&amp;G1269&amp;"-"&amp;F1269</f>
        <v/>
      </c>
      <c r="V1269" s="4">
        <f>IF($M$1269="","",$M$1269)</f>
        <v/>
      </c>
      <c r="W1269" s="4">
        <f>IF($O$1269="","",$O$1269)</f>
        <v/>
      </c>
      <c r="X1269" s="4">
        <f>J1269</f>
        <v/>
      </c>
    </row>
    <row r="1270">
      <c r="B1270" s="4" t="n">
        <v>1263</v>
      </c>
      <c r="C1270" s="4" t="inlineStr">
        <is>
          <t>14/09/2026</t>
        </is>
      </c>
      <c r="D1270" s="4" t="inlineStr">
        <is>
          <t>lunes</t>
        </is>
      </c>
      <c r="E1270" s="4" t="n">
        <v>2249</v>
      </c>
      <c r="F1270" s="4" t="inlineStr">
        <is>
          <t>CUZ</t>
        </is>
      </c>
      <c r="G1270" s="4" t="inlineStr">
        <is>
          <t>LIM</t>
        </is>
      </c>
      <c r="H1270" s="4" t="inlineStr">
        <is>
          <t>17:00:00</t>
        </is>
      </c>
      <c r="I1270" s="4" t="inlineStr">
        <is>
          <t>18:35:00</t>
        </is>
      </c>
      <c r="J1270" s="4" t="n">
        <v>320</v>
      </c>
      <c r="K1270">
        <f>TEXT(TIMEVALUE(H1270)-TIMEVALUE(I1269)+(TIMEVALUE(H1270)&lt;TIMEVALUE(I1269)),"[h]:mm")</f>
        <v/>
      </c>
      <c r="L1270" s="4" t="inlineStr">
        <is>
          <t>01:35:00</t>
        </is>
      </c>
      <c r="O1270">
        <f>"LIM-"&amp;G1269&amp;"-LIM   LA "&amp;E1269&amp;" ("&amp;LEFT(H1269,5)&amp;"-"&amp;LEFT(I1269,5)&amp;" hrs)  /  LA "&amp;E1270&amp;" ("&amp;LEFT(H1270,5)&amp;"-"&amp;LEFT(I1270,5)&amp;" hrs)"</f>
        <v/>
      </c>
    </row>
    <row r="1271">
      <c r="J1271" s="8" t="inlineStr">
        <is>
          <t>PSV total:</t>
        </is>
      </c>
      <c r="K1271" s="9">
        <f>TEXT(TIMEVALUE(I1270)-TIMEVALUE(H1269)+(I1270&lt;H1269),"[h]:mm")</f>
        <v/>
      </c>
    </row>
    <row r="1273">
      <c r="B1273" s="3" t="inlineStr">
        <is>
          <t>Pairing ID</t>
        </is>
      </c>
      <c r="C1273" s="3" t="inlineStr">
        <is>
          <t>FECHA REAL</t>
        </is>
      </c>
      <c r="D1273" s="3" t="inlineStr">
        <is>
          <t>Day of Week</t>
        </is>
      </c>
      <c r="E1273" s="3" t="inlineStr">
        <is>
          <t>Flight No</t>
        </is>
      </c>
      <c r="F1273" s="3" t="inlineStr">
        <is>
          <t>Dep Stn</t>
        </is>
      </c>
      <c r="G1273" s="3" t="inlineStr">
        <is>
          <t>Arr Stn</t>
        </is>
      </c>
      <c r="H1273" s="3" t="inlineStr">
        <is>
          <t>STD</t>
        </is>
      </c>
      <c r="I1273" s="3" t="inlineStr">
        <is>
          <t>STA</t>
        </is>
      </c>
      <c r="J1273" s="3" t="inlineStr">
        <is>
          <t>subflota</t>
        </is>
      </c>
      <c r="K1273" s="3" t="inlineStr">
        <is>
          <t>Conexion</t>
        </is>
      </c>
      <c r="L1273" s="3" t="inlineStr">
        <is>
          <t>HBT</t>
        </is>
      </c>
    </row>
    <row r="1274">
      <c r="B1274" s="4" t="n">
        <v>1264</v>
      </c>
      <c r="C1274" s="4" t="inlineStr">
        <is>
          <t>14/09/2026</t>
        </is>
      </c>
      <c r="D1274" s="4" t="inlineStr">
        <is>
          <t>lunes</t>
        </is>
      </c>
      <c r="E1274" s="4" t="n">
        <v>2113</v>
      </c>
      <c r="F1274" s="4" t="inlineStr">
        <is>
          <t>LIM</t>
        </is>
      </c>
      <c r="G1274" s="4" t="inlineStr">
        <is>
          <t>AQP</t>
        </is>
      </c>
      <c r="H1274" s="4" t="inlineStr">
        <is>
          <t>15:05:00</t>
        </is>
      </c>
      <c r="I1274" s="4" t="inlineStr">
        <is>
          <t>16:35:00</t>
        </is>
      </c>
      <c r="J1274" s="4" t="n">
        <v>320</v>
      </c>
      <c r="L1274" s="4" t="inlineStr">
        <is>
          <t>01:30:00</t>
        </is>
      </c>
      <c r="M1274" s="5" t="n"/>
      <c r="N1274" s="6" t="n"/>
      <c r="O1274" s="5" t="n"/>
      <c r="Q1274" s="4">
        <f>B1274</f>
        <v/>
      </c>
      <c r="R1274" s="4">
        <f>C1274</f>
        <v/>
      </c>
      <c r="S1274" s="4">
        <f>D1274</f>
        <v/>
      </c>
      <c r="T1274" s="4">
        <f>E1274&amp;"/"&amp;E1275</f>
        <v/>
      </c>
      <c r="U1274" s="4">
        <f>F1274&amp;"-"&amp;G1274&amp;"-"&amp;F1274</f>
        <v/>
      </c>
      <c r="V1274" s="4">
        <f>IF($M$1274="","",$M$1274)</f>
        <v/>
      </c>
      <c r="W1274" s="4">
        <f>IF($O$1274="","",$O$1274)</f>
        <v/>
      </c>
      <c r="X1274" s="4">
        <f>J1274</f>
        <v/>
      </c>
    </row>
    <row r="1275">
      <c r="B1275" s="4" t="n">
        <v>1264</v>
      </c>
      <c r="C1275" s="4" t="inlineStr">
        <is>
          <t>14/09/2026</t>
        </is>
      </c>
      <c r="D1275" s="4" t="inlineStr">
        <is>
          <t>lunes</t>
        </is>
      </c>
      <c r="E1275" s="4" t="n">
        <v>2112</v>
      </c>
      <c r="F1275" s="4" t="inlineStr">
        <is>
          <t>AQP</t>
        </is>
      </c>
      <c r="G1275" s="4" t="inlineStr">
        <is>
          <t>LIM</t>
        </is>
      </c>
      <c r="H1275" s="4" t="inlineStr">
        <is>
          <t>17:15:00</t>
        </is>
      </c>
      <c r="I1275" s="4" t="inlineStr">
        <is>
          <t>18:55:00</t>
        </is>
      </c>
      <c r="J1275" s="4" t="n">
        <v>320</v>
      </c>
      <c r="K1275">
        <f>TEXT(TIMEVALUE(H1275)-TIMEVALUE(I1274)+(TIMEVALUE(H1275)&lt;TIMEVALUE(I1274)),"[h]:mm")</f>
        <v/>
      </c>
      <c r="L1275" s="4" t="inlineStr">
        <is>
          <t>01:40:00</t>
        </is>
      </c>
      <c r="O1275">
        <f>"LIM-"&amp;G1274&amp;"-LIM   LA "&amp;E1274&amp;" ("&amp;LEFT(H1274,5)&amp;"-"&amp;LEFT(I1274,5)&amp;" hrs)  /  LA "&amp;E1275&amp;" ("&amp;LEFT(H1275,5)&amp;"-"&amp;LEFT(I1275,5)&amp;" hrs)"</f>
        <v/>
      </c>
    </row>
    <row r="1276">
      <c r="J1276" s="8" t="inlineStr">
        <is>
          <t>PSV total:</t>
        </is>
      </c>
      <c r="K1276" s="9">
        <f>TEXT(TIMEVALUE(I1275)-TIMEVALUE(H1274)+(I1275&lt;H1274),"[h]:mm")</f>
        <v/>
      </c>
    </row>
    <row r="1278">
      <c r="B1278" s="3" t="inlineStr">
        <is>
          <t>Pairing ID</t>
        </is>
      </c>
      <c r="C1278" s="3" t="inlineStr">
        <is>
          <t>FECHA REAL</t>
        </is>
      </c>
      <c r="D1278" s="3" t="inlineStr">
        <is>
          <t>Day of Week</t>
        </is>
      </c>
      <c r="E1278" s="3" t="inlineStr">
        <is>
          <t>Flight No</t>
        </is>
      </c>
      <c r="F1278" s="3" t="inlineStr">
        <is>
          <t>Dep Stn</t>
        </is>
      </c>
      <c r="G1278" s="3" t="inlineStr">
        <is>
          <t>Arr Stn</t>
        </is>
      </c>
      <c r="H1278" s="3" t="inlineStr">
        <is>
          <t>STD</t>
        </is>
      </c>
      <c r="I1278" s="3" t="inlineStr">
        <is>
          <t>STA</t>
        </is>
      </c>
      <c r="J1278" s="3" t="inlineStr">
        <is>
          <t>subflota</t>
        </is>
      </c>
      <c r="K1278" s="3" t="inlineStr">
        <is>
          <t>Conexion</t>
        </is>
      </c>
      <c r="L1278" s="3" t="inlineStr">
        <is>
          <t>HBT</t>
        </is>
      </c>
    </row>
    <row r="1279">
      <c r="B1279" s="4" t="n">
        <v>1265</v>
      </c>
      <c r="C1279" s="4" t="inlineStr">
        <is>
          <t>14/09/2026</t>
        </is>
      </c>
      <c r="D1279" s="4" t="inlineStr">
        <is>
          <t>lunes</t>
        </is>
      </c>
      <c r="E1279" s="4" t="n">
        <v>2113</v>
      </c>
      <c r="F1279" s="4" t="inlineStr">
        <is>
          <t>LIM</t>
        </is>
      </c>
      <c r="G1279" s="4" t="inlineStr">
        <is>
          <t>AQP</t>
        </is>
      </c>
      <c r="H1279" s="4" t="inlineStr">
        <is>
          <t>15:05:00</t>
        </is>
      </c>
      <c r="I1279" s="4" t="inlineStr">
        <is>
          <t>16:35:00</t>
        </is>
      </c>
      <c r="J1279" s="4" t="n">
        <v>320</v>
      </c>
      <c r="L1279" s="4" t="inlineStr">
        <is>
          <t>01:30:00</t>
        </is>
      </c>
      <c r="M1279" s="5" t="n"/>
      <c r="N1279" s="6" t="n"/>
      <c r="O1279" s="5" t="n"/>
      <c r="Q1279" s="4">
        <f>B1279</f>
        <v/>
      </c>
      <c r="R1279" s="4">
        <f>C1279</f>
        <v/>
      </c>
      <c r="S1279" s="4">
        <f>D1279</f>
        <v/>
      </c>
      <c r="T1279" s="4">
        <f>E1279&amp;"/"&amp;E1280</f>
        <v/>
      </c>
      <c r="U1279" s="4">
        <f>F1279&amp;"-"&amp;G1279&amp;"-"&amp;F1279</f>
        <v/>
      </c>
      <c r="V1279" s="4">
        <f>IF($M$1279="","",$M$1279)</f>
        <v/>
      </c>
      <c r="W1279" s="4">
        <f>IF($O$1279="","",$O$1279)</f>
        <v/>
      </c>
      <c r="X1279" s="4">
        <f>J1279</f>
        <v/>
      </c>
    </row>
    <row r="1280">
      <c r="B1280" s="4" t="n">
        <v>1265</v>
      </c>
      <c r="C1280" s="4" t="inlineStr">
        <is>
          <t>14/09/2026</t>
        </is>
      </c>
      <c r="D1280" s="4" t="inlineStr">
        <is>
          <t>lunes</t>
        </is>
      </c>
      <c r="E1280" s="4" t="n">
        <v>2112</v>
      </c>
      <c r="F1280" s="4" t="inlineStr">
        <is>
          <t>AQP</t>
        </is>
      </c>
      <c r="G1280" s="4" t="inlineStr">
        <is>
          <t>LIM</t>
        </is>
      </c>
      <c r="H1280" s="4" t="inlineStr">
        <is>
          <t>17:15:00</t>
        </is>
      </c>
      <c r="I1280" s="4" t="inlineStr">
        <is>
          <t>18:55:00</t>
        </is>
      </c>
      <c r="J1280" s="4" t="n">
        <v>320</v>
      </c>
      <c r="K1280">
        <f>TEXT(TIMEVALUE(H1280)-TIMEVALUE(I1279)+(TIMEVALUE(H1280)&lt;TIMEVALUE(I1279)),"[h]:mm")</f>
        <v/>
      </c>
      <c r="L1280" s="4" t="inlineStr">
        <is>
          <t>01:40:00</t>
        </is>
      </c>
      <c r="O1280">
        <f>"LIM-"&amp;G1279&amp;"-LIM   LA "&amp;E1279&amp;" ("&amp;LEFT(H1279,5)&amp;"-"&amp;LEFT(I1279,5)&amp;" hrs)  /  LA "&amp;E1280&amp;" ("&amp;LEFT(H1280,5)&amp;"-"&amp;LEFT(I1280,5)&amp;" hrs)"</f>
        <v/>
      </c>
    </row>
    <row r="1281">
      <c r="J1281" s="8" t="inlineStr">
        <is>
          <t>PSV total:</t>
        </is>
      </c>
      <c r="K1281" s="9">
        <f>TEXT(TIMEVALUE(I1280)-TIMEVALUE(H1279)+(I1280&lt;H1279),"[h]:mm")</f>
        <v/>
      </c>
    </row>
    <row r="1283">
      <c r="B1283" s="3" t="inlineStr">
        <is>
          <t>Pairing ID</t>
        </is>
      </c>
      <c r="C1283" s="3" t="inlineStr">
        <is>
          <t>FECHA REAL</t>
        </is>
      </c>
      <c r="D1283" s="3" t="inlineStr">
        <is>
          <t>Day of Week</t>
        </is>
      </c>
      <c r="E1283" s="3" t="inlineStr">
        <is>
          <t>Flight No</t>
        </is>
      </c>
      <c r="F1283" s="3" t="inlineStr">
        <is>
          <t>Dep Stn</t>
        </is>
      </c>
      <c r="G1283" s="3" t="inlineStr">
        <is>
          <t>Arr Stn</t>
        </is>
      </c>
      <c r="H1283" s="3" t="inlineStr">
        <is>
          <t>STD</t>
        </is>
      </c>
      <c r="I1283" s="3" t="inlineStr">
        <is>
          <t>STA</t>
        </is>
      </c>
      <c r="J1283" s="3" t="inlineStr">
        <is>
          <t>subflota</t>
        </is>
      </c>
      <c r="K1283" s="3" t="inlineStr">
        <is>
          <t>Conexion</t>
        </is>
      </c>
      <c r="L1283" s="3" t="inlineStr">
        <is>
          <t>HBT</t>
        </is>
      </c>
    </row>
    <row r="1284">
      <c r="B1284" s="4" t="n">
        <v>1267</v>
      </c>
      <c r="C1284" s="4" t="inlineStr">
        <is>
          <t>14/09/2026</t>
        </is>
      </c>
      <c r="D1284" s="4" t="inlineStr">
        <is>
          <t>lunes</t>
        </is>
      </c>
      <c r="E1284" s="4" t="n">
        <v>2297</v>
      </c>
      <c r="F1284" s="4" t="inlineStr">
        <is>
          <t>LIM</t>
        </is>
      </c>
      <c r="G1284" s="4" t="inlineStr">
        <is>
          <t>CJA</t>
        </is>
      </c>
      <c r="H1284" s="4" t="inlineStr">
        <is>
          <t>15:15:00</t>
        </is>
      </c>
      <c r="I1284" s="4" t="inlineStr">
        <is>
          <t>16:35:00</t>
        </is>
      </c>
      <c r="J1284" s="4" t="n">
        <v>320</v>
      </c>
      <c r="L1284" s="4" t="inlineStr">
        <is>
          <t>01:20:00</t>
        </is>
      </c>
      <c r="M1284" s="5" t="n"/>
      <c r="N1284" s="6" t="n"/>
      <c r="O1284" s="5" t="n"/>
      <c r="Q1284" s="4">
        <f>B1284</f>
        <v/>
      </c>
      <c r="R1284" s="4">
        <f>C1284</f>
        <v/>
      </c>
      <c r="S1284" s="4">
        <f>D1284</f>
        <v/>
      </c>
      <c r="T1284" s="4">
        <f>E1284&amp;"/"&amp;E1285</f>
        <v/>
      </c>
      <c r="U1284" s="4">
        <f>F1284&amp;"-"&amp;G1284&amp;"-"&amp;F1284</f>
        <v/>
      </c>
      <c r="V1284" s="4">
        <f>IF($M$1284="","",$M$1284)</f>
        <v/>
      </c>
      <c r="W1284" s="4">
        <f>IF($O$1284="","",$O$1284)</f>
        <v/>
      </c>
      <c r="X1284" s="4">
        <f>J1284</f>
        <v/>
      </c>
    </row>
    <row r="1285">
      <c r="B1285" s="4" t="n">
        <v>1267</v>
      </c>
      <c r="C1285" s="4" t="inlineStr">
        <is>
          <t>14/09/2026</t>
        </is>
      </c>
      <c r="D1285" s="4" t="inlineStr">
        <is>
          <t>lunes</t>
        </is>
      </c>
      <c r="E1285" s="4" t="n">
        <v>2296</v>
      </c>
      <c r="F1285" s="4" t="inlineStr">
        <is>
          <t>CJA</t>
        </is>
      </c>
      <c r="G1285" s="4" t="inlineStr">
        <is>
          <t>LIM</t>
        </is>
      </c>
      <c r="H1285" s="4" t="inlineStr">
        <is>
          <t>17:20:00</t>
        </is>
      </c>
      <c r="I1285" s="4" t="inlineStr">
        <is>
          <t>18:25:00</t>
        </is>
      </c>
      <c r="J1285" s="4" t="n">
        <v>320</v>
      </c>
      <c r="K1285">
        <f>TEXT(TIMEVALUE(H1285)-TIMEVALUE(I1284)+(TIMEVALUE(H1285)&lt;TIMEVALUE(I1284)),"[h]:mm")</f>
        <v/>
      </c>
      <c r="L1285" s="4" t="inlineStr">
        <is>
          <t>01:05:00</t>
        </is>
      </c>
      <c r="O1285">
        <f>"LIM-"&amp;G1284&amp;"-LIM   LA "&amp;E1284&amp;" ("&amp;LEFT(H1284,5)&amp;"-"&amp;LEFT(I1284,5)&amp;" hrs)  /  LA "&amp;E1285&amp;" ("&amp;LEFT(H1285,5)&amp;"-"&amp;LEFT(I1285,5)&amp;" hrs)"</f>
        <v/>
      </c>
    </row>
    <row r="1286">
      <c r="J1286" s="8" t="inlineStr">
        <is>
          <t>PSV total:</t>
        </is>
      </c>
      <c r="K1286" s="9">
        <f>TEXT(TIMEVALUE(I1285)-TIMEVALUE(H1284)+(I1285&lt;H1284),"[h]:mm")</f>
        <v/>
      </c>
    </row>
    <row r="1288">
      <c r="B1288" s="3" t="inlineStr">
        <is>
          <t>Pairing ID</t>
        </is>
      </c>
      <c r="C1288" s="3" t="inlineStr">
        <is>
          <t>FECHA REAL</t>
        </is>
      </c>
      <c r="D1288" s="3" t="inlineStr">
        <is>
          <t>Day of Week</t>
        </is>
      </c>
      <c r="E1288" s="3" t="inlineStr">
        <is>
          <t>Flight No</t>
        </is>
      </c>
      <c r="F1288" s="3" t="inlineStr">
        <is>
          <t>Dep Stn</t>
        </is>
      </c>
      <c r="G1288" s="3" t="inlineStr">
        <is>
          <t>Arr Stn</t>
        </is>
      </c>
      <c r="H1288" s="3" t="inlineStr">
        <is>
          <t>STD</t>
        </is>
      </c>
      <c r="I1288" s="3" t="inlineStr">
        <is>
          <t>STA</t>
        </is>
      </c>
      <c r="J1288" s="3" t="inlineStr">
        <is>
          <t>subflota</t>
        </is>
      </c>
      <c r="K1288" s="3" t="inlineStr">
        <is>
          <t>Conexion</t>
        </is>
      </c>
      <c r="L1288" s="3" t="inlineStr">
        <is>
          <t>HBT</t>
        </is>
      </c>
    </row>
    <row r="1289">
      <c r="B1289" s="4" t="n">
        <v>1268</v>
      </c>
      <c r="C1289" s="4" t="inlineStr">
        <is>
          <t>14/09/2026</t>
        </is>
      </c>
      <c r="D1289" s="4" t="inlineStr">
        <is>
          <t>lunes</t>
        </is>
      </c>
      <c r="E1289" s="4" t="n">
        <v>2360</v>
      </c>
      <c r="F1289" s="4" t="inlineStr">
        <is>
          <t>LIM</t>
        </is>
      </c>
      <c r="G1289" s="4" t="inlineStr">
        <is>
          <t>PCL</t>
        </is>
      </c>
      <c r="H1289" s="4" t="inlineStr">
        <is>
          <t>15:25:00</t>
        </is>
      </c>
      <c r="I1289" s="4" t="inlineStr">
        <is>
          <t>16:40:00</t>
        </is>
      </c>
      <c r="J1289" s="4" t="n">
        <v>320</v>
      </c>
      <c r="L1289" s="4" t="inlineStr">
        <is>
          <t>01:15:00</t>
        </is>
      </c>
      <c r="M1289" s="5" t="n"/>
      <c r="N1289" s="6" t="n"/>
      <c r="O1289" s="5" t="n"/>
      <c r="Q1289" s="4">
        <f>B1289</f>
        <v/>
      </c>
      <c r="R1289" s="4">
        <f>C1289</f>
        <v/>
      </c>
      <c r="S1289" s="4">
        <f>D1289</f>
        <v/>
      </c>
      <c r="T1289" s="4">
        <f>E1289&amp;"/"&amp;E1290</f>
        <v/>
      </c>
      <c r="U1289" s="4">
        <f>F1289&amp;"-"&amp;G1289&amp;"-"&amp;F1289</f>
        <v/>
      </c>
      <c r="V1289" s="4">
        <f>IF($M$1289="","",$M$1289)</f>
        <v/>
      </c>
      <c r="W1289" s="4">
        <f>IF($O$1289="","",$O$1289)</f>
        <v/>
      </c>
      <c r="X1289" s="4">
        <f>J1289</f>
        <v/>
      </c>
    </row>
    <row r="1290">
      <c r="B1290" s="4" t="n">
        <v>1268</v>
      </c>
      <c r="C1290" s="4" t="inlineStr">
        <is>
          <t>14/09/2026</t>
        </is>
      </c>
      <c r="D1290" s="4" t="inlineStr">
        <is>
          <t>lunes</t>
        </is>
      </c>
      <c r="E1290" s="4" t="n">
        <v>2361</v>
      </c>
      <c r="F1290" s="4" t="inlineStr">
        <is>
          <t>PCL</t>
        </is>
      </c>
      <c r="G1290" s="4" t="inlineStr">
        <is>
          <t>LIM</t>
        </is>
      </c>
      <c r="H1290" s="4" t="inlineStr">
        <is>
          <t>17:20:00</t>
        </is>
      </c>
      <c r="I1290" s="4" t="inlineStr">
        <is>
          <t>18:35:00</t>
        </is>
      </c>
      <c r="J1290" s="4" t="n">
        <v>320</v>
      </c>
      <c r="K1290">
        <f>TEXT(TIMEVALUE(H1290)-TIMEVALUE(I1289)+(TIMEVALUE(H1290)&lt;TIMEVALUE(I1289)),"[h]:mm")</f>
        <v/>
      </c>
      <c r="L1290" s="4" t="inlineStr">
        <is>
          <t>01:15:00</t>
        </is>
      </c>
      <c r="O1290">
        <f>"LIM-"&amp;G1289&amp;"-LIM   LA "&amp;E1289&amp;" ("&amp;LEFT(H1289,5)&amp;"-"&amp;LEFT(I1289,5)&amp;" hrs)  /  LA "&amp;E1290&amp;" ("&amp;LEFT(H1290,5)&amp;"-"&amp;LEFT(I1290,5)&amp;" hrs)"</f>
        <v/>
      </c>
    </row>
    <row r="1291">
      <c r="J1291" s="8" t="inlineStr">
        <is>
          <t>PSV total:</t>
        </is>
      </c>
      <c r="K1291" s="9">
        <f>TEXT(TIMEVALUE(I1290)-TIMEVALUE(H1289)+(I1290&lt;H1289),"[h]:mm")</f>
        <v/>
      </c>
    </row>
    <row r="1293">
      <c r="B1293" s="3" t="inlineStr">
        <is>
          <t>Pairing ID</t>
        </is>
      </c>
      <c r="C1293" s="3" t="inlineStr">
        <is>
          <t>FECHA REAL</t>
        </is>
      </c>
      <c r="D1293" s="3" t="inlineStr">
        <is>
          <t>Day of Week</t>
        </is>
      </c>
      <c r="E1293" s="3" t="inlineStr">
        <is>
          <t>Flight No</t>
        </is>
      </c>
      <c r="F1293" s="3" t="inlineStr">
        <is>
          <t>Dep Stn</t>
        </is>
      </c>
      <c r="G1293" s="3" t="inlineStr">
        <is>
          <t>Arr Stn</t>
        </is>
      </c>
      <c r="H1293" s="3" t="inlineStr">
        <is>
          <t>STD</t>
        </is>
      </c>
      <c r="I1293" s="3" t="inlineStr">
        <is>
          <t>STA</t>
        </is>
      </c>
      <c r="J1293" s="3" t="inlineStr">
        <is>
          <t>subflota</t>
        </is>
      </c>
      <c r="K1293" s="3" t="inlineStr">
        <is>
          <t>Conexion</t>
        </is>
      </c>
      <c r="L1293" s="3" t="inlineStr">
        <is>
          <t>HBT</t>
        </is>
      </c>
    </row>
    <row r="1294">
      <c r="B1294" s="4" t="n">
        <v>1269</v>
      </c>
      <c r="C1294" s="4" t="inlineStr">
        <is>
          <t>14/09/2026</t>
        </is>
      </c>
      <c r="D1294" s="4" t="inlineStr">
        <is>
          <t>lunes</t>
        </is>
      </c>
      <c r="E1294" s="4" t="n">
        <v>2312</v>
      </c>
      <c r="F1294" s="4" t="inlineStr">
        <is>
          <t>LIM</t>
        </is>
      </c>
      <c r="G1294" s="4" t="inlineStr">
        <is>
          <t>CIX</t>
        </is>
      </c>
      <c r="H1294" s="4" t="inlineStr">
        <is>
          <t>15:35:00</t>
        </is>
      </c>
      <c r="I1294" s="4" t="inlineStr">
        <is>
          <t>17:05:00</t>
        </is>
      </c>
      <c r="J1294" s="4" t="n">
        <v>320</v>
      </c>
      <c r="L1294" s="4" t="inlineStr">
        <is>
          <t>01:30:00</t>
        </is>
      </c>
      <c r="M1294" s="5" t="n"/>
      <c r="N1294" s="6" t="n"/>
      <c r="O1294" s="5" t="n"/>
      <c r="Q1294" s="4">
        <f>B1294</f>
        <v/>
      </c>
      <c r="R1294" s="4">
        <f>C1294</f>
        <v/>
      </c>
      <c r="S1294" s="4">
        <f>D1294</f>
        <v/>
      </c>
      <c r="T1294" s="4">
        <f>E1294&amp;"/"&amp;E1295</f>
        <v/>
      </c>
      <c r="U1294" s="4">
        <f>F1294&amp;"-"&amp;G1294&amp;"-"&amp;F1294</f>
        <v/>
      </c>
      <c r="V1294" s="4">
        <f>IF($M$1294="","",$M$1294)</f>
        <v/>
      </c>
      <c r="W1294" s="4">
        <f>IF($O$1294="","",$O$1294)</f>
        <v/>
      </c>
      <c r="X1294" s="4">
        <f>J1294</f>
        <v/>
      </c>
    </row>
    <row r="1295">
      <c r="B1295" s="4" t="n">
        <v>1269</v>
      </c>
      <c r="C1295" s="4" t="inlineStr">
        <is>
          <t>14/09/2026</t>
        </is>
      </c>
      <c r="D1295" s="4" t="inlineStr">
        <is>
          <t>lunes</t>
        </is>
      </c>
      <c r="E1295" s="4" t="n">
        <v>2313</v>
      </c>
      <c r="F1295" s="4" t="inlineStr">
        <is>
          <t>CIX</t>
        </is>
      </c>
      <c r="G1295" s="4" t="inlineStr">
        <is>
          <t>LIM</t>
        </is>
      </c>
      <c r="H1295" s="4" t="inlineStr">
        <is>
          <t>17:50:00</t>
        </is>
      </c>
      <c r="I1295" s="4" t="inlineStr">
        <is>
          <t>19:10:00</t>
        </is>
      </c>
      <c r="J1295" s="4" t="n">
        <v>320</v>
      </c>
      <c r="K1295">
        <f>TEXT(TIMEVALUE(H1295)-TIMEVALUE(I1294)+(TIMEVALUE(H1295)&lt;TIMEVALUE(I1294)),"[h]:mm")</f>
        <v/>
      </c>
      <c r="L1295" s="4" t="inlineStr">
        <is>
          <t>01:20:00</t>
        </is>
      </c>
      <c r="O1295">
        <f>"LIM-"&amp;G1294&amp;"-LIM   LA "&amp;E1294&amp;" ("&amp;LEFT(H1294,5)&amp;"-"&amp;LEFT(I1294,5)&amp;" hrs)  /  LA "&amp;E1295&amp;" ("&amp;LEFT(H1295,5)&amp;"-"&amp;LEFT(I1295,5)&amp;" hrs)"</f>
        <v/>
      </c>
    </row>
    <row r="1296">
      <c r="J1296" s="8" t="inlineStr">
        <is>
          <t>PSV total:</t>
        </is>
      </c>
      <c r="K1296" s="9">
        <f>TEXT(TIMEVALUE(I1295)-TIMEVALUE(H1294)+(I1295&lt;H1294),"[h]:mm")</f>
        <v/>
      </c>
    </row>
    <row r="1298">
      <c r="B1298" s="3" t="inlineStr">
        <is>
          <t>Pairing ID</t>
        </is>
      </c>
      <c r="C1298" s="3" t="inlineStr">
        <is>
          <t>FECHA REAL</t>
        </is>
      </c>
      <c r="D1298" s="3" t="inlineStr">
        <is>
          <t>Day of Week</t>
        </is>
      </c>
      <c r="E1298" s="3" t="inlineStr">
        <is>
          <t>Flight No</t>
        </is>
      </c>
      <c r="F1298" s="3" t="inlineStr">
        <is>
          <t>Dep Stn</t>
        </is>
      </c>
      <c r="G1298" s="3" t="inlineStr">
        <is>
          <t>Arr Stn</t>
        </is>
      </c>
      <c r="H1298" s="3" t="inlineStr">
        <is>
          <t>STD</t>
        </is>
      </c>
      <c r="I1298" s="3" t="inlineStr">
        <is>
          <t>STA</t>
        </is>
      </c>
      <c r="J1298" s="3" t="inlineStr">
        <is>
          <t>subflota</t>
        </is>
      </c>
      <c r="K1298" s="3" t="inlineStr">
        <is>
          <t>Conexion</t>
        </is>
      </c>
      <c r="L1298" s="3" t="inlineStr">
        <is>
          <t>HBT</t>
        </is>
      </c>
    </row>
    <row r="1299">
      <c r="B1299" s="4" t="n">
        <v>1270</v>
      </c>
      <c r="C1299" s="4" t="inlineStr">
        <is>
          <t>14/09/2026</t>
        </is>
      </c>
      <c r="D1299" s="4" t="inlineStr">
        <is>
          <t>lunes</t>
        </is>
      </c>
      <c r="E1299" s="4" t="n">
        <v>2301</v>
      </c>
      <c r="F1299" s="4" t="inlineStr">
        <is>
          <t>LIM</t>
        </is>
      </c>
      <c r="G1299" s="4" t="inlineStr">
        <is>
          <t>TPP</t>
        </is>
      </c>
      <c r="H1299" s="4" t="inlineStr">
        <is>
          <t>15:40:00</t>
        </is>
      </c>
      <c r="I1299" s="4" t="inlineStr">
        <is>
          <t>17:05:00</t>
        </is>
      </c>
      <c r="J1299" s="4" t="n">
        <v>319</v>
      </c>
      <c r="L1299" s="4" t="inlineStr">
        <is>
          <t>01:25:00</t>
        </is>
      </c>
      <c r="M1299" s="5" t="n"/>
      <c r="N1299" s="6" t="n"/>
      <c r="O1299" s="5" t="n"/>
      <c r="Q1299" s="4">
        <f>B1299</f>
        <v/>
      </c>
      <c r="R1299" s="4">
        <f>C1299</f>
        <v/>
      </c>
      <c r="S1299" s="4">
        <f>D1299</f>
        <v/>
      </c>
      <c r="T1299" s="4">
        <f>E1299&amp;"/"&amp;E1300</f>
        <v/>
      </c>
      <c r="U1299" s="4">
        <f>F1299&amp;"-"&amp;G1299&amp;"-"&amp;F1299</f>
        <v/>
      </c>
      <c r="V1299" s="4">
        <f>IF($M$1299="","",$M$1299)</f>
        <v/>
      </c>
      <c r="W1299" s="4">
        <f>IF($O$1299="","",$O$1299)</f>
        <v/>
      </c>
      <c r="X1299" s="4">
        <f>J1299</f>
        <v/>
      </c>
    </row>
    <row r="1300">
      <c r="B1300" s="4" t="n">
        <v>1270</v>
      </c>
      <c r="C1300" s="4" t="inlineStr">
        <is>
          <t>14/09/2026</t>
        </is>
      </c>
      <c r="D1300" s="4" t="inlineStr">
        <is>
          <t>lunes</t>
        </is>
      </c>
      <c r="E1300" s="4" t="n">
        <v>2300</v>
      </c>
      <c r="F1300" s="4" t="inlineStr">
        <is>
          <t>TPP</t>
        </is>
      </c>
      <c r="G1300" s="4" t="inlineStr">
        <is>
          <t>LIM</t>
        </is>
      </c>
      <c r="H1300" s="4" t="inlineStr">
        <is>
          <t>17:50:00</t>
        </is>
      </c>
      <c r="I1300" s="4" t="inlineStr">
        <is>
          <t>19:15:00</t>
        </is>
      </c>
      <c r="J1300" s="4" t="n">
        <v>319</v>
      </c>
      <c r="K1300">
        <f>TEXT(TIMEVALUE(H1300)-TIMEVALUE(I1299)+(TIMEVALUE(H1300)&lt;TIMEVALUE(I1299)),"[h]:mm")</f>
        <v/>
      </c>
      <c r="L1300" s="4" t="inlineStr">
        <is>
          <t>01:25:00</t>
        </is>
      </c>
      <c r="O1300">
        <f>"LIM-"&amp;G1299&amp;"-LIM   LA "&amp;E1299&amp;" ("&amp;LEFT(H1299,5)&amp;"-"&amp;LEFT(I1299,5)&amp;" hrs)  /  LA "&amp;E1300&amp;" ("&amp;LEFT(H1300,5)&amp;"-"&amp;LEFT(I1300,5)&amp;" hrs)"</f>
        <v/>
      </c>
    </row>
    <row r="1301">
      <c r="J1301" s="8" t="inlineStr">
        <is>
          <t>PSV total:</t>
        </is>
      </c>
      <c r="K1301" s="9">
        <f>TEXT(TIMEVALUE(I1300)-TIMEVALUE(H1299)+(I1300&lt;H1299),"[h]:mm")</f>
        <v/>
      </c>
    </row>
    <row r="1303">
      <c r="B1303" s="3" t="inlineStr">
        <is>
          <t>Pairing ID</t>
        </is>
      </c>
      <c r="C1303" s="3" t="inlineStr">
        <is>
          <t>FECHA REAL</t>
        </is>
      </c>
      <c r="D1303" s="3" t="inlineStr">
        <is>
          <t>Day of Week</t>
        </is>
      </c>
      <c r="E1303" s="3" t="inlineStr">
        <is>
          <t>Flight No</t>
        </is>
      </c>
      <c r="F1303" s="3" t="inlineStr">
        <is>
          <t>Dep Stn</t>
        </is>
      </c>
      <c r="G1303" s="3" t="inlineStr">
        <is>
          <t>Arr Stn</t>
        </is>
      </c>
      <c r="H1303" s="3" t="inlineStr">
        <is>
          <t>STD</t>
        </is>
      </c>
      <c r="I1303" s="3" t="inlineStr">
        <is>
          <t>STA</t>
        </is>
      </c>
      <c r="J1303" s="3" t="inlineStr">
        <is>
          <t>subflota</t>
        </is>
      </c>
      <c r="K1303" s="3" t="inlineStr">
        <is>
          <t>Conexion</t>
        </is>
      </c>
      <c r="L1303" s="3" t="inlineStr">
        <is>
          <t>HBT</t>
        </is>
      </c>
    </row>
    <row r="1304">
      <c r="B1304" s="4" t="n">
        <v>1277</v>
      </c>
      <c r="C1304" s="4" t="inlineStr">
        <is>
          <t>14/09/2026</t>
        </is>
      </c>
      <c r="D1304" s="4" t="inlineStr">
        <is>
          <t>lunes</t>
        </is>
      </c>
      <c r="E1304" s="4" t="n">
        <v>2310</v>
      </c>
      <c r="F1304" s="4" t="inlineStr">
        <is>
          <t>LIM</t>
        </is>
      </c>
      <c r="G1304" s="4" t="inlineStr">
        <is>
          <t>CIX</t>
        </is>
      </c>
      <c r="H1304" s="4" t="inlineStr">
        <is>
          <t>18:20:00</t>
        </is>
      </c>
      <c r="I1304" s="4" t="inlineStr">
        <is>
          <t>19:45:00</t>
        </is>
      </c>
      <c r="J1304" s="4" t="n">
        <v>320</v>
      </c>
      <c r="L1304" s="4" t="inlineStr">
        <is>
          <t>01:25:00</t>
        </is>
      </c>
      <c r="M1304" s="5" t="n"/>
      <c r="N1304" s="6" t="n"/>
      <c r="O1304" s="5" t="n"/>
      <c r="Q1304" s="4">
        <f>B1304</f>
        <v/>
      </c>
      <c r="R1304" s="4">
        <f>C1304</f>
        <v/>
      </c>
      <c r="S1304" s="4">
        <f>D1304</f>
        <v/>
      </c>
      <c r="T1304" s="4">
        <f>E1304&amp;"/"&amp;E1305</f>
        <v/>
      </c>
      <c r="U1304" s="4">
        <f>F1304&amp;"-"&amp;G1304&amp;"-"&amp;F1304</f>
        <v/>
      </c>
      <c r="V1304" s="4">
        <f>IF($M$1304="","",$M$1304)</f>
        <v/>
      </c>
      <c r="W1304" s="4">
        <f>IF($O$1304="","",$O$1304)</f>
        <v/>
      </c>
      <c r="X1304" s="4">
        <f>J1304</f>
        <v/>
      </c>
    </row>
    <row r="1305">
      <c r="B1305" s="4" t="n">
        <v>1277</v>
      </c>
      <c r="C1305" s="4" t="inlineStr">
        <is>
          <t>14/09/2026</t>
        </is>
      </c>
      <c r="D1305" s="4" t="inlineStr">
        <is>
          <t>lunes</t>
        </is>
      </c>
      <c r="E1305" s="4" t="n">
        <v>2311</v>
      </c>
      <c r="F1305" s="4" t="inlineStr">
        <is>
          <t>CIX</t>
        </is>
      </c>
      <c r="G1305" s="4" t="inlineStr">
        <is>
          <t>LIM</t>
        </is>
      </c>
      <c r="H1305" s="4" t="inlineStr">
        <is>
          <t>20:20:00</t>
        </is>
      </c>
      <c r="I1305" s="4" t="inlineStr">
        <is>
          <t>21:35:00</t>
        </is>
      </c>
      <c r="J1305" s="4" t="n">
        <v>320</v>
      </c>
      <c r="K1305">
        <f>TEXT(TIMEVALUE(H1305)-TIMEVALUE(I1304)+(TIMEVALUE(H1305)&lt;TIMEVALUE(I1304)),"[h]:mm")</f>
        <v/>
      </c>
      <c r="L1305" s="4" t="inlineStr">
        <is>
          <t>01:15:00</t>
        </is>
      </c>
      <c r="O1305">
        <f>"LIM-"&amp;G1304&amp;"-LIM   LA "&amp;E1304&amp;" ("&amp;LEFT(H1304,5)&amp;"-"&amp;LEFT(I1304,5)&amp;" hrs)  /  LA "&amp;E1305&amp;" ("&amp;LEFT(H1305,5)&amp;"-"&amp;LEFT(I1305,5)&amp;" hrs)"</f>
        <v/>
      </c>
    </row>
    <row r="1306">
      <c r="J1306" s="8" t="inlineStr">
        <is>
          <t>PSV total:</t>
        </is>
      </c>
      <c r="K1306" s="9">
        <f>TEXT(TIMEVALUE(I1305)-TIMEVALUE(H1304)+(I1305&lt;H1304),"[h]:mm")</f>
        <v/>
      </c>
    </row>
    <row r="1308">
      <c r="B1308" s="3" t="inlineStr">
        <is>
          <t>Pairing ID</t>
        </is>
      </c>
      <c r="C1308" s="3" t="inlineStr">
        <is>
          <t>FECHA REAL</t>
        </is>
      </c>
      <c r="D1308" s="3" t="inlineStr">
        <is>
          <t>Day of Week</t>
        </is>
      </c>
      <c r="E1308" s="3" t="inlineStr">
        <is>
          <t>Flight No</t>
        </is>
      </c>
      <c r="F1308" s="3" t="inlineStr">
        <is>
          <t>Dep Stn</t>
        </is>
      </c>
      <c r="G1308" s="3" t="inlineStr">
        <is>
          <t>Arr Stn</t>
        </is>
      </c>
      <c r="H1308" s="3" t="inlineStr">
        <is>
          <t>STD</t>
        </is>
      </c>
      <c r="I1308" s="3" t="inlineStr">
        <is>
          <t>STA</t>
        </is>
      </c>
      <c r="J1308" s="3" t="inlineStr">
        <is>
          <t>subflota</t>
        </is>
      </c>
      <c r="K1308" s="3" t="inlineStr">
        <is>
          <t>Conexion</t>
        </is>
      </c>
      <c r="L1308" s="3" t="inlineStr">
        <is>
          <t>HBT</t>
        </is>
      </c>
    </row>
    <row r="1309">
      <c r="B1309" s="4" t="n">
        <v>1279</v>
      </c>
      <c r="C1309" s="4" t="inlineStr">
        <is>
          <t>14/09/2026</t>
        </is>
      </c>
      <c r="D1309" s="4" t="inlineStr">
        <is>
          <t>lunes</t>
        </is>
      </c>
      <c r="E1309" s="4" t="n">
        <v>2200</v>
      </c>
      <c r="F1309" s="4" t="inlineStr">
        <is>
          <t>LIM</t>
        </is>
      </c>
      <c r="G1309" s="4" t="inlineStr">
        <is>
          <t>CUZ</t>
        </is>
      </c>
      <c r="H1309" s="4" t="inlineStr">
        <is>
          <t>21:10:00</t>
        </is>
      </c>
      <c r="I1309" s="4" t="inlineStr">
        <is>
          <t>22:35:00</t>
        </is>
      </c>
      <c r="J1309" s="4" t="n">
        <v>320</v>
      </c>
      <c r="L1309" s="4" t="inlineStr">
        <is>
          <t>01:25:00</t>
        </is>
      </c>
      <c r="M1309" s="5" t="n"/>
      <c r="N1309" s="6" t="n"/>
      <c r="O1309" s="5" t="n"/>
      <c r="Q1309" s="4">
        <f>B1309</f>
        <v/>
      </c>
      <c r="R1309" s="4">
        <f>C1309</f>
        <v/>
      </c>
      <c r="S1309" s="4">
        <f>D1309</f>
        <v/>
      </c>
      <c r="T1309" s="4">
        <f>E1309&amp;"/"&amp;E1310</f>
        <v/>
      </c>
      <c r="U1309" s="4">
        <f>F1309&amp;"-"&amp;G1309&amp;"-"&amp;F1309</f>
        <v/>
      </c>
      <c r="V1309" s="4">
        <f>IF($M$1309="","",$M$1309)</f>
        <v/>
      </c>
      <c r="W1309" s="4">
        <f>IF($O$1309="","",$O$1309)</f>
        <v/>
      </c>
      <c r="X1309" s="4">
        <f>J1309</f>
        <v/>
      </c>
    </row>
    <row r="1310">
      <c r="B1310" s="4" t="n">
        <v>1279</v>
      </c>
      <c r="C1310" s="4" t="inlineStr">
        <is>
          <t>14/09/2026</t>
        </is>
      </c>
      <c r="D1310" s="4" t="inlineStr">
        <is>
          <t>lunes</t>
        </is>
      </c>
      <c r="E1310" s="4" t="n">
        <v>2201</v>
      </c>
      <c r="F1310" s="4" t="inlineStr">
        <is>
          <t>CUZ</t>
        </is>
      </c>
      <c r="G1310" s="4" t="inlineStr">
        <is>
          <t>LIM</t>
        </is>
      </c>
      <c r="H1310" s="4" t="inlineStr">
        <is>
          <t>23:20:00</t>
        </is>
      </c>
      <c r="I1310" s="4" t="inlineStr">
        <is>
          <t>00:50:00</t>
        </is>
      </c>
      <c r="J1310" s="4" t="n">
        <v>320</v>
      </c>
      <c r="K1310">
        <f>TEXT(TIMEVALUE(H1310)-TIMEVALUE(I1309)+(TIMEVALUE(H1310)&lt;TIMEVALUE(I1309)),"[h]:mm")</f>
        <v/>
      </c>
      <c r="L1310" s="4" t="inlineStr">
        <is>
          <t>01:30:00</t>
        </is>
      </c>
      <c r="O1310">
        <f>"LIM-"&amp;G1309&amp;"-LIM   LA "&amp;E1309&amp;" ("&amp;LEFT(H1309,5)&amp;"-"&amp;LEFT(I1309,5)&amp;" hrs)  /  LA "&amp;E1310&amp;" ("&amp;LEFT(H1310,5)&amp;"-"&amp;LEFT(I1310,5)&amp;" hrs)"</f>
        <v/>
      </c>
    </row>
    <row r="1311">
      <c r="J1311" s="8" t="inlineStr">
        <is>
          <t>PSV total:</t>
        </is>
      </c>
      <c r="K1311" s="9">
        <f>TEXT(TIMEVALUE(I1310)-TIMEVALUE(H1309)+(I1310&lt;H1309),"[h]:mm")</f>
        <v/>
      </c>
    </row>
    <row r="1313">
      <c r="B1313" s="3" t="inlineStr">
        <is>
          <t>Pairing ID</t>
        </is>
      </c>
      <c r="C1313" s="3" t="inlineStr">
        <is>
          <t>FECHA REAL</t>
        </is>
      </c>
      <c r="D1313" s="3" t="inlineStr">
        <is>
          <t>Day of Week</t>
        </is>
      </c>
      <c r="E1313" s="3" t="inlineStr">
        <is>
          <t>Flight No</t>
        </is>
      </c>
      <c r="F1313" s="3" t="inlineStr">
        <is>
          <t>Dep Stn</t>
        </is>
      </c>
      <c r="G1313" s="3" t="inlineStr">
        <is>
          <t>Arr Stn</t>
        </is>
      </c>
      <c r="H1313" s="3" t="inlineStr">
        <is>
          <t>STD</t>
        </is>
      </c>
      <c r="I1313" s="3" t="inlineStr">
        <is>
          <t>STA</t>
        </is>
      </c>
      <c r="J1313" s="3" t="inlineStr">
        <is>
          <t>subflota</t>
        </is>
      </c>
      <c r="K1313" s="3" t="inlineStr">
        <is>
          <t>Conexion</t>
        </is>
      </c>
      <c r="L1313" s="3" t="inlineStr">
        <is>
          <t>HBT</t>
        </is>
      </c>
    </row>
    <row r="1314">
      <c r="B1314" s="4" t="n">
        <v>1325</v>
      </c>
      <c r="C1314" s="4" t="inlineStr">
        <is>
          <t>15/09/2026</t>
        </is>
      </c>
      <c r="D1314" s="4" t="inlineStr">
        <is>
          <t>martes</t>
        </is>
      </c>
      <c r="E1314" s="4" t="n">
        <v>2019</v>
      </c>
      <c r="F1314" s="4" t="inlineStr">
        <is>
          <t>LIM</t>
        </is>
      </c>
      <c r="G1314" s="4" t="inlineStr">
        <is>
          <t>IQT</t>
        </is>
      </c>
      <c r="H1314" s="4" t="inlineStr">
        <is>
          <t>11:35:00</t>
        </is>
      </c>
      <c r="I1314" s="4" t="inlineStr">
        <is>
          <t>13:25:00</t>
        </is>
      </c>
      <c r="J1314" s="4" t="n">
        <v>320</v>
      </c>
      <c r="L1314" s="4" t="inlineStr">
        <is>
          <t>01:50:00</t>
        </is>
      </c>
      <c r="M1314" s="5" t="n"/>
      <c r="N1314" s="6" t="n"/>
      <c r="O1314" s="5" t="n"/>
      <c r="Q1314" s="4">
        <f>B1314</f>
        <v/>
      </c>
      <c r="R1314" s="4">
        <f>C1314</f>
        <v/>
      </c>
      <c r="S1314" s="4">
        <f>D1314</f>
        <v/>
      </c>
      <c r="T1314" s="4">
        <f>E1314&amp;"/"&amp;E1315</f>
        <v/>
      </c>
      <c r="U1314" s="4">
        <f>F1314&amp;"-"&amp;G1314&amp;"-"&amp;F1314</f>
        <v/>
      </c>
      <c r="V1314" s="4">
        <f>IF($M$1314="","",$M$1314)</f>
        <v/>
      </c>
      <c r="W1314" s="4">
        <f>IF($O$1314="","",$O$1314)</f>
        <v/>
      </c>
      <c r="X1314" s="4">
        <f>J1314</f>
        <v/>
      </c>
    </row>
    <row r="1315">
      <c r="B1315" s="4" t="n">
        <v>1325</v>
      </c>
      <c r="C1315" s="4" t="inlineStr">
        <is>
          <t>15/09/2026</t>
        </is>
      </c>
      <c r="D1315" s="4" t="inlineStr">
        <is>
          <t>martes</t>
        </is>
      </c>
      <c r="E1315" s="4" t="n">
        <v>2038</v>
      </c>
      <c r="F1315" s="4" t="inlineStr">
        <is>
          <t>IQT</t>
        </is>
      </c>
      <c r="G1315" s="4" t="inlineStr">
        <is>
          <t>LIM</t>
        </is>
      </c>
      <c r="H1315" s="4" t="inlineStr">
        <is>
          <t>14:05:00</t>
        </is>
      </c>
      <c r="I1315" s="4" t="inlineStr">
        <is>
          <t>15:55:00</t>
        </is>
      </c>
      <c r="J1315" s="4" t="n">
        <v>320</v>
      </c>
      <c r="K1315">
        <f>TEXT(TIMEVALUE(H1315)-TIMEVALUE(I1314)+(TIMEVALUE(H1315)&lt;TIMEVALUE(I1314)),"[h]:mm")</f>
        <v/>
      </c>
      <c r="L1315" s="4" t="inlineStr">
        <is>
          <t>01:50:00</t>
        </is>
      </c>
      <c r="O1315">
        <f>"LIM-"&amp;G1314&amp;"-LIM   LA "&amp;E1314&amp;" ("&amp;LEFT(H1314,5)&amp;"-"&amp;LEFT(I1314,5)&amp;" hrs)  /  LA "&amp;E1315&amp;" ("&amp;LEFT(H1315,5)&amp;"-"&amp;LEFT(I1315,5)&amp;" hrs)"</f>
        <v/>
      </c>
    </row>
    <row r="1316">
      <c r="B1316" s="4" t="n">
        <v>1354</v>
      </c>
      <c r="C1316" s="4" t="inlineStr">
        <is>
          <t>15/09/2026</t>
        </is>
      </c>
      <c r="D1316" s="4" t="inlineStr">
        <is>
          <t>martes</t>
        </is>
      </c>
      <c r="E1316" s="4" t="n">
        <v>2213</v>
      </c>
      <c r="F1316" s="4" t="inlineStr">
        <is>
          <t>LIM</t>
        </is>
      </c>
      <c r="G1316" s="4" t="inlineStr">
        <is>
          <t>CIX</t>
        </is>
      </c>
      <c r="H1316" s="4" t="inlineStr">
        <is>
          <t>17:20:00</t>
        </is>
      </c>
      <c r="I1316" s="4" t="inlineStr">
        <is>
          <t>18:50:00</t>
        </is>
      </c>
      <c r="J1316" s="4" t="n">
        <v>320</v>
      </c>
      <c r="K1316" s="7">
        <f>TEXT(TIMEVALUE(H1316)-TIMEVALUE(I1315)+(TIMEVALUE(H1316)&lt;TIMEVALUE(I1315)),"[h]:mm")</f>
        <v/>
      </c>
      <c r="L1316" s="4" t="inlineStr">
        <is>
          <t>01:30:00</t>
        </is>
      </c>
      <c r="M1316">
        <f>IF($M$1314="","",$M$1314)</f>
        <v/>
      </c>
      <c r="O1316">
        <f>IF($O$1314="","",$O$1314)</f>
        <v/>
      </c>
      <c r="Q1316" s="4">
        <f>B1316</f>
        <v/>
      </c>
      <c r="R1316" s="4">
        <f>C1316</f>
        <v/>
      </c>
      <c r="S1316" s="4">
        <f>D1316</f>
        <v/>
      </c>
      <c r="T1316" s="4">
        <f>E1316&amp;"/"&amp;E1317</f>
        <v/>
      </c>
      <c r="U1316" s="4">
        <f>F1316&amp;"-"&amp;G1316&amp;"-"&amp;F1316</f>
        <v/>
      </c>
      <c r="V1316" s="4">
        <f>IF($M$1314="","",$M$1314)</f>
        <v/>
      </c>
      <c r="W1316" s="4">
        <f>IF($O$1314="","",$O$1314)</f>
        <v/>
      </c>
      <c r="X1316" s="4">
        <f>J1316</f>
        <v/>
      </c>
    </row>
    <row r="1317">
      <c r="B1317" s="4" t="n">
        <v>1354</v>
      </c>
      <c r="C1317" s="4" t="inlineStr">
        <is>
          <t>15/09/2026</t>
        </is>
      </c>
      <c r="D1317" s="4" t="inlineStr">
        <is>
          <t>martes</t>
        </is>
      </c>
      <c r="E1317" s="4" t="n">
        <v>2214</v>
      </c>
      <c r="F1317" s="4" t="inlineStr">
        <is>
          <t>CIX</t>
        </is>
      </c>
      <c r="G1317" s="4" t="inlineStr">
        <is>
          <t>LIM</t>
        </is>
      </c>
      <c r="H1317" s="4" t="inlineStr">
        <is>
          <t>19:25:00</t>
        </is>
      </c>
      <c r="I1317" s="4" t="inlineStr">
        <is>
          <t>20:40:00</t>
        </is>
      </c>
      <c r="J1317" s="4" t="n">
        <v>320</v>
      </c>
      <c r="K1317">
        <f>TEXT(TIMEVALUE(H1317)-TIMEVALUE(I1316)+(TIMEVALUE(H1317)&lt;TIMEVALUE(I1316)),"[h]:mm")</f>
        <v/>
      </c>
      <c r="L1317" s="4" t="inlineStr">
        <is>
          <t>01:15:00</t>
        </is>
      </c>
      <c r="O1317">
        <f>"LIM-"&amp;G1316&amp;"-LIM   LA "&amp;E1316&amp;" ("&amp;LEFT(H1316,5)&amp;"-"&amp;LEFT(I1316,5)&amp;" hrs)  /  LA "&amp;E1317&amp;" ("&amp;LEFT(H1317,5)&amp;"-"&amp;LEFT(I1317,5)&amp;" hrs)"</f>
        <v/>
      </c>
    </row>
    <row r="1318">
      <c r="J1318" s="8" t="inlineStr">
        <is>
          <t>PSV total:</t>
        </is>
      </c>
      <c r="K1318" s="9">
        <f>TEXT(TIMEVALUE(I1317)-TIMEVALUE(H1314)+(I1317&lt;H1314),"[h]:mm")</f>
        <v/>
      </c>
    </row>
    <row r="1320">
      <c r="B1320" s="3" t="inlineStr">
        <is>
          <t>Pairing ID</t>
        </is>
      </c>
      <c r="C1320" s="3" t="inlineStr">
        <is>
          <t>FECHA REAL</t>
        </is>
      </c>
      <c r="D1320" s="3" t="inlineStr">
        <is>
          <t>Day of Week</t>
        </is>
      </c>
      <c r="E1320" s="3" t="inlineStr">
        <is>
          <t>Flight No</t>
        </is>
      </c>
      <c r="F1320" s="3" t="inlineStr">
        <is>
          <t>Dep Stn</t>
        </is>
      </c>
      <c r="G1320" s="3" t="inlineStr">
        <is>
          <t>Arr Stn</t>
        </is>
      </c>
      <c r="H1320" s="3" t="inlineStr">
        <is>
          <t>STD</t>
        </is>
      </c>
      <c r="I1320" s="3" t="inlineStr">
        <is>
          <t>STA</t>
        </is>
      </c>
      <c r="J1320" s="3" t="inlineStr">
        <is>
          <t>subflota</t>
        </is>
      </c>
      <c r="K1320" s="3" t="inlineStr">
        <is>
          <t>Conexion</t>
        </is>
      </c>
      <c r="L1320" s="3" t="inlineStr">
        <is>
          <t>HBT</t>
        </is>
      </c>
    </row>
    <row r="1321">
      <c r="B1321" s="4" t="n">
        <v>1328</v>
      </c>
      <c r="C1321" s="4" t="inlineStr">
        <is>
          <t>15/09/2026</t>
        </is>
      </c>
      <c r="D1321" s="4" t="inlineStr">
        <is>
          <t>martes</t>
        </is>
      </c>
      <c r="E1321" s="4" t="n">
        <v>2061</v>
      </c>
      <c r="F1321" s="4" t="inlineStr">
        <is>
          <t>LIM</t>
        </is>
      </c>
      <c r="G1321" s="4" t="inlineStr">
        <is>
          <t>CUZ</t>
        </is>
      </c>
      <c r="H1321" s="4" t="inlineStr">
        <is>
          <t>11:40:00</t>
        </is>
      </c>
      <c r="I1321" s="4" t="inlineStr">
        <is>
          <t>13:00:00</t>
        </is>
      </c>
      <c r="J1321" s="4" t="n">
        <v>320</v>
      </c>
      <c r="L1321" s="4" t="inlineStr">
        <is>
          <t>01:20:00</t>
        </is>
      </c>
      <c r="M1321" s="5" t="n"/>
      <c r="N1321" s="6" t="n"/>
      <c r="O1321" s="5" t="n"/>
      <c r="Q1321" s="4">
        <f>B1321</f>
        <v/>
      </c>
      <c r="R1321" s="4">
        <f>C1321</f>
        <v/>
      </c>
      <c r="S1321" s="4">
        <f>D1321</f>
        <v/>
      </c>
      <c r="T1321" s="4">
        <f>E1321&amp;"/"&amp;E1322</f>
        <v/>
      </c>
      <c r="U1321" s="4">
        <f>F1321&amp;"-"&amp;G1321&amp;"-"&amp;F1321</f>
        <v/>
      </c>
      <c r="V1321" s="4">
        <f>IF($M$1321="","",$M$1321)</f>
        <v/>
      </c>
      <c r="W1321" s="4">
        <f>IF($O$1321="","",$O$1321)</f>
        <v/>
      </c>
      <c r="X1321" s="4">
        <f>J1321</f>
        <v/>
      </c>
    </row>
    <row r="1322">
      <c r="B1322" s="4" t="n">
        <v>1328</v>
      </c>
      <c r="C1322" s="4" t="inlineStr">
        <is>
          <t>15/09/2026</t>
        </is>
      </c>
      <c r="D1322" s="4" t="inlineStr">
        <is>
          <t>martes</t>
        </is>
      </c>
      <c r="E1322" s="4" t="n">
        <v>2062</v>
      </c>
      <c r="F1322" s="4" t="inlineStr">
        <is>
          <t>CUZ</t>
        </is>
      </c>
      <c r="G1322" s="4" t="inlineStr">
        <is>
          <t>LIM</t>
        </is>
      </c>
      <c r="H1322" s="4" t="inlineStr">
        <is>
          <t>13:40:00</t>
        </is>
      </c>
      <c r="I1322" s="4" t="inlineStr">
        <is>
          <t>15:15:00</t>
        </is>
      </c>
      <c r="J1322" s="4" t="n">
        <v>320</v>
      </c>
      <c r="K1322">
        <f>TEXT(TIMEVALUE(H1322)-TIMEVALUE(I1321)+(TIMEVALUE(H1322)&lt;TIMEVALUE(I1321)),"[h]:mm")</f>
        <v/>
      </c>
      <c r="L1322" s="4" t="inlineStr">
        <is>
          <t>01:35:00</t>
        </is>
      </c>
      <c r="O1322">
        <f>"LIM-"&amp;G1321&amp;"-LIM   LA "&amp;E1321&amp;" ("&amp;LEFT(H1321,5)&amp;"-"&amp;LEFT(I1321,5)&amp;" hrs)  /  LA "&amp;E1322&amp;" ("&amp;LEFT(H1322,5)&amp;"-"&amp;LEFT(I1322,5)&amp;" hrs)"</f>
        <v/>
      </c>
    </row>
    <row r="1323">
      <c r="B1323" s="4" t="n">
        <v>1353</v>
      </c>
      <c r="C1323" s="4" t="inlineStr">
        <is>
          <t>15/09/2026</t>
        </is>
      </c>
      <c r="D1323" s="4" t="inlineStr">
        <is>
          <t>martes</t>
        </is>
      </c>
      <c r="E1323" s="4" t="n">
        <v>2276</v>
      </c>
      <c r="F1323" s="4" t="inlineStr">
        <is>
          <t>LIM</t>
        </is>
      </c>
      <c r="G1323" s="4" t="inlineStr">
        <is>
          <t>CUZ</t>
        </is>
      </c>
      <c r="H1323" s="4" t="inlineStr">
        <is>
          <t>16:35:00</t>
        </is>
      </c>
      <c r="I1323" s="4" t="inlineStr">
        <is>
          <t>17:55:00</t>
        </is>
      </c>
      <c r="J1323" s="4" t="n">
        <v>320</v>
      </c>
      <c r="K1323" s="7">
        <f>TEXT(TIMEVALUE(H1323)-TIMEVALUE(I1322)+(TIMEVALUE(H1323)&lt;TIMEVALUE(I1322)),"[h]:mm")</f>
        <v/>
      </c>
      <c r="L1323" s="4" t="inlineStr">
        <is>
          <t>01:20:00</t>
        </is>
      </c>
      <c r="M1323">
        <f>IF($M$1321="","",$M$1321)</f>
        <v/>
      </c>
      <c r="O1323">
        <f>IF($O$1321="","",$O$1321)</f>
        <v/>
      </c>
      <c r="Q1323" s="4">
        <f>B1323</f>
        <v/>
      </c>
      <c r="R1323" s="4">
        <f>C1323</f>
        <v/>
      </c>
      <c r="S1323" s="4">
        <f>D1323</f>
        <v/>
      </c>
      <c r="T1323" s="4">
        <f>E1323&amp;"/"&amp;E1324</f>
        <v/>
      </c>
      <c r="U1323" s="4">
        <f>F1323&amp;"-"&amp;G1323&amp;"-"&amp;F1323</f>
        <v/>
      </c>
      <c r="V1323" s="4">
        <f>IF($M$1321="","",$M$1321)</f>
        <v/>
      </c>
      <c r="W1323" s="4">
        <f>IF($O$1321="","",$O$1321)</f>
        <v/>
      </c>
      <c r="X1323" s="4">
        <f>J1323</f>
        <v/>
      </c>
    </row>
    <row r="1324">
      <c r="B1324" s="4" t="n">
        <v>1353</v>
      </c>
      <c r="C1324" s="4" t="inlineStr">
        <is>
          <t>15/09/2026</t>
        </is>
      </c>
      <c r="D1324" s="4" t="inlineStr">
        <is>
          <t>martes</t>
        </is>
      </c>
      <c r="E1324" s="4" t="n">
        <v>2277</v>
      </c>
      <c r="F1324" s="4" t="inlineStr">
        <is>
          <t>CUZ</t>
        </is>
      </c>
      <c r="G1324" s="4" t="inlineStr">
        <is>
          <t>LIM</t>
        </is>
      </c>
      <c r="H1324" s="4" t="inlineStr">
        <is>
          <t>18:50:00</t>
        </is>
      </c>
      <c r="I1324" s="4" t="inlineStr">
        <is>
          <t>20:25:00</t>
        </is>
      </c>
      <c r="J1324" s="4" t="n">
        <v>320</v>
      </c>
      <c r="K1324">
        <f>TEXT(TIMEVALUE(H1324)-TIMEVALUE(I1323)+(TIMEVALUE(H1324)&lt;TIMEVALUE(I1323)),"[h]:mm")</f>
        <v/>
      </c>
      <c r="L1324" s="4" t="inlineStr">
        <is>
          <t>01:35:00</t>
        </is>
      </c>
      <c r="O1324">
        <f>"LIM-"&amp;G1323&amp;"-LIM   LA "&amp;E1323&amp;" ("&amp;LEFT(H1323,5)&amp;"-"&amp;LEFT(I1323,5)&amp;" hrs)  /  LA "&amp;E1324&amp;" ("&amp;LEFT(H1324,5)&amp;"-"&amp;LEFT(I1324,5)&amp;" hrs)"</f>
        <v/>
      </c>
    </row>
    <row r="1325">
      <c r="J1325" s="8" t="inlineStr">
        <is>
          <t>PSV total:</t>
        </is>
      </c>
      <c r="K1325" s="9">
        <f>TEXT(TIMEVALUE(I1324)-TIMEVALUE(H1321)+(I1324&lt;H1321),"[h]:mm")</f>
        <v/>
      </c>
    </row>
    <row r="1327">
      <c r="B1327" s="3" t="inlineStr">
        <is>
          <t>Pairing ID</t>
        </is>
      </c>
      <c r="C1327" s="3" t="inlineStr">
        <is>
          <t>FECHA REAL</t>
        </is>
      </c>
      <c r="D1327" s="3" t="inlineStr">
        <is>
          <t>Day of Week</t>
        </is>
      </c>
      <c r="E1327" s="3" t="inlineStr">
        <is>
          <t>Flight No</t>
        </is>
      </c>
      <c r="F1327" s="3" t="inlineStr">
        <is>
          <t>Dep Stn</t>
        </is>
      </c>
      <c r="G1327" s="3" t="inlineStr">
        <is>
          <t>Arr Stn</t>
        </is>
      </c>
      <c r="H1327" s="3" t="inlineStr">
        <is>
          <t>STD</t>
        </is>
      </c>
      <c r="I1327" s="3" t="inlineStr">
        <is>
          <t>STA</t>
        </is>
      </c>
      <c r="J1327" s="3" t="inlineStr">
        <is>
          <t>subflota</t>
        </is>
      </c>
      <c r="K1327" s="3" t="inlineStr">
        <is>
          <t>Conexion</t>
        </is>
      </c>
      <c r="L1327" s="3" t="inlineStr">
        <is>
          <t>HBT</t>
        </is>
      </c>
    </row>
    <row r="1328">
      <c r="B1328" s="4" t="n">
        <v>1333</v>
      </c>
      <c r="C1328" s="4" t="inlineStr">
        <is>
          <t>15/09/2026</t>
        </is>
      </c>
      <c r="D1328" s="4" t="inlineStr">
        <is>
          <t>martes</t>
        </is>
      </c>
      <c r="E1328" s="4" t="n">
        <v>2308</v>
      </c>
      <c r="F1328" s="4" t="inlineStr">
        <is>
          <t>LIM</t>
        </is>
      </c>
      <c r="G1328" s="4" t="inlineStr">
        <is>
          <t>PIU</t>
        </is>
      </c>
      <c r="H1328" s="4" t="inlineStr">
        <is>
          <t>12:50:00</t>
        </is>
      </c>
      <c r="I1328" s="4" t="inlineStr">
        <is>
          <t>14:35:00</t>
        </is>
      </c>
      <c r="J1328" s="4" t="n">
        <v>320</v>
      </c>
      <c r="L1328" s="4" t="inlineStr">
        <is>
          <t>01:45:00</t>
        </is>
      </c>
      <c r="M1328" s="5" t="n"/>
      <c r="N1328" s="6" t="n"/>
      <c r="O1328" s="5" t="n"/>
      <c r="Q1328" s="4">
        <f>B1328</f>
        <v/>
      </c>
      <c r="R1328" s="4">
        <f>C1328</f>
        <v/>
      </c>
      <c r="S1328" s="4">
        <f>D1328</f>
        <v/>
      </c>
      <c r="T1328" s="4">
        <f>E1328&amp;"/"&amp;E1329</f>
        <v/>
      </c>
      <c r="U1328" s="4">
        <f>F1328&amp;"-"&amp;G1328&amp;"-"&amp;F1328</f>
        <v/>
      </c>
      <c r="V1328" s="4">
        <f>IF($M$1328="","",$M$1328)</f>
        <v/>
      </c>
      <c r="W1328" s="4">
        <f>IF($O$1328="","",$O$1328)</f>
        <v/>
      </c>
      <c r="X1328" s="4">
        <f>J1328</f>
        <v/>
      </c>
    </row>
    <row r="1329">
      <c r="B1329" s="4" t="n">
        <v>1333</v>
      </c>
      <c r="C1329" s="4" t="inlineStr">
        <is>
          <t>15/09/2026</t>
        </is>
      </c>
      <c r="D1329" s="4" t="inlineStr">
        <is>
          <t>martes</t>
        </is>
      </c>
      <c r="E1329" s="4" t="n">
        <v>2309</v>
      </c>
      <c r="F1329" s="4" t="inlineStr">
        <is>
          <t>PIU</t>
        </is>
      </c>
      <c r="G1329" s="4" t="inlineStr">
        <is>
          <t>LIM</t>
        </is>
      </c>
      <c r="H1329" s="4" t="inlineStr">
        <is>
          <t>15:25:00</t>
        </is>
      </c>
      <c r="I1329" s="4" t="inlineStr">
        <is>
          <t>16:55:00</t>
        </is>
      </c>
      <c r="J1329" s="4" t="n">
        <v>320</v>
      </c>
      <c r="K1329">
        <f>TEXT(TIMEVALUE(H1329)-TIMEVALUE(I1328)+(TIMEVALUE(H1329)&lt;TIMEVALUE(I1328)),"[h]:mm")</f>
        <v/>
      </c>
      <c r="L1329" s="4" t="inlineStr">
        <is>
          <t>01:30:00</t>
        </is>
      </c>
      <c r="O1329">
        <f>"LIM-"&amp;G1328&amp;"-LIM   LA "&amp;E1328&amp;" ("&amp;LEFT(H1328,5)&amp;"-"&amp;LEFT(I1328,5)&amp;" hrs)  /  LA "&amp;E1329&amp;" ("&amp;LEFT(H1329,5)&amp;"-"&amp;LEFT(I1329,5)&amp;" hrs)"</f>
        <v/>
      </c>
    </row>
    <row r="1330">
      <c r="B1330" s="4" t="n">
        <v>1356</v>
      </c>
      <c r="C1330" s="4" t="inlineStr">
        <is>
          <t>15/09/2026</t>
        </is>
      </c>
      <c r="D1330" s="4" t="inlineStr">
        <is>
          <t>martes</t>
        </is>
      </c>
      <c r="E1330" s="4" t="n">
        <v>2236</v>
      </c>
      <c r="F1330" s="4" t="inlineStr">
        <is>
          <t>LIM</t>
        </is>
      </c>
      <c r="G1330" s="4" t="inlineStr">
        <is>
          <t>PIU</t>
        </is>
      </c>
      <c r="H1330" s="4" t="inlineStr">
        <is>
          <t>18:00:00</t>
        </is>
      </c>
      <c r="I1330" s="4" t="inlineStr">
        <is>
          <t>19:40:00</t>
        </is>
      </c>
      <c r="J1330" s="4" t="n">
        <v>319</v>
      </c>
      <c r="K1330" s="7">
        <f>TEXT(TIMEVALUE(H1330)-TIMEVALUE(I1329)+(TIMEVALUE(H1330)&lt;TIMEVALUE(I1329)),"[h]:mm")</f>
        <v/>
      </c>
      <c r="L1330" s="4" t="inlineStr">
        <is>
          <t>01:40:00</t>
        </is>
      </c>
      <c r="M1330">
        <f>IF($M$1328="","",$M$1328)</f>
        <v/>
      </c>
      <c r="O1330">
        <f>IF($O$1328="","",$O$1328)</f>
        <v/>
      </c>
      <c r="Q1330" s="4">
        <f>B1330</f>
        <v/>
      </c>
      <c r="R1330" s="4">
        <f>C1330</f>
        <v/>
      </c>
      <c r="S1330" s="4">
        <f>D1330</f>
        <v/>
      </c>
      <c r="T1330" s="4">
        <f>E1330&amp;"/"&amp;E1331</f>
        <v/>
      </c>
      <c r="U1330" s="4">
        <f>F1330&amp;"-"&amp;G1330&amp;"-"&amp;F1330</f>
        <v/>
      </c>
      <c r="V1330" s="4">
        <f>IF($M$1328="","",$M$1328)</f>
        <v/>
      </c>
      <c r="W1330" s="4">
        <f>IF($O$1328="","",$O$1328)</f>
        <v/>
      </c>
      <c r="X1330" s="4">
        <f>J1330</f>
        <v/>
      </c>
    </row>
    <row r="1331">
      <c r="B1331" s="4" t="n">
        <v>1356</v>
      </c>
      <c r="C1331" s="4" t="inlineStr">
        <is>
          <t>15/09/2026</t>
        </is>
      </c>
      <c r="D1331" s="4" t="inlineStr">
        <is>
          <t>martes</t>
        </is>
      </c>
      <c r="E1331" s="4" t="n">
        <v>2237</v>
      </c>
      <c r="F1331" s="4" t="inlineStr">
        <is>
          <t>PIU</t>
        </is>
      </c>
      <c r="G1331" s="4" t="inlineStr">
        <is>
          <t>LIM</t>
        </is>
      </c>
      <c r="H1331" s="4" t="inlineStr">
        <is>
          <t>20:20:00</t>
        </is>
      </c>
      <c r="I1331" s="4" t="inlineStr">
        <is>
          <t>21:50:00</t>
        </is>
      </c>
      <c r="J1331" s="4" t="n">
        <v>319</v>
      </c>
      <c r="K1331">
        <f>TEXT(TIMEVALUE(H1331)-TIMEVALUE(I1330)+(TIMEVALUE(H1331)&lt;TIMEVALUE(I1330)),"[h]:mm")</f>
        <v/>
      </c>
      <c r="L1331" s="4" t="inlineStr">
        <is>
          <t>01:30:00</t>
        </is>
      </c>
      <c r="O1331">
        <f>"LIM-"&amp;G1330&amp;"-LIM   LA "&amp;E1330&amp;" ("&amp;LEFT(H1330,5)&amp;"-"&amp;LEFT(I1330,5)&amp;" hrs)  /  LA "&amp;E1331&amp;" ("&amp;LEFT(H1331,5)&amp;"-"&amp;LEFT(I1331,5)&amp;" hrs)"</f>
        <v/>
      </c>
    </row>
    <row r="1332">
      <c r="J1332" s="8" t="inlineStr">
        <is>
          <t>PSV total:</t>
        </is>
      </c>
      <c r="K1332" s="9">
        <f>TEXT(TIMEVALUE(I1331)-TIMEVALUE(H1328)+(I1331&lt;H1328),"[h]:mm")</f>
        <v/>
      </c>
    </row>
    <row r="1334">
      <c r="B1334" s="3" t="inlineStr">
        <is>
          <t>Pairing ID</t>
        </is>
      </c>
      <c r="C1334" s="3" t="inlineStr">
        <is>
          <t>FECHA REAL</t>
        </is>
      </c>
      <c r="D1334" s="3" t="inlineStr">
        <is>
          <t>Day of Week</t>
        </is>
      </c>
      <c r="E1334" s="3" t="inlineStr">
        <is>
          <t>Flight No</t>
        </is>
      </c>
      <c r="F1334" s="3" t="inlineStr">
        <is>
          <t>Dep Stn</t>
        </is>
      </c>
      <c r="G1334" s="3" t="inlineStr">
        <is>
          <t>Arr Stn</t>
        </is>
      </c>
      <c r="H1334" s="3" t="inlineStr">
        <is>
          <t>STD</t>
        </is>
      </c>
      <c r="I1334" s="3" t="inlineStr">
        <is>
          <t>STA</t>
        </is>
      </c>
      <c r="J1334" s="3" t="inlineStr">
        <is>
          <t>subflota</t>
        </is>
      </c>
      <c r="K1334" s="3" t="inlineStr">
        <is>
          <t>Conexion</t>
        </is>
      </c>
      <c r="L1334" s="3" t="inlineStr">
        <is>
          <t>HBT</t>
        </is>
      </c>
    </row>
    <row r="1335">
      <c r="B1335" s="4" t="n">
        <v>1337</v>
      </c>
      <c r="C1335" s="4" t="inlineStr">
        <is>
          <t>15/09/2026</t>
        </is>
      </c>
      <c r="D1335" s="4" t="inlineStr">
        <is>
          <t>martes</t>
        </is>
      </c>
      <c r="E1335" s="4" t="n">
        <v>2234</v>
      </c>
      <c r="F1335" s="4" t="inlineStr">
        <is>
          <t>LIM</t>
        </is>
      </c>
      <c r="G1335" s="4" t="inlineStr">
        <is>
          <t>IQT</t>
        </is>
      </c>
      <c r="H1335" s="4" t="inlineStr">
        <is>
          <t>13:35:00</t>
        </is>
      </c>
      <c r="I1335" s="4" t="inlineStr">
        <is>
          <t>15:25:00</t>
        </is>
      </c>
      <c r="J1335" s="4" t="n">
        <v>320</v>
      </c>
      <c r="L1335" s="4" t="inlineStr">
        <is>
          <t>01:50:00</t>
        </is>
      </c>
      <c r="M1335" s="5" t="n"/>
      <c r="N1335" s="6" t="n"/>
      <c r="O1335" s="5" t="n"/>
      <c r="Q1335" s="4">
        <f>B1335</f>
        <v/>
      </c>
      <c r="R1335" s="4">
        <f>C1335</f>
        <v/>
      </c>
      <c r="S1335" s="4">
        <f>D1335</f>
        <v/>
      </c>
      <c r="T1335" s="4">
        <f>E1335&amp;"/"&amp;E1336</f>
        <v/>
      </c>
      <c r="U1335" s="4">
        <f>F1335&amp;"-"&amp;G1335&amp;"-"&amp;F1335</f>
        <v/>
      </c>
      <c r="V1335" s="4">
        <f>IF($M$1335="","",$M$1335)</f>
        <v/>
      </c>
      <c r="W1335" s="4">
        <f>IF($O$1335="","",$O$1335)</f>
        <v/>
      </c>
      <c r="X1335" s="4">
        <f>J1335</f>
        <v/>
      </c>
    </row>
    <row r="1336">
      <c r="B1336" s="4" t="n">
        <v>1337</v>
      </c>
      <c r="C1336" s="4" t="inlineStr">
        <is>
          <t>15/09/2026</t>
        </is>
      </c>
      <c r="D1336" s="4" t="inlineStr">
        <is>
          <t>martes</t>
        </is>
      </c>
      <c r="E1336" s="4" t="n">
        <v>2235</v>
      </c>
      <c r="F1336" s="4" t="inlineStr">
        <is>
          <t>IQT</t>
        </is>
      </c>
      <c r="G1336" s="4" t="inlineStr">
        <is>
          <t>LIM</t>
        </is>
      </c>
      <c r="H1336" s="4" t="inlineStr">
        <is>
          <t>16:05:00</t>
        </is>
      </c>
      <c r="I1336" s="4" t="inlineStr">
        <is>
          <t>17:55:00</t>
        </is>
      </c>
      <c r="J1336" s="4" t="n">
        <v>320</v>
      </c>
      <c r="K1336">
        <f>TEXT(TIMEVALUE(H1336)-TIMEVALUE(I1335)+(TIMEVALUE(H1336)&lt;TIMEVALUE(I1335)),"[h]:mm")</f>
        <v/>
      </c>
      <c r="L1336" s="4" t="inlineStr">
        <is>
          <t>01:50:00</t>
        </is>
      </c>
      <c r="O1336">
        <f>"LIM-"&amp;G1335&amp;"-LIM   LA "&amp;E1335&amp;" ("&amp;LEFT(H1335,5)&amp;"-"&amp;LEFT(I1335,5)&amp;" hrs)  /  LA "&amp;E1336&amp;" ("&amp;LEFT(H1336,5)&amp;"-"&amp;LEFT(I1336,5)&amp;" hrs)"</f>
        <v/>
      </c>
    </row>
    <row r="1337">
      <c r="J1337" s="8" t="inlineStr">
        <is>
          <t>PSV total:</t>
        </is>
      </c>
      <c r="K1337" s="9">
        <f>TEXT(TIMEVALUE(I1336)-TIMEVALUE(H1335)+(I1336&lt;H1335),"[h]:mm")</f>
        <v/>
      </c>
    </row>
    <row r="1339">
      <c r="B1339" s="3" t="inlineStr">
        <is>
          <t>Pairing ID</t>
        </is>
      </c>
      <c r="C1339" s="3" t="inlineStr">
        <is>
          <t>FECHA REAL</t>
        </is>
      </c>
      <c r="D1339" s="3" t="inlineStr">
        <is>
          <t>Day of Week</t>
        </is>
      </c>
      <c r="E1339" s="3" t="inlineStr">
        <is>
          <t>Flight No</t>
        </is>
      </c>
      <c r="F1339" s="3" t="inlineStr">
        <is>
          <t>Dep Stn</t>
        </is>
      </c>
      <c r="G1339" s="3" t="inlineStr">
        <is>
          <t>Arr Stn</t>
        </is>
      </c>
      <c r="H1339" s="3" t="inlineStr">
        <is>
          <t>STD</t>
        </is>
      </c>
      <c r="I1339" s="3" t="inlineStr">
        <is>
          <t>STA</t>
        </is>
      </c>
      <c r="J1339" s="3" t="inlineStr">
        <is>
          <t>subflota</t>
        </is>
      </c>
      <c r="K1339" s="3" t="inlineStr">
        <is>
          <t>Conexion</t>
        </is>
      </c>
      <c r="L1339" s="3" t="inlineStr">
        <is>
          <t>HBT</t>
        </is>
      </c>
    </row>
    <row r="1340">
      <c r="B1340" s="4" t="n">
        <v>1340</v>
      </c>
      <c r="C1340" s="4" t="inlineStr">
        <is>
          <t>15/09/2026</t>
        </is>
      </c>
      <c r="D1340" s="4" t="inlineStr">
        <is>
          <t>martes</t>
        </is>
      </c>
      <c r="E1340" s="4" t="n">
        <v>2295</v>
      </c>
      <c r="F1340" s="4" t="inlineStr">
        <is>
          <t>LIM</t>
        </is>
      </c>
      <c r="G1340" s="4" t="inlineStr">
        <is>
          <t>CJA</t>
        </is>
      </c>
      <c r="H1340" s="4" t="inlineStr">
        <is>
          <t>14:10:00</t>
        </is>
      </c>
      <c r="I1340" s="4" t="inlineStr">
        <is>
          <t>15:30:00</t>
        </is>
      </c>
      <c r="J1340" s="4" t="n">
        <v>319</v>
      </c>
      <c r="L1340" s="4" t="inlineStr">
        <is>
          <t>01:20:00</t>
        </is>
      </c>
      <c r="M1340" s="5" t="n"/>
      <c r="N1340" s="6" t="n"/>
      <c r="O1340" s="5" t="n"/>
      <c r="Q1340" s="4">
        <f>B1340</f>
        <v/>
      </c>
      <c r="R1340" s="4">
        <f>C1340</f>
        <v/>
      </c>
      <c r="S1340" s="4">
        <f>D1340</f>
        <v/>
      </c>
      <c r="T1340" s="4">
        <f>E1340&amp;"/"&amp;E1341</f>
        <v/>
      </c>
      <c r="U1340" s="4">
        <f>F1340&amp;"-"&amp;G1340&amp;"-"&amp;F1340</f>
        <v/>
      </c>
      <c r="V1340" s="4">
        <f>IF($M$1340="","",$M$1340)</f>
        <v/>
      </c>
      <c r="W1340" s="4">
        <f>IF($O$1340="","",$O$1340)</f>
        <v/>
      </c>
      <c r="X1340" s="4">
        <f>J1340</f>
        <v/>
      </c>
    </row>
    <row r="1341">
      <c r="B1341" s="4" t="n">
        <v>1340</v>
      </c>
      <c r="C1341" s="4" t="inlineStr">
        <is>
          <t>15/09/2026</t>
        </is>
      </c>
      <c r="D1341" s="4" t="inlineStr">
        <is>
          <t>martes</t>
        </is>
      </c>
      <c r="E1341" s="4" t="n">
        <v>2294</v>
      </c>
      <c r="F1341" s="4" t="inlineStr">
        <is>
          <t>CJA</t>
        </is>
      </c>
      <c r="G1341" s="4" t="inlineStr">
        <is>
          <t>LIM</t>
        </is>
      </c>
      <c r="H1341" s="4" t="inlineStr">
        <is>
          <t>16:10:00</t>
        </is>
      </c>
      <c r="I1341" s="4" t="inlineStr">
        <is>
          <t>17:15:00</t>
        </is>
      </c>
      <c r="J1341" s="4" t="n">
        <v>319</v>
      </c>
      <c r="K1341">
        <f>TEXT(TIMEVALUE(H1341)-TIMEVALUE(I1340)+(TIMEVALUE(H1341)&lt;TIMEVALUE(I1340)),"[h]:mm")</f>
        <v/>
      </c>
      <c r="L1341" s="4" t="inlineStr">
        <is>
          <t>01:05:00</t>
        </is>
      </c>
      <c r="O1341">
        <f>"LIM-"&amp;G1340&amp;"-LIM   LA "&amp;E1340&amp;" ("&amp;LEFT(H1340,5)&amp;"-"&amp;LEFT(I1340,5)&amp;" hrs)  /  LA "&amp;E1341&amp;" ("&amp;LEFT(H1341,5)&amp;"-"&amp;LEFT(I1341,5)&amp;" hrs)"</f>
        <v/>
      </c>
    </row>
    <row r="1342">
      <c r="B1342" s="4" t="n">
        <v>1357</v>
      </c>
      <c r="C1342" s="4" t="inlineStr">
        <is>
          <t>15/09/2026</t>
        </is>
      </c>
      <c r="D1342" s="4" t="inlineStr">
        <is>
          <t>martes</t>
        </is>
      </c>
      <c r="E1342" s="4" t="n">
        <v>2039</v>
      </c>
      <c r="F1342" s="4" t="inlineStr">
        <is>
          <t>LIM</t>
        </is>
      </c>
      <c r="G1342" s="4" t="inlineStr">
        <is>
          <t>PCL</t>
        </is>
      </c>
      <c r="H1342" s="4" t="inlineStr">
        <is>
          <t>18:15:00</t>
        </is>
      </c>
      <c r="I1342" s="4" t="inlineStr">
        <is>
          <t>19:30:00</t>
        </is>
      </c>
      <c r="J1342" s="4" t="n">
        <v>320</v>
      </c>
      <c r="K1342" s="7">
        <f>TEXT(TIMEVALUE(H1342)-TIMEVALUE(I1341)+(TIMEVALUE(H1342)&lt;TIMEVALUE(I1341)),"[h]:mm")</f>
        <v/>
      </c>
      <c r="L1342" s="4" t="inlineStr">
        <is>
          <t>01:15:00</t>
        </is>
      </c>
      <c r="M1342">
        <f>IF($M$1340="","",$M$1340)</f>
        <v/>
      </c>
      <c r="O1342">
        <f>IF($O$1340="","",$O$1340)</f>
        <v/>
      </c>
      <c r="Q1342" s="4">
        <f>B1342</f>
        <v/>
      </c>
      <c r="R1342" s="4">
        <f>C1342</f>
        <v/>
      </c>
      <c r="S1342" s="4">
        <f>D1342</f>
        <v/>
      </c>
      <c r="T1342" s="4">
        <f>E1342&amp;"/"&amp;E1343</f>
        <v/>
      </c>
      <c r="U1342" s="4">
        <f>F1342&amp;"-"&amp;G1342&amp;"-"&amp;F1342</f>
        <v/>
      </c>
      <c r="V1342" s="4">
        <f>IF($M$1340="","",$M$1340)</f>
        <v/>
      </c>
      <c r="W1342" s="4">
        <f>IF($O$1340="","",$O$1340)</f>
        <v/>
      </c>
      <c r="X1342" s="4">
        <f>J1342</f>
        <v/>
      </c>
    </row>
    <row r="1343">
      <c r="B1343" s="4" t="n">
        <v>1357</v>
      </c>
      <c r="C1343" s="4" t="inlineStr">
        <is>
          <t>15/09/2026</t>
        </is>
      </c>
      <c r="D1343" s="4" t="inlineStr">
        <is>
          <t>martes</t>
        </is>
      </c>
      <c r="E1343" s="4" t="n">
        <v>2040</v>
      </c>
      <c r="F1343" s="4" t="inlineStr">
        <is>
          <t>PCL</t>
        </is>
      </c>
      <c r="G1343" s="4" t="inlineStr">
        <is>
          <t>LIM</t>
        </is>
      </c>
      <c r="H1343" s="4" t="inlineStr">
        <is>
          <t>20:15:00</t>
        </is>
      </c>
      <c r="I1343" s="4" t="inlineStr">
        <is>
          <t>21:30:00</t>
        </is>
      </c>
      <c r="J1343" s="4" t="n">
        <v>320</v>
      </c>
      <c r="K1343">
        <f>TEXT(TIMEVALUE(H1343)-TIMEVALUE(I1342)+(TIMEVALUE(H1343)&lt;TIMEVALUE(I1342)),"[h]:mm")</f>
        <v/>
      </c>
      <c r="L1343" s="4" t="inlineStr">
        <is>
          <t>01:15:00</t>
        </is>
      </c>
      <c r="O1343">
        <f>"LIM-"&amp;G1342&amp;"-LIM   LA "&amp;E1342&amp;" ("&amp;LEFT(H1342,5)&amp;"-"&amp;LEFT(I1342,5)&amp;" hrs)  /  LA "&amp;E1343&amp;" ("&amp;LEFT(H1343,5)&amp;"-"&amp;LEFT(I1343,5)&amp;" hrs)"</f>
        <v/>
      </c>
    </row>
    <row r="1344">
      <c r="J1344" s="8" t="inlineStr">
        <is>
          <t>PSV total:</t>
        </is>
      </c>
      <c r="K1344" s="9">
        <f>TEXT(TIMEVALUE(I1343)-TIMEVALUE(H1340)+(I1343&lt;H1340),"[h]:mm")</f>
        <v/>
      </c>
    </row>
    <row r="1346">
      <c r="B1346" s="3" t="inlineStr">
        <is>
          <t>Pairing ID</t>
        </is>
      </c>
      <c r="C1346" s="3" t="inlineStr">
        <is>
          <t>FECHA REAL</t>
        </is>
      </c>
      <c r="D1346" s="3" t="inlineStr">
        <is>
          <t>Day of Week</t>
        </is>
      </c>
      <c r="E1346" s="3" t="inlineStr">
        <is>
          <t>Flight No</t>
        </is>
      </c>
      <c r="F1346" s="3" t="inlineStr">
        <is>
          <t>Dep Stn</t>
        </is>
      </c>
      <c r="G1346" s="3" t="inlineStr">
        <is>
          <t>Arr Stn</t>
        </is>
      </c>
      <c r="H1346" s="3" t="inlineStr">
        <is>
          <t>STD</t>
        </is>
      </c>
      <c r="I1346" s="3" t="inlineStr">
        <is>
          <t>STA</t>
        </is>
      </c>
      <c r="J1346" s="3" t="inlineStr">
        <is>
          <t>subflota</t>
        </is>
      </c>
      <c r="K1346" s="3" t="inlineStr">
        <is>
          <t>Conexion</t>
        </is>
      </c>
      <c r="L1346" s="3" t="inlineStr">
        <is>
          <t>HBT</t>
        </is>
      </c>
    </row>
    <row r="1347">
      <c r="B1347" s="4" t="n">
        <v>1343</v>
      </c>
      <c r="C1347" s="4" t="inlineStr">
        <is>
          <t>15/09/2026</t>
        </is>
      </c>
      <c r="D1347" s="4" t="inlineStr">
        <is>
          <t>martes</t>
        </is>
      </c>
      <c r="E1347" s="4" t="n">
        <v>2338</v>
      </c>
      <c r="F1347" s="4" t="inlineStr">
        <is>
          <t>LIM</t>
        </is>
      </c>
      <c r="G1347" s="4" t="inlineStr">
        <is>
          <t>PIU</t>
        </is>
      </c>
      <c r="H1347" s="4" t="inlineStr">
        <is>
          <t>15:00:00</t>
        </is>
      </c>
      <c r="I1347" s="4" t="inlineStr">
        <is>
          <t>16:45:00</t>
        </is>
      </c>
      <c r="J1347" s="4" t="n">
        <v>320</v>
      </c>
      <c r="L1347" s="4" t="inlineStr">
        <is>
          <t>01:45:00</t>
        </is>
      </c>
      <c r="M1347" s="5" t="n"/>
      <c r="N1347" s="6" t="n"/>
      <c r="O1347" s="5" t="n"/>
      <c r="Q1347" s="4">
        <f>B1347</f>
        <v/>
      </c>
      <c r="R1347" s="4">
        <f>C1347</f>
        <v/>
      </c>
      <c r="S1347" s="4">
        <f>D1347</f>
        <v/>
      </c>
      <c r="T1347" s="4">
        <f>E1347&amp;"/"&amp;E1348</f>
        <v/>
      </c>
      <c r="U1347" s="4">
        <f>F1347&amp;"-"&amp;G1347&amp;"-"&amp;F1347</f>
        <v/>
      </c>
      <c r="V1347" s="4">
        <f>IF($M$1347="","",$M$1347)</f>
        <v/>
      </c>
      <c r="W1347" s="4">
        <f>IF($O$1347="","",$O$1347)</f>
        <v/>
      </c>
      <c r="X1347" s="4">
        <f>J1347</f>
        <v/>
      </c>
    </row>
    <row r="1348">
      <c r="B1348" s="4" t="n">
        <v>1343</v>
      </c>
      <c r="C1348" s="4" t="inlineStr">
        <is>
          <t>15/09/2026</t>
        </is>
      </c>
      <c r="D1348" s="4" t="inlineStr">
        <is>
          <t>martes</t>
        </is>
      </c>
      <c r="E1348" s="4" t="n">
        <v>2339</v>
      </c>
      <c r="F1348" s="4" t="inlineStr">
        <is>
          <t>PIU</t>
        </is>
      </c>
      <c r="G1348" s="4" t="inlineStr">
        <is>
          <t>LIM</t>
        </is>
      </c>
      <c r="H1348" s="4" t="inlineStr">
        <is>
          <t>17:20:00</t>
        </is>
      </c>
      <c r="I1348" s="4" t="inlineStr">
        <is>
          <t>18:50:00</t>
        </is>
      </c>
      <c r="J1348" s="4" t="n">
        <v>320</v>
      </c>
      <c r="K1348">
        <f>TEXT(TIMEVALUE(H1348)-TIMEVALUE(I1347)+(TIMEVALUE(H1348)&lt;TIMEVALUE(I1347)),"[h]:mm")</f>
        <v/>
      </c>
      <c r="L1348" s="4" t="inlineStr">
        <is>
          <t>01:30:00</t>
        </is>
      </c>
      <c r="O1348">
        <f>"LIM-"&amp;G1347&amp;"-LIM   LA "&amp;E1347&amp;" ("&amp;LEFT(H1347,5)&amp;"-"&amp;LEFT(I1347,5)&amp;" hrs)  /  LA "&amp;E1348&amp;" ("&amp;LEFT(H1348,5)&amp;"-"&amp;LEFT(I1348,5)&amp;" hrs)"</f>
        <v/>
      </c>
    </row>
    <row r="1349">
      <c r="J1349" s="8" t="inlineStr">
        <is>
          <t>PSV total:</t>
        </is>
      </c>
      <c r="K1349" s="9">
        <f>TEXT(TIMEVALUE(I1348)-TIMEVALUE(H1347)+(I1348&lt;H1347),"[h]:mm")</f>
        <v/>
      </c>
    </row>
    <row r="1351">
      <c r="B1351" s="3" t="inlineStr">
        <is>
          <t>Pairing ID</t>
        </is>
      </c>
      <c r="C1351" s="3" t="inlineStr">
        <is>
          <t>FECHA REAL</t>
        </is>
      </c>
      <c r="D1351" s="3" t="inlineStr">
        <is>
          <t>Day of Week</t>
        </is>
      </c>
      <c r="E1351" s="3" t="inlineStr">
        <is>
          <t>Flight No</t>
        </is>
      </c>
      <c r="F1351" s="3" t="inlineStr">
        <is>
          <t>Dep Stn</t>
        </is>
      </c>
      <c r="G1351" s="3" t="inlineStr">
        <is>
          <t>Arr Stn</t>
        </is>
      </c>
      <c r="H1351" s="3" t="inlineStr">
        <is>
          <t>STD</t>
        </is>
      </c>
      <c r="I1351" s="3" t="inlineStr">
        <is>
          <t>STA</t>
        </is>
      </c>
      <c r="J1351" s="3" t="inlineStr">
        <is>
          <t>subflota</t>
        </is>
      </c>
      <c r="K1351" s="3" t="inlineStr">
        <is>
          <t>Conexion</t>
        </is>
      </c>
      <c r="L1351" s="3" t="inlineStr">
        <is>
          <t>HBT</t>
        </is>
      </c>
    </row>
    <row r="1352">
      <c r="B1352" s="4" t="n">
        <v>1344</v>
      </c>
      <c r="C1352" s="4" t="inlineStr">
        <is>
          <t>15/09/2026</t>
        </is>
      </c>
      <c r="D1352" s="4" t="inlineStr">
        <is>
          <t>martes</t>
        </is>
      </c>
      <c r="E1352" s="4" t="n">
        <v>2113</v>
      </c>
      <c r="F1352" s="4" t="inlineStr">
        <is>
          <t>LIM</t>
        </is>
      </c>
      <c r="G1352" s="4" t="inlineStr">
        <is>
          <t>AQP</t>
        </is>
      </c>
      <c r="H1352" s="4" t="inlineStr">
        <is>
          <t>15:05:00</t>
        </is>
      </c>
      <c r="I1352" s="4" t="inlineStr">
        <is>
          <t>16:35:00</t>
        </is>
      </c>
      <c r="J1352" s="4" t="n">
        <v>320</v>
      </c>
      <c r="L1352" s="4" t="inlineStr">
        <is>
          <t>01:30:00</t>
        </is>
      </c>
      <c r="M1352" s="5" t="n"/>
      <c r="N1352" s="6" t="n"/>
      <c r="O1352" s="5" t="n"/>
      <c r="Q1352" s="4">
        <f>B1352</f>
        <v/>
      </c>
      <c r="R1352" s="4">
        <f>C1352</f>
        <v/>
      </c>
      <c r="S1352" s="4">
        <f>D1352</f>
        <v/>
      </c>
      <c r="T1352" s="4">
        <f>E1352&amp;"/"&amp;E1353</f>
        <v/>
      </c>
      <c r="U1352" s="4">
        <f>F1352&amp;"-"&amp;G1352&amp;"-"&amp;F1352</f>
        <v/>
      </c>
      <c r="V1352" s="4">
        <f>IF($M$1352="","",$M$1352)</f>
        <v/>
      </c>
      <c r="W1352" s="4">
        <f>IF($O$1352="","",$O$1352)</f>
        <v/>
      </c>
      <c r="X1352" s="4">
        <f>J1352</f>
        <v/>
      </c>
    </row>
    <row r="1353">
      <c r="B1353" s="4" t="n">
        <v>1344</v>
      </c>
      <c r="C1353" s="4" t="inlineStr">
        <is>
          <t>15/09/2026</t>
        </is>
      </c>
      <c r="D1353" s="4" t="inlineStr">
        <is>
          <t>martes</t>
        </is>
      </c>
      <c r="E1353" s="4" t="n">
        <v>2112</v>
      </c>
      <c r="F1353" s="4" t="inlineStr">
        <is>
          <t>AQP</t>
        </is>
      </c>
      <c r="G1353" s="4" t="inlineStr">
        <is>
          <t>LIM</t>
        </is>
      </c>
      <c r="H1353" s="4" t="inlineStr">
        <is>
          <t>17:15:00</t>
        </is>
      </c>
      <c r="I1353" s="4" t="inlineStr">
        <is>
          <t>18:55:00</t>
        </is>
      </c>
      <c r="J1353" s="4" t="n">
        <v>320</v>
      </c>
      <c r="K1353">
        <f>TEXT(TIMEVALUE(H1353)-TIMEVALUE(I1352)+(TIMEVALUE(H1353)&lt;TIMEVALUE(I1352)),"[h]:mm")</f>
        <v/>
      </c>
      <c r="L1353" s="4" t="inlineStr">
        <is>
          <t>01:40:00</t>
        </is>
      </c>
      <c r="O1353">
        <f>"LIM-"&amp;G1352&amp;"-LIM   LA "&amp;E1352&amp;" ("&amp;LEFT(H1352,5)&amp;"-"&amp;LEFT(I1352,5)&amp;" hrs)  /  LA "&amp;E1353&amp;" ("&amp;LEFT(H1353,5)&amp;"-"&amp;LEFT(I1353,5)&amp;" hrs)"</f>
        <v/>
      </c>
    </row>
    <row r="1354">
      <c r="J1354" s="8" t="inlineStr">
        <is>
          <t>PSV total:</t>
        </is>
      </c>
      <c r="K1354" s="9">
        <f>TEXT(TIMEVALUE(I1353)-TIMEVALUE(H1352)+(I1353&lt;H1352),"[h]:mm")</f>
        <v/>
      </c>
    </row>
    <row r="1356">
      <c r="B1356" s="3" t="inlineStr">
        <is>
          <t>Pairing ID</t>
        </is>
      </c>
      <c r="C1356" s="3" t="inlineStr">
        <is>
          <t>FECHA REAL</t>
        </is>
      </c>
      <c r="D1356" s="3" t="inlineStr">
        <is>
          <t>Day of Week</t>
        </is>
      </c>
      <c r="E1356" s="3" t="inlineStr">
        <is>
          <t>Flight No</t>
        </is>
      </c>
      <c r="F1356" s="3" t="inlineStr">
        <is>
          <t>Dep Stn</t>
        </is>
      </c>
      <c r="G1356" s="3" t="inlineStr">
        <is>
          <t>Arr Stn</t>
        </is>
      </c>
      <c r="H1356" s="3" t="inlineStr">
        <is>
          <t>STD</t>
        </is>
      </c>
      <c r="I1356" s="3" t="inlineStr">
        <is>
          <t>STA</t>
        </is>
      </c>
      <c r="J1356" s="3" t="inlineStr">
        <is>
          <t>subflota</t>
        </is>
      </c>
      <c r="K1356" s="3" t="inlineStr">
        <is>
          <t>Conexion</t>
        </is>
      </c>
      <c r="L1356" s="3" t="inlineStr">
        <is>
          <t>HBT</t>
        </is>
      </c>
    </row>
    <row r="1357">
      <c r="B1357" s="4" t="n">
        <v>1346</v>
      </c>
      <c r="C1357" s="4" t="inlineStr">
        <is>
          <t>15/09/2026</t>
        </is>
      </c>
      <c r="D1357" s="4" t="inlineStr">
        <is>
          <t>martes</t>
        </is>
      </c>
      <c r="E1357" s="4" t="n">
        <v>2297</v>
      </c>
      <c r="F1357" s="4" t="inlineStr">
        <is>
          <t>LIM</t>
        </is>
      </c>
      <c r="G1357" s="4" t="inlineStr">
        <is>
          <t>CJA</t>
        </is>
      </c>
      <c r="H1357" s="4" t="inlineStr">
        <is>
          <t>15:15:00</t>
        </is>
      </c>
      <c r="I1357" s="4" t="inlineStr">
        <is>
          <t>16:35:00</t>
        </is>
      </c>
      <c r="J1357" s="4" t="n">
        <v>319</v>
      </c>
      <c r="L1357" s="4" t="inlineStr">
        <is>
          <t>01:20:00</t>
        </is>
      </c>
      <c r="M1357" s="5" t="n"/>
      <c r="N1357" s="6" t="n"/>
      <c r="O1357" s="5" t="n"/>
      <c r="Q1357" s="4">
        <f>B1357</f>
        <v/>
      </c>
      <c r="R1357" s="4">
        <f>C1357</f>
        <v/>
      </c>
      <c r="S1357" s="4">
        <f>D1357</f>
        <v/>
      </c>
      <c r="T1357" s="4">
        <f>E1357&amp;"/"&amp;E1358</f>
        <v/>
      </c>
      <c r="U1357" s="4">
        <f>F1357&amp;"-"&amp;G1357&amp;"-"&amp;F1357</f>
        <v/>
      </c>
      <c r="V1357" s="4">
        <f>IF($M$1357="","",$M$1357)</f>
        <v/>
      </c>
      <c r="W1357" s="4">
        <f>IF($O$1357="","",$O$1357)</f>
        <v/>
      </c>
      <c r="X1357" s="4">
        <f>J1357</f>
        <v/>
      </c>
    </row>
    <row r="1358">
      <c r="B1358" s="4" t="n">
        <v>1346</v>
      </c>
      <c r="C1358" s="4" t="inlineStr">
        <is>
          <t>15/09/2026</t>
        </is>
      </c>
      <c r="D1358" s="4" t="inlineStr">
        <is>
          <t>martes</t>
        </is>
      </c>
      <c r="E1358" s="4" t="n">
        <v>2296</v>
      </c>
      <c r="F1358" s="4" t="inlineStr">
        <is>
          <t>CJA</t>
        </is>
      </c>
      <c r="G1358" s="4" t="inlineStr">
        <is>
          <t>LIM</t>
        </is>
      </c>
      <c r="H1358" s="4" t="inlineStr">
        <is>
          <t>17:20:00</t>
        </is>
      </c>
      <c r="I1358" s="4" t="inlineStr">
        <is>
          <t>18:25:00</t>
        </is>
      </c>
      <c r="J1358" s="4" t="n">
        <v>319</v>
      </c>
      <c r="K1358">
        <f>TEXT(TIMEVALUE(H1358)-TIMEVALUE(I1357)+(TIMEVALUE(H1358)&lt;TIMEVALUE(I1357)),"[h]:mm")</f>
        <v/>
      </c>
      <c r="L1358" s="4" t="inlineStr">
        <is>
          <t>01:05:00</t>
        </is>
      </c>
      <c r="O1358">
        <f>"LIM-"&amp;G1357&amp;"-LIM   LA "&amp;E1357&amp;" ("&amp;LEFT(H1357,5)&amp;"-"&amp;LEFT(I1357,5)&amp;" hrs)  /  LA "&amp;E1358&amp;" ("&amp;LEFT(H1358,5)&amp;"-"&amp;LEFT(I1358,5)&amp;" hrs)"</f>
        <v/>
      </c>
    </row>
    <row r="1359">
      <c r="J1359" s="8" t="inlineStr">
        <is>
          <t>PSV total:</t>
        </is>
      </c>
      <c r="K1359" s="9">
        <f>TEXT(TIMEVALUE(I1358)-TIMEVALUE(H1357)+(I1358&lt;H1357),"[h]:mm")</f>
        <v/>
      </c>
    </row>
    <row r="1361">
      <c r="B1361" s="3" t="inlineStr">
        <is>
          <t>Pairing ID</t>
        </is>
      </c>
      <c r="C1361" s="3" t="inlineStr">
        <is>
          <t>FECHA REAL</t>
        </is>
      </c>
      <c r="D1361" s="3" t="inlineStr">
        <is>
          <t>Day of Week</t>
        </is>
      </c>
      <c r="E1361" s="3" t="inlineStr">
        <is>
          <t>Flight No</t>
        </is>
      </c>
      <c r="F1361" s="3" t="inlineStr">
        <is>
          <t>Dep Stn</t>
        </is>
      </c>
      <c r="G1361" s="3" t="inlineStr">
        <is>
          <t>Arr Stn</t>
        </is>
      </c>
      <c r="H1361" s="3" t="inlineStr">
        <is>
          <t>STD</t>
        </is>
      </c>
      <c r="I1361" s="3" t="inlineStr">
        <is>
          <t>STA</t>
        </is>
      </c>
      <c r="J1361" s="3" t="inlineStr">
        <is>
          <t>subflota</t>
        </is>
      </c>
      <c r="K1361" s="3" t="inlineStr">
        <is>
          <t>Conexion</t>
        </is>
      </c>
      <c r="L1361" s="3" t="inlineStr">
        <is>
          <t>HBT</t>
        </is>
      </c>
    </row>
    <row r="1362">
      <c r="B1362" s="4" t="n">
        <v>1347</v>
      </c>
      <c r="C1362" s="4" t="inlineStr">
        <is>
          <t>15/09/2026</t>
        </is>
      </c>
      <c r="D1362" s="4" t="inlineStr">
        <is>
          <t>martes</t>
        </is>
      </c>
      <c r="E1362" s="4" t="n">
        <v>2360</v>
      </c>
      <c r="F1362" s="4" t="inlineStr">
        <is>
          <t>LIM</t>
        </is>
      </c>
      <c r="G1362" s="4" t="inlineStr">
        <is>
          <t>PCL</t>
        </is>
      </c>
      <c r="H1362" s="4" t="inlineStr">
        <is>
          <t>15:25:00</t>
        </is>
      </c>
      <c r="I1362" s="4" t="inlineStr">
        <is>
          <t>16:40:00</t>
        </is>
      </c>
      <c r="J1362" s="4" t="n">
        <v>320</v>
      </c>
      <c r="L1362" s="4" t="inlineStr">
        <is>
          <t>01:15:00</t>
        </is>
      </c>
      <c r="M1362" s="5" t="n"/>
      <c r="N1362" s="6" t="n"/>
      <c r="O1362" s="5" t="n"/>
      <c r="Q1362" s="4">
        <f>B1362</f>
        <v/>
      </c>
      <c r="R1362" s="4">
        <f>C1362</f>
        <v/>
      </c>
      <c r="S1362" s="4">
        <f>D1362</f>
        <v/>
      </c>
      <c r="T1362" s="4">
        <f>E1362&amp;"/"&amp;E1363</f>
        <v/>
      </c>
      <c r="U1362" s="4">
        <f>F1362&amp;"-"&amp;G1362&amp;"-"&amp;F1362</f>
        <v/>
      </c>
      <c r="V1362" s="4">
        <f>IF($M$1362="","",$M$1362)</f>
        <v/>
      </c>
      <c r="W1362" s="4">
        <f>IF($O$1362="","",$O$1362)</f>
        <v/>
      </c>
      <c r="X1362" s="4">
        <f>J1362</f>
        <v/>
      </c>
    </row>
    <row r="1363">
      <c r="B1363" s="4" t="n">
        <v>1347</v>
      </c>
      <c r="C1363" s="4" t="inlineStr">
        <is>
          <t>15/09/2026</t>
        </is>
      </c>
      <c r="D1363" s="4" t="inlineStr">
        <is>
          <t>martes</t>
        </is>
      </c>
      <c r="E1363" s="4" t="n">
        <v>2361</v>
      </c>
      <c r="F1363" s="4" t="inlineStr">
        <is>
          <t>PCL</t>
        </is>
      </c>
      <c r="G1363" s="4" t="inlineStr">
        <is>
          <t>LIM</t>
        </is>
      </c>
      <c r="H1363" s="4" t="inlineStr">
        <is>
          <t>17:20:00</t>
        </is>
      </c>
      <c r="I1363" s="4" t="inlineStr">
        <is>
          <t>18:35:00</t>
        </is>
      </c>
      <c r="J1363" s="4" t="n">
        <v>320</v>
      </c>
      <c r="K1363">
        <f>TEXT(TIMEVALUE(H1363)-TIMEVALUE(I1362)+(TIMEVALUE(H1363)&lt;TIMEVALUE(I1362)),"[h]:mm")</f>
        <v/>
      </c>
      <c r="L1363" s="4" t="inlineStr">
        <is>
          <t>01:15:00</t>
        </is>
      </c>
      <c r="O1363">
        <f>"LIM-"&amp;G1362&amp;"-LIM   LA "&amp;E1362&amp;" ("&amp;LEFT(H1362,5)&amp;"-"&amp;LEFT(I1362,5)&amp;" hrs)  /  LA "&amp;E1363&amp;" ("&amp;LEFT(H1363,5)&amp;"-"&amp;LEFT(I1363,5)&amp;" hrs)"</f>
        <v/>
      </c>
    </row>
    <row r="1364">
      <c r="J1364" s="8" t="inlineStr">
        <is>
          <t>PSV total:</t>
        </is>
      </c>
      <c r="K1364" s="9">
        <f>TEXT(TIMEVALUE(I1363)-TIMEVALUE(H1362)+(I1363&lt;H1362),"[h]:mm")</f>
        <v/>
      </c>
    </row>
    <row r="1366">
      <c r="B1366" s="3" t="inlineStr">
        <is>
          <t>Pairing ID</t>
        </is>
      </c>
      <c r="C1366" s="3" t="inlineStr">
        <is>
          <t>FECHA REAL</t>
        </is>
      </c>
      <c r="D1366" s="3" t="inlineStr">
        <is>
          <t>Day of Week</t>
        </is>
      </c>
      <c r="E1366" s="3" t="inlineStr">
        <is>
          <t>Flight No</t>
        </is>
      </c>
      <c r="F1366" s="3" t="inlineStr">
        <is>
          <t>Dep Stn</t>
        </is>
      </c>
      <c r="G1366" s="3" t="inlineStr">
        <is>
          <t>Arr Stn</t>
        </is>
      </c>
      <c r="H1366" s="3" t="inlineStr">
        <is>
          <t>STD</t>
        </is>
      </c>
      <c r="I1366" s="3" t="inlineStr">
        <is>
          <t>STA</t>
        </is>
      </c>
      <c r="J1366" s="3" t="inlineStr">
        <is>
          <t>subflota</t>
        </is>
      </c>
      <c r="K1366" s="3" t="inlineStr">
        <is>
          <t>Conexion</t>
        </is>
      </c>
      <c r="L1366" s="3" t="inlineStr">
        <is>
          <t>HBT</t>
        </is>
      </c>
    </row>
    <row r="1367">
      <c r="B1367" s="4" t="n">
        <v>1348</v>
      </c>
      <c r="C1367" s="4" t="inlineStr">
        <is>
          <t>15/09/2026</t>
        </is>
      </c>
      <c r="D1367" s="4" t="inlineStr">
        <is>
          <t>martes</t>
        </is>
      </c>
      <c r="E1367" s="4" t="n">
        <v>2312</v>
      </c>
      <c r="F1367" s="4" t="inlineStr">
        <is>
          <t>LIM</t>
        </is>
      </c>
      <c r="G1367" s="4" t="inlineStr">
        <is>
          <t>CIX</t>
        </is>
      </c>
      <c r="H1367" s="4" t="inlineStr">
        <is>
          <t>15:35:00</t>
        </is>
      </c>
      <c r="I1367" s="4" t="inlineStr">
        <is>
          <t>17:05:00</t>
        </is>
      </c>
      <c r="J1367" s="4" t="n">
        <v>320</v>
      </c>
      <c r="L1367" s="4" t="inlineStr">
        <is>
          <t>01:30:00</t>
        </is>
      </c>
      <c r="M1367" s="5" t="n"/>
      <c r="N1367" s="6" t="n"/>
      <c r="O1367" s="5" t="n"/>
      <c r="Q1367" s="4">
        <f>B1367</f>
        <v/>
      </c>
      <c r="R1367" s="4">
        <f>C1367</f>
        <v/>
      </c>
      <c r="S1367" s="4">
        <f>D1367</f>
        <v/>
      </c>
      <c r="T1367" s="4">
        <f>E1367&amp;"/"&amp;E1368</f>
        <v/>
      </c>
      <c r="U1367" s="4">
        <f>F1367&amp;"-"&amp;G1367&amp;"-"&amp;F1367</f>
        <v/>
      </c>
      <c r="V1367" s="4">
        <f>IF($M$1367="","",$M$1367)</f>
        <v/>
      </c>
      <c r="W1367" s="4">
        <f>IF($O$1367="","",$O$1367)</f>
        <v/>
      </c>
      <c r="X1367" s="4">
        <f>J1367</f>
        <v/>
      </c>
    </row>
    <row r="1368">
      <c r="B1368" s="4" t="n">
        <v>1348</v>
      </c>
      <c r="C1368" s="4" t="inlineStr">
        <is>
          <t>15/09/2026</t>
        </is>
      </c>
      <c r="D1368" s="4" t="inlineStr">
        <is>
          <t>martes</t>
        </is>
      </c>
      <c r="E1368" s="4" t="n">
        <v>2313</v>
      </c>
      <c r="F1368" s="4" t="inlineStr">
        <is>
          <t>CIX</t>
        </is>
      </c>
      <c r="G1368" s="4" t="inlineStr">
        <is>
          <t>LIM</t>
        </is>
      </c>
      <c r="H1368" s="4" t="inlineStr">
        <is>
          <t>17:50:00</t>
        </is>
      </c>
      <c r="I1368" s="4" t="inlineStr">
        <is>
          <t>19:10:00</t>
        </is>
      </c>
      <c r="J1368" s="4" t="n">
        <v>320</v>
      </c>
      <c r="K1368">
        <f>TEXT(TIMEVALUE(H1368)-TIMEVALUE(I1367)+(TIMEVALUE(H1368)&lt;TIMEVALUE(I1367)),"[h]:mm")</f>
        <v/>
      </c>
      <c r="L1368" s="4" t="inlineStr">
        <is>
          <t>01:20:00</t>
        </is>
      </c>
      <c r="O1368">
        <f>"LIM-"&amp;G1367&amp;"-LIM   LA "&amp;E1367&amp;" ("&amp;LEFT(H1367,5)&amp;"-"&amp;LEFT(I1367,5)&amp;" hrs)  /  LA "&amp;E1368&amp;" ("&amp;LEFT(H1368,5)&amp;"-"&amp;LEFT(I1368,5)&amp;" hrs)"</f>
        <v/>
      </c>
    </row>
    <row r="1369">
      <c r="J1369" s="8" t="inlineStr">
        <is>
          <t>PSV total:</t>
        </is>
      </c>
      <c r="K1369" s="9">
        <f>TEXT(TIMEVALUE(I1368)-TIMEVALUE(H1367)+(I1368&lt;H1367),"[h]:mm")</f>
        <v/>
      </c>
    </row>
    <row r="1371">
      <c r="B1371" s="3" t="inlineStr">
        <is>
          <t>Pairing ID</t>
        </is>
      </c>
      <c r="C1371" s="3" t="inlineStr">
        <is>
          <t>FECHA REAL</t>
        </is>
      </c>
      <c r="D1371" s="3" t="inlineStr">
        <is>
          <t>Day of Week</t>
        </is>
      </c>
      <c r="E1371" s="3" t="inlineStr">
        <is>
          <t>Flight No</t>
        </is>
      </c>
      <c r="F1371" s="3" t="inlineStr">
        <is>
          <t>Dep Stn</t>
        </is>
      </c>
      <c r="G1371" s="3" t="inlineStr">
        <is>
          <t>Arr Stn</t>
        </is>
      </c>
      <c r="H1371" s="3" t="inlineStr">
        <is>
          <t>STD</t>
        </is>
      </c>
      <c r="I1371" s="3" t="inlineStr">
        <is>
          <t>STA</t>
        </is>
      </c>
      <c r="J1371" s="3" t="inlineStr">
        <is>
          <t>subflota</t>
        </is>
      </c>
      <c r="K1371" s="3" t="inlineStr">
        <is>
          <t>Conexion</t>
        </is>
      </c>
      <c r="L1371" s="3" t="inlineStr">
        <is>
          <t>HBT</t>
        </is>
      </c>
    </row>
    <row r="1372">
      <c r="B1372" s="4" t="n">
        <v>1349</v>
      </c>
      <c r="C1372" s="4" t="inlineStr">
        <is>
          <t>15/09/2026</t>
        </is>
      </c>
      <c r="D1372" s="4" t="inlineStr">
        <is>
          <t>martes</t>
        </is>
      </c>
      <c r="E1372" s="4" t="n">
        <v>2301</v>
      </c>
      <c r="F1372" s="4" t="inlineStr">
        <is>
          <t>LIM</t>
        </is>
      </c>
      <c r="G1372" s="4" t="inlineStr">
        <is>
          <t>TPP</t>
        </is>
      </c>
      <c r="H1372" s="4" t="inlineStr">
        <is>
          <t>15:40:00</t>
        </is>
      </c>
      <c r="I1372" s="4" t="inlineStr">
        <is>
          <t>17:05:00</t>
        </is>
      </c>
      <c r="J1372" s="4" t="n">
        <v>320</v>
      </c>
      <c r="L1372" s="4" t="inlineStr">
        <is>
          <t>01:25:00</t>
        </is>
      </c>
      <c r="M1372" s="5" t="n"/>
      <c r="N1372" s="6" t="n"/>
      <c r="O1372" s="5" t="n"/>
      <c r="Q1372" s="4">
        <f>B1372</f>
        <v/>
      </c>
      <c r="R1372" s="4">
        <f>C1372</f>
        <v/>
      </c>
      <c r="S1372" s="4">
        <f>D1372</f>
        <v/>
      </c>
      <c r="T1372" s="4">
        <f>E1372&amp;"/"&amp;E1373</f>
        <v/>
      </c>
      <c r="U1372" s="4">
        <f>F1372&amp;"-"&amp;G1372&amp;"-"&amp;F1372</f>
        <v/>
      </c>
      <c r="V1372" s="4">
        <f>IF($M$1372="","",$M$1372)</f>
        <v/>
      </c>
      <c r="W1372" s="4">
        <f>IF($O$1372="","",$O$1372)</f>
        <v/>
      </c>
      <c r="X1372" s="4">
        <f>J1372</f>
        <v/>
      </c>
    </row>
    <row r="1373">
      <c r="B1373" s="4" t="n">
        <v>1349</v>
      </c>
      <c r="C1373" s="4" t="inlineStr">
        <is>
          <t>15/09/2026</t>
        </is>
      </c>
      <c r="D1373" s="4" t="inlineStr">
        <is>
          <t>martes</t>
        </is>
      </c>
      <c r="E1373" s="4" t="n">
        <v>2300</v>
      </c>
      <c r="F1373" s="4" t="inlineStr">
        <is>
          <t>TPP</t>
        </is>
      </c>
      <c r="G1373" s="4" t="inlineStr">
        <is>
          <t>LIM</t>
        </is>
      </c>
      <c r="H1373" s="4" t="inlineStr">
        <is>
          <t>17:50:00</t>
        </is>
      </c>
      <c r="I1373" s="4" t="inlineStr">
        <is>
          <t>19:15:00</t>
        </is>
      </c>
      <c r="J1373" s="4" t="n">
        <v>320</v>
      </c>
      <c r="K1373">
        <f>TEXT(TIMEVALUE(H1373)-TIMEVALUE(I1372)+(TIMEVALUE(H1373)&lt;TIMEVALUE(I1372)),"[h]:mm")</f>
        <v/>
      </c>
      <c r="L1373" s="4" t="inlineStr">
        <is>
          <t>01:25:00</t>
        </is>
      </c>
      <c r="O1373">
        <f>"LIM-"&amp;G1372&amp;"-LIM   LA "&amp;E1372&amp;" ("&amp;LEFT(H1372,5)&amp;"-"&amp;LEFT(I1372,5)&amp;" hrs)  /  LA "&amp;E1373&amp;" ("&amp;LEFT(H1373,5)&amp;"-"&amp;LEFT(I1373,5)&amp;" hrs)"</f>
        <v/>
      </c>
    </row>
    <row r="1374">
      <c r="J1374" s="8" t="inlineStr">
        <is>
          <t>PSV total:</t>
        </is>
      </c>
      <c r="K1374" s="9">
        <f>TEXT(TIMEVALUE(I1373)-TIMEVALUE(H1372)+(I1373&lt;H1372),"[h]:mm")</f>
        <v/>
      </c>
    </row>
    <row r="1376">
      <c r="B1376" s="3" t="inlineStr">
        <is>
          <t>Pairing ID</t>
        </is>
      </c>
      <c r="C1376" s="3" t="inlineStr">
        <is>
          <t>FECHA REAL</t>
        </is>
      </c>
      <c r="D1376" s="3" t="inlineStr">
        <is>
          <t>Day of Week</t>
        </is>
      </c>
      <c r="E1376" s="3" t="inlineStr">
        <is>
          <t>Flight No</t>
        </is>
      </c>
      <c r="F1376" s="3" t="inlineStr">
        <is>
          <t>Dep Stn</t>
        </is>
      </c>
      <c r="G1376" s="3" t="inlineStr">
        <is>
          <t>Arr Stn</t>
        </is>
      </c>
      <c r="H1376" s="3" t="inlineStr">
        <is>
          <t>STD</t>
        </is>
      </c>
      <c r="I1376" s="3" t="inlineStr">
        <is>
          <t>STA</t>
        </is>
      </c>
      <c r="J1376" s="3" t="inlineStr">
        <is>
          <t>subflota</t>
        </is>
      </c>
      <c r="K1376" s="3" t="inlineStr">
        <is>
          <t>Conexion</t>
        </is>
      </c>
      <c r="L1376" s="3" t="inlineStr">
        <is>
          <t>HBT</t>
        </is>
      </c>
    </row>
    <row r="1377">
      <c r="B1377" s="4" t="n">
        <v>1350</v>
      </c>
      <c r="C1377" s="4" t="inlineStr">
        <is>
          <t>15/09/2026</t>
        </is>
      </c>
      <c r="D1377" s="4" t="inlineStr">
        <is>
          <t>martes</t>
        </is>
      </c>
      <c r="E1377" s="4" t="n">
        <v>2301</v>
      </c>
      <c r="F1377" s="4" t="inlineStr">
        <is>
          <t>LIM</t>
        </is>
      </c>
      <c r="G1377" s="4" t="inlineStr">
        <is>
          <t>TPP</t>
        </is>
      </c>
      <c r="H1377" s="4" t="inlineStr">
        <is>
          <t>15:40:00</t>
        </is>
      </c>
      <c r="I1377" s="4" t="inlineStr">
        <is>
          <t>17:05:00</t>
        </is>
      </c>
      <c r="J1377" s="4" t="n">
        <v>320</v>
      </c>
      <c r="L1377" s="4" t="inlineStr">
        <is>
          <t>01:25:00</t>
        </is>
      </c>
      <c r="M1377" s="5" t="n"/>
      <c r="N1377" s="6" t="n"/>
      <c r="O1377" s="5" t="n"/>
      <c r="Q1377" s="4">
        <f>B1377</f>
        <v/>
      </c>
      <c r="R1377" s="4">
        <f>C1377</f>
        <v/>
      </c>
      <c r="S1377" s="4">
        <f>D1377</f>
        <v/>
      </c>
      <c r="T1377" s="4">
        <f>E1377&amp;"/"&amp;E1378</f>
        <v/>
      </c>
      <c r="U1377" s="4">
        <f>F1377&amp;"-"&amp;G1377&amp;"-"&amp;F1377</f>
        <v/>
      </c>
      <c r="V1377" s="4">
        <f>IF($M$1377="","",$M$1377)</f>
        <v/>
      </c>
      <c r="W1377" s="4">
        <f>IF($O$1377="","",$O$1377)</f>
        <v/>
      </c>
      <c r="X1377" s="4">
        <f>J1377</f>
        <v/>
      </c>
    </row>
    <row r="1378">
      <c r="B1378" s="4" t="n">
        <v>1350</v>
      </c>
      <c r="C1378" s="4" t="inlineStr">
        <is>
          <t>15/09/2026</t>
        </is>
      </c>
      <c r="D1378" s="4" t="inlineStr">
        <is>
          <t>martes</t>
        </is>
      </c>
      <c r="E1378" s="4" t="n">
        <v>2300</v>
      </c>
      <c r="F1378" s="4" t="inlineStr">
        <is>
          <t>TPP</t>
        </is>
      </c>
      <c r="G1378" s="4" t="inlineStr">
        <is>
          <t>LIM</t>
        </is>
      </c>
      <c r="H1378" s="4" t="inlineStr">
        <is>
          <t>17:50:00</t>
        </is>
      </c>
      <c r="I1378" s="4" t="inlineStr">
        <is>
          <t>19:15:00</t>
        </is>
      </c>
      <c r="J1378" s="4" t="n">
        <v>320</v>
      </c>
      <c r="K1378">
        <f>TEXT(TIMEVALUE(H1378)-TIMEVALUE(I1377)+(TIMEVALUE(H1378)&lt;TIMEVALUE(I1377)),"[h]:mm")</f>
        <v/>
      </c>
      <c r="L1378" s="4" t="inlineStr">
        <is>
          <t>01:25:00</t>
        </is>
      </c>
      <c r="O1378">
        <f>"LIM-"&amp;G1377&amp;"-LIM   LA "&amp;E1377&amp;" ("&amp;LEFT(H1377,5)&amp;"-"&amp;LEFT(I1377,5)&amp;" hrs)  /  LA "&amp;E1378&amp;" ("&amp;LEFT(H1378,5)&amp;"-"&amp;LEFT(I1378,5)&amp;" hrs)"</f>
        <v/>
      </c>
    </row>
    <row r="1379">
      <c r="J1379" s="8" t="inlineStr">
        <is>
          <t>PSV total:</t>
        </is>
      </c>
      <c r="K1379" s="9">
        <f>TEXT(TIMEVALUE(I1378)-TIMEVALUE(H1377)+(I1378&lt;H1377),"[h]:mm")</f>
        <v/>
      </c>
    </row>
    <row r="1381">
      <c r="B1381" s="3" t="inlineStr">
        <is>
          <t>Pairing ID</t>
        </is>
      </c>
      <c r="C1381" s="3" t="inlineStr">
        <is>
          <t>FECHA REAL</t>
        </is>
      </c>
      <c r="D1381" s="3" t="inlineStr">
        <is>
          <t>Day of Week</t>
        </is>
      </c>
      <c r="E1381" s="3" t="inlineStr">
        <is>
          <t>Flight No</t>
        </is>
      </c>
      <c r="F1381" s="3" t="inlineStr">
        <is>
          <t>Dep Stn</t>
        </is>
      </c>
      <c r="G1381" s="3" t="inlineStr">
        <is>
          <t>Arr Stn</t>
        </is>
      </c>
      <c r="H1381" s="3" t="inlineStr">
        <is>
          <t>STD</t>
        </is>
      </c>
      <c r="I1381" s="3" t="inlineStr">
        <is>
          <t>STA</t>
        </is>
      </c>
      <c r="J1381" s="3" t="inlineStr">
        <is>
          <t>subflota</t>
        </is>
      </c>
      <c r="K1381" s="3" t="inlineStr">
        <is>
          <t>Conexion</t>
        </is>
      </c>
      <c r="L1381" s="3" t="inlineStr">
        <is>
          <t>HBT</t>
        </is>
      </c>
    </row>
    <row r="1382">
      <c r="B1382" s="4" t="n">
        <v>1355</v>
      </c>
      <c r="C1382" s="4" t="inlineStr">
        <is>
          <t>15/09/2026</t>
        </is>
      </c>
      <c r="D1382" s="4" t="inlineStr">
        <is>
          <t>martes</t>
        </is>
      </c>
      <c r="E1382" s="4" t="n">
        <v>2213</v>
      </c>
      <c r="F1382" s="4" t="inlineStr">
        <is>
          <t>LIM</t>
        </is>
      </c>
      <c r="G1382" s="4" t="inlineStr">
        <is>
          <t>CIX</t>
        </is>
      </c>
      <c r="H1382" s="4" t="inlineStr">
        <is>
          <t>17:20:00</t>
        </is>
      </c>
      <c r="I1382" s="4" t="inlineStr">
        <is>
          <t>18:50:00</t>
        </is>
      </c>
      <c r="J1382" s="4" t="n">
        <v>320</v>
      </c>
      <c r="L1382" s="4" t="inlineStr">
        <is>
          <t>01:30:00</t>
        </is>
      </c>
      <c r="M1382" s="5" t="n"/>
      <c r="N1382" s="6" t="n"/>
      <c r="O1382" s="5" t="n"/>
      <c r="Q1382" s="4">
        <f>B1382</f>
        <v/>
      </c>
      <c r="R1382" s="4">
        <f>C1382</f>
        <v/>
      </c>
      <c r="S1382" s="4">
        <f>D1382</f>
        <v/>
      </c>
      <c r="T1382" s="4">
        <f>E1382&amp;"/"&amp;E1383</f>
        <v/>
      </c>
      <c r="U1382" s="4">
        <f>F1382&amp;"-"&amp;G1382&amp;"-"&amp;F1382</f>
        <v/>
      </c>
      <c r="V1382" s="4">
        <f>IF($M$1382="","",$M$1382)</f>
        <v/>
      </c>
      <c r="W1382" s="4">
        <f>IF($O$1382="","",$O$1382)</f>
        <v/>
      </c>
      <c r="X1382" s="4">
        <f>J1382</f>
        <v/>
      </c>
    </row>
    <row r="1383">
      <c r="B1383" s="4" t="n">
        <v>1355</v>
      </c>
      <c r="C1383" s="4" t="inlineStr">
        <is>
          <t>15/09/2026</t>
        </is>
      </c>
      <c r="D1383" s="4" t="inlineStr">
        <is>
          <t>martes</t>
        </is>
      </c>
      <c r="E1383" s="4" t="n">
        <v>2214</v>
      </c>
      <c r="F1383" s="4" t="inlineStr">
        <is>
          <t>CIX</t>
        </is>
      </c>
      <c r="G1383" s="4" t="inlineStr">
        <is>
          <t>LIM</t>
        </is>
      </c>
      <c r="H1383" s="4" t="inlineStr">
        <is>
          <t>19:25:00</t>
        </is>
      </c>
      <c r="I1383" s="4" t="inlineStr">
        <is>
          <t>20:40:00</t>
        </is>
      </c>
      <c r="J1383" s="4" t="n">
        <v>320</v>
      </c>
      <c r="K1383">
        <f>TEXT(TIMEVALUE(H1383)-TIMEVALUE(I1382)+(TIMEVALUE(H1383)&lt;TIMEVALUE(I1382)),"[h]:mm")</f>
        <v/>
      </c>
      <c r="L1383" s="4" t="inlineStr">
        <is>
          <t>01:15:00</t>
        </is>
      </c>
      <c r="O1383">
        <f>"LIM-"&amp;G1382&amp;"-LIM   LA "&amp;E1382&amp;" ("&amp;LEFT(H1382,5)&amp;"-"&amp;LEFT(I1382,5)&amp;" hrs)  /  LA "&amp;E1383&amp;" ("&amp;LEFT(H1383,5)&amp;"-"&amp;LEFT(I1383,5)&amp;" hrs)"</f>
        <v/>
      </c>
    </row>
    <row r="1384">
      <c r="J1384" s="8" t="inlineStr">
        <is>
          <t>PSV total:</t>
        </is>
      </c>
      <c r="K1384" s="9">
        <f>TEXT(TIMEVALUE(I1383)-TIMEVALUE(H1382)+(I1383&lt;H1382),"[h]:mm")</f>
        <v/>
      </c>
    </row>
    <row r="1386">
      <c r="B1386" s="3" t="inlineStr">
        <is>
          <t>Pairing ID</t>
        </is>
      </c>
      <c r="C1386" s="3" t="inlineStr">
        <is>
          <t>FECHA REAL</t>
        </is>
      </c>
      <c r="D1386" s="3" t="inlineStr">
        <is>
          <t>Day of Week</t>
        </is>
      </c>
      <c r="E1386" s="3" t="inlineStr">
        <is>
          <t>Flight No</t>
        </is>
      </c>
      <c r="F1386" s="3" t="inlineStr">
        <is>
          <t>Dep Stn</t>
        </is>
      </c>
      <c r="G1386" s="3" t="inlineStr">
        <is>
          <t>Arr Stn</t>
        </is>
      </c>
      <c r="H1386" s="3" t="inlineStr">
        <is>
          <t>STD</t>
        </is>
      </c>
      <c r="I1386" s="3" t="inlineStr">
        <is>
          <t>STA</t>
        </is>
      </c>
      <c r="J1386" s="3" t="inlineStr">
        <is>
          <t>subflota</t>
        </is>
      </c>
      <c r="K1386" s="3" t="inlineStr">
        <is>
          <t>Conexion</t>
        </is>
      </c>
      <c r="L1386" s="3" t="inlineStr">
        <is>
          <t>HBT</t>
        </is>
      </c>
    </row>
    <row r="1387">
      <c r="B1387" s="4" t="n">
        <v>1358</v>
      </c>
      <c r="C1387" s="4" t="inlineStr">
        <is>
          <t>15/09/2026</t>
        </is>
      </c>
      <c r="D1387" s="4" t="inlineStr">
        <is>
          <t>martes</t>
        </is>
      </c>
      <c r="E1387" s="4" t="n">
        <v>2223</v>
      </c>
      <c r="F1387" s="4" t="inlineStr">
        <is>
          <t>LIM</t>
        </is>
      </c>
      <c r="G1387" s="4" t="inlineStr">
        <is>
          <t>CUZ</t>
        </is>
      </c>
      <c r="H1387" s="4" t="inlineStr">
        <is>
          <t>18:15:00</t>
        </is>
      </c>
      <c r="I1387" s="4" t="inlineStr">
        <is>
          <t>19:40:00</t>
        </is>
      </c>
      <c r="J1387" s="4" t="n">
        <v>319</v>
      </c>
      <c r="L1387" s="4" t="inlineStr">
        <is>
          <t>01:25:00</t>
        </is>
      </c>
      <c r="M1387" s="5" t="n"/>
      <c r="N1387" s="6" t="n"/>
      <c r="O1387" s="5" t="n"/>
      <c r="Q1387" s="4">
        <f>B1387</f>
        <v/>
      </c>
      <c r="R1387" s="4">
        <f>C1387</f>
        <v/>
      </c>
      <c r="S1387" s="4">
        <f>D1387</f>
        <v/>
      </c>
      <c r="T1387" s="4">
        <f>E1387&amp;"/"&amp;E1388</f>
        <v/>
      </c>
      <c r="U1387" s="4">
        <f>F1387&amp;"-"&amp;G1387&amp;"-"&amp;F1387</f>
        <v/>
      </c>
      <c r="V1387" s="4">
        <f>IF($M$1387="","",$M$1387)</f>
        <v/>
      </c>
      <c r="W1387" s="4">
        <f>IF($O$1387="","",$O$1387)</f>
        <v/>
      </c>
      <c r="X1387" s="4">
        <f>J1387</f>
        <v/>
      </c>
    </row>
    <row r="1388">
      <c r="B1388" s="4" t="n">
        <v>1358</v>
      </c>
      <c r="C1388" s="4" t="inlineStr">
        <is>
          <t>15/09/2026</t>
        </is>
      </c>
      <c r="D1388" s="4" t="inlineStr">
        <is>
          <t>martes</t>
        </is>
      </c>
      <c r="E1388" s="4" t="n">
        <v>2224</v>
      </c>
      <c r="F1388" s="4" t="inlineStr">
        <is>
          <t>CUZ</t>
        </is>
      </c>
      <c r="G1388" s="4" t="inlineStr">
        <is>
          <t>LIM</t>
        </is>
      </c>
      <c r="H1388" s="4" t="inlineStr">
        <is>
          <t>21:20:00</t>
        </is>
      </c>
      <c r="I1388" s="4" t="inlineStr">
        <is>
          <t>22:55:00</t>
        </is>
      </c>
      <c r="J1388" s="4" t="n">
        <v>319</v>
      </c>
      <c r="K1388">
        <f>TEXT(TIMEVALUE(H1388)-TIMEVALUE(I1387)+(TIMEVALUE(H1388)&lt;TIMEVALUE(I1387)),"[h]:mm")</f>
        <v/>
      </c>
      <c r="L1388" s="4" t="inlineStr">
        <is>
          <t>01:35:00</t>
        </is>
      </c>
      <c r="O1388">
        <f>"LIM-"&amp;G1387&amp;"-LIM   LA "&amp;E1387&amp;" ("&amp;LEFT(H1387,5)&amp;"-"&amp;LEFT(I1387,5)&amp;" hrs)  /  LA "&amp;E1388&amp;" ("&amp;LEFT(H1388,5)&amp;"-"&amp;LEFT(I1388,5)&amp;" hrs)"</f>
        <v/>
      </c>
    </row>
    <row r="1389">
      <c r="J1389" s="8" t="inlineStr">
        <is>
          <t>PSV total:</t>
        </is>
      </c>
      <c r="K1389" s="9">
        <f>TEXT(TIMEVALUE(I1388)-TIMEVALUE(H1387)+(I1388&lt;H1387),"[h]:mm")</f>
        <v/>
      </c>
    </row>
    <row r="1391">
      <c r="B1391" s="3" t="inlineStr">
        <is>
          <t>Pairing ID</t>
        </is>
      </c>
      <c r="C1391" s="3" t="inlineStr">
        <is>
          <t>FECHA REAL</t>
        </is>
      </c>
      <c r="D1391" s="3" t="inlineStr">
        <is>
          <t>Day of Week</t>
        </is>
      </c>
      <c r="E1391" s="3" t="inlineStr">
        <is>
          <t>Flight No</t>
        </is>
      </c>
      <c r="F1391" s="3" t="inlineStr">
        <is>
          <t>Dep Stn</t>
        </is>
      </c>
      <c r="G1391" s="3" t="inlineStr">
        <is>
          <t>Arr Stn</t>
        </is>
      </c>
      <c r="H1391" s="3" t="inlineStr">
        <is>
          <t>STD</t>
        </is>
      </c>
      <c r="I1391" s="3" t="inlineStr">
        <is>
          <t>STA</t>
        </is>
      </c>
      <c r="J1391" s="3" t="inlineStr">
        <is>
          <t>subflota</t>
        </is>
      </c>
      <c r="K1391" s="3" t="inlineStr">
        <is>
          <t>Conexion</t>
        </is>
      </c>
      <c r="L1391" s="3" t="inlineStr">
        <is>
          <t>HBT</t>
        </is>
      </c>
    </row>
    <row r="1392">
      <c r="B1392" s="4" t="n">
        <v>1359</v>
      </c>
      <c r="C1392" s="4" t="inlineStr">
        <is>
          <t>15/09/2026</t>
        </is>
      </c>
      <c r="D1392" s="4" t="inlineStr">
        <is>
          <t>martes</t>
        </is>
      </c>
      <c r="E1392" s="4" t="n">
        <v>2091</v>
      </c>
      <c r="F1392" s="4" t="inlineStr">
        <is>
          <t>LIM</t>
        </is>
      </c>
      <c r="G1392" s="4" t="inlineStr">
        <is>
          <t>TPP</t>
        </is>
      </c>
      <c r="H1392" s="4" t="inlineStr">
        <is>
          <t>18:30:00</t>
        </is>
      </c>
      <c r="I1392" s="4" t="inlineStr">
        <is>
          <t>19:55:00</t>
        </is>
      </c>
      <c r="J1392" s="4" t="n">
        <v>320</v>
      </c>
      <c r="L1392" s="4" t="inlineStr">
        <is>
          <t>01:25:00</t>
        </is>
      </c>
      <c r="M1392" s="5" t="n"/>
      <c r="N1392" s="6" t="n"/>
      <c r="O1392" s="5" t="n"/>
      <c r="Q1392" s="4">
        <f>B1392</f>
        <v/>
      </c>
      <c r="R1392" s="4">
        <f>C1392</f>
        <v/>
      </c>
      <c r="S1392" s="4">
        <f>D1392</f>
        <v/>
      </c>
      <c r="T1392" s="4">
        <f>E1392&amp;"/"&amp;E1393</f>
        <v/>
      </c>
      <c r="U1392" s="4">
        <f>F1392&amp;"-"&amp;G1392&amp;"-"&amp;F1392</f>
        <v/>
      </c>
      <c r="V1392" s="4">
        <f>IF($M$1392="","",$M$1392)</f>
        <v/>
      </c>
      <c r="W1392" s="4">
        <f>IF($O$1392="","",$O$1392)</f>
        <v/>
      </c>
      <c r="X1392" s="4">
        <f>J1392</f>
        <v/>
      </c>
    </row>
    <row r="1393">
      <c r="B1393" s="4" t="n">
        <v>1359</v>
      </c>
      <c r="C1393" s="4" t="inlineStr">
        <is>
          <t>15/09/2026</t>
        </is>
      </c>
      <c r="D1393" s="4" t="inlineStr">
        <is>
          <t>martes</t>
        </is>
      </c>
      <c r="E1393" s="4" t="n">
        <v>2092</v>
      </c>
      <c r="F1393" s="4" t="inlineStr">
        <is>
          <t>TPP</t>
        </is>
      </c>
      <c r="G1393" s="4" t="inlineStr">
        <is>
          <t>LIM</t>
        </is>
      </c>
      <c r="H1393" s="4" t="inlineStr">
        <is>
          <t>20:30:00</t>
        </is>
      </c>
      <c r="I1393" s="4" t="inlineStr">
        <is>
          <t>21:55:00</t>
        </is>
      </c>
      <c r="J1393" s="4" t="n">
        <v>320</v>
      </c>
      <c r="K1393">
        <f>TEXT(TIMEVALUE(H1393)-TIMEVALUE(I1392)+(TIMEVALUE(H1393)&lt;TIMEVALUE(I1392)),"[h]:mm")</f>
        <v/>
      </c>
      <c r="L1393" s="4" t="inlineStr">
        <is>
          <t>01:25:00</t>
        </is>
      </c>
      <c r="O1393">
        <f>"LIM-"&amp;G1392&amp;"-LIM   LA "&amp;E1392&amp;" ("&amp;LEFT(H1392,5)&amp;"-"&amp;LEFT(I1392,5)&amp;" hrs)  /  LA "&amp;E1393&amp;" ("&amp;LEFT(H1393,5)&amp;"-"&amp;LEFT(I1393,5)&amp;" hrs)"</f>
        <v/>
      </c>
    </row>
    <row r="1394">
      <c r="J1394" s="8" t="inlineStr">
        <is>
          <t>PSV total:</t>
        </is>
      </c>
      <c r="K1394" s="9">
        <f>TEXT(TIMEVALUE(I1393)-TIMEVALUE(H1392)+(I1393&lt;H1392),"[h]:mm")</f>
        <v/>
      </c>
    </row>
    <row r="1396">
      <c r="B1396" s="3" t="inlineStr">
        <is>
          <t>Pairing ID</t>
        </is>
      </c>
      <c r="C1396" s="3" t="inlineStr">
        <is>
          <t>FECHA REAL</t>
        </is>
      </c>
      <c r="D1396" s="3" t="inlineStr">
        <is>
          <t>Day of Week</t>
        </is>
      </c>
      <c r="E1396" s="3" t="inlineStr">
        <is>
          <t>Flight No</t>
        </is>
      </c>
      <c r="F1396" s="3" t="inlineStr">
        <is>
          <t>Dep Stn</t>
        </is>
      </c>
      <c r="G1396" s="3" t="inlineStr">
        <is>
          <t>Arr Stn</t>
        </is>
      </c>
      <c r="H1396" s="3" t="inlineStr">
        <is>
          <t>STD</t>
        </is>
      </c>
      <c r="I1396" s="3" t="inlineStr">
        <is>
          <t>STA</t>
        </is>
      </c>
      <c r="J1396" s="3" t="inlineStr">
        <is>
          <t>subflota</t>
        </is>
      </c>
      <c r="K1396" s="3" t="inlineStr">
        <is>
          <t>Conexion</t>
        </is>
      </c>
      <c r="L1396" s="3" t="inlineStr">
        <is>
          <t>HBT</t>
        </is>
      </c>
    </row>
    <row r="1397">
      <c r="B1397" s="4" t="n">
        <v>1400</v>
      </c>
      <c r="C1397" s="4" t="inlineStr">
        <is>
          <t>16/09/2026</t>
        </is>
      </c>
      <c r="D1397" s="4" t="inlineStr">
        <is>
          <t>miércoles</t>
        </is>
      </c>
      <c r="E1397" s="4" t="n">
        <v>2013</v>
      </c>
      <c r="F1397" s="4" t="inlineStr">
        <is>
          <t>LIM</t>
        </is>
      </c>
      <c r="G1397" s="4" t="inlineStr">
        <is>
          <t>CUZ</t>
        </is>
      </c>
      <c r="H1397" s="4" t="inlineStr">
        <is>
          <t>08:35:00</t>
        </is>
      </c>
      <c r="I1397" s="4" t="inlineStr">
        <is>
          <t>09:55:00</t>
        </is>
      </c>
      <c r="J1397" s="4" t="n">
        <v>320</v>
      </c>
      <c r="L1397" s="4" t="inlineStr">
        <is>
          <t>01:20:00</t>
        </is>
      </c>
      <c r="M1397" s="5" t="n"/>
      <c r="N1397" s="6" t="n"/>
      <c r="O1397" s="5" t="n"/>
      <c r="Q1397" s="4">
        <f>B1397</f>
        <v/>
      </c>
      <c r="R1397" s="4">
        <f>C1397</f>
        <v/>
      </c>
      <c r="S1397" s="4">
        <f>D1397</f>
        <v/>
      </c>
      <c r="T1397" s="4">
        <f>E1397&amp;"/"&amp;E1398</f>
        <v/>
      </c>
      <c r="U1397" s="4">
        <f>F1397&amp;"-"&amp;G1397&amp;"-"&amp;F1397</f>
        <v/>
      </c>
      <c r="V1397" s="4">
        <f>IF($M$1397="","",$M$1397)</f>
        <v/>
      </c>
      <c r="W1397" s="4">
        <f>IF($O$1397="","",$O$1397)</f>
        <v/>
      </c>
      <c r="X1397" s="4">
        <f>J1397</f>
        <v/>
      </c>
    </row>
    <row r="1398">
      <c r="B1398" s="4" t="n">
        <v>1400</v>
      </c>
      <c r="C1398" s="4" t="inlineStr">
        <is>
          <t>16/09/2026</t>
        </is>
      </c>
      <c r="D1398" s="4" t="inlineStr">
        <is>
          <t>miércoles</t>
        </is>
      </c>
      <c r="E1398" s="4" t="n">
        <v>2014</v>
      </c>
      <c r="F1398" s="4" t="inlineStr">
        <is>
          <t>CUZ</t>
        </is>
      </c>
      <c r="G1398" s="4" t="inlineStr">
        <is>
          <t>LIM</t>
        </is>
      </c>
      <c r="H1398" s="4" t="inlineStr">
        <is>
          <t>10:40:00</t>
        </is>
      </c>
      <c r="I1398" s="4" t="inlineStr">
        <is>
          <t>12:15:00</t>
        </is>
      </c>
      <c r="J1398" s="4" t="n">
        <v>320</v>
      </c>
      <c r="K1398">
        <f>TEXT(TIMEVALUE(H1398)-TIMEVALUE(I1397)+(TIMEVALUE(H1398)&lt;TIMEVALUE(I1397)),"[h]:mm")</f>
        <v/>
      </c>
      <c r="L1398" s="4" t="inlineStr">
        <is>
          <t>01:35:00</t>
        </is>
      </c>
      <c r="O1398">
        <f>"LIM-"&amp;G1397&amp;"-LIM   LA "&amp;E1397&amp;" ("&amp;LEFT(H1397,5)&amp;"-"&amp;LEFT(I1397,5)&amp;" hrs)  /  LA "&amp;E1398&amp;" ("&amp;LEFT(H1398,5)&amp;"-"&amp;LEFT(I1398,5)&amp;" hrs)"</f>
        <v/>
      </c>
    </row>
    <row r="1399">
      <c r="J1399" s="8" t="inlineStr">
        <is>
          <t>PSV total:</t>
        </is>
      </c>
      <c r="K1399" s="9">
        <f>TEXT(TIMEVALUE(I1398)-TIMEVALUE(H1397)+(I1398&lt;H1397),"[h]:mm")</f>
        <v/>
      </c>
    </row>
    <row r="1401">
      <c r="B1401" s="3" t="inlineStr">
        <is>
          <t>Pairing ID</t>
        </is>
      </c>
      <c r="C1401" s="3" t="inlineStr">
        <is>
          <t>FECHA REAL</t>
        </is>
      </c>
      <c r="D1401" s="3" t="inlineStr">
        <is>
          <t>Day of Week</t>
        </is>
      </c>
      <c r="E1401" s="3" t="inlineStr">
        <is>
          <t>Flight No</t>
        </is>
      </c>
      <c r="F1401" s="3" t="inlineStr">
        <is>
          <t>Dep Stn</t>
        </is>
      </c>
      <c r="G1401" s="3" t="inlineStr">
        <is>
          <t>Arr Stn</t>
        </is>
      </c>
      <c r="H1401" s="3" t="inlineStr">
        <is>
          <t>STD</t>
        </is>
      </c>
      <c r="I1401" s="3" t="inlineStr">
        <is>
          <t>STA</t>
        </is>
      </c>
      <c r="J1401" s="3" t="inlineStr">
        <is>
          <t>subflota</t>
        </is>
      </c>
      <c r="K1401" s="3" t="inlineStr">
        <is>
          <t>Conexion</t>
        </is>
      </c>
      <c r="L1401" s="3" t="inlineStr">
        <is>
          <t>HBT</t>
        </is>
      </c>
    </row>
    <row r="1402">
      <c r="B1402" s="4" t="n">
        <v>1407</v>
      </c>
      <c r="C1402" s="4" t="inlineStr">
        <is>
          <t>16/09/2026</t>
        </is>
      </c>
      <c r="D1402" s="4" t="inlineStr">
        <is>
          <t>miércoles</t>
        </is>
      </c>
      <c r="E1402" s="4" t="n">
        <v>2109</v>
      </c>
      <c r="F1402" s="4" t="inlineStr">
        <is>
          <t>LIM</t>
        </is>
      </c>
      <c r="G1402" s="4" t="inlineStr">
        <is>
          <t>AQP</t>
        </is>
      </c>
      <c r="H1402" s="4" t="inlineStr">
        <is>
          <t>10:35:00</t>
        </is>
      </c>
      <c r="I1402" s="4" t="inlineStr">
        <is>
          <t>12:05:00</t>
        </is>
      </c>
      <c r="J1402" s="4" t="n">
        <v>319</v>
      </c>
      <c r="L1402" s="4" t="inlineStr">
        <is>
          <t>01:30:00</t>
        </is>
      </c>
      <c r="M1402" s="5" t="n"/>
      <c r="N1402" s="6" t="n"/>
      <c r="O1402" s="5" t="n"/>
      <c r="Q1402" s="4">
        <f>B1402</f>
        <v/>
      </c>
      <c r="R1402" s="4">
        <f>C1402</f>
        <v/>
      </c>
      <c r="S1402" s="4">
        <f>D1402</f>
        <v/>
      </c>
      <c r="T1402" s="4">
        <f>E1402&amp;"/"&amp;E1403</f>
        <v/>
      </c>
      <c r="U1402" s="4">
        <f>F1402&amp;"-"&amp;G1402&amp;"-"&amp;F1402</f>
        <v/>
      </c>
      <c r="V1402" s="4">
        <f>IF($M$1402="","",$M$1402)</f>
        <v/>
      </c>
      <c r="W1402" s="4">
        <f>IF($O$1402="","",$O$1402)</f>
        <v/>
      </c>
      <c r="X1402" s="4">
        <f>J1402</f>
        <v/>
      </c>
    </row>
    <row r="1403">
      <c r="B1403" s="4" t="n">
        <v>1407</v>
      </c>
      <c r="C1403" s="4" t="inlineStr">
        <is>
          <t>16/09/2026</t>
        </is>
      </c>
      <c r="D1403" s="4" t="inlineStr">
        <is>
          <t>miércoles</t>
        </is>
      </c>
      <c r="E1403" s="4" t="n">
        <v>2108</v>
      </c>
      <c r="F1403" s="4" t="inlineStr">
        <is>
          <t>AQP</t>
        </is>
      </c>
      <c r="G1403" s="4" t="inlineStr">
        <is>
          <t>LIM</t>
        </is>
      </c>
      <c r="H1403" s="4" t="inlineStr">
        <is>
          <t>12:40:00</t>
        </is>
      </c>
      <c r="I1403" s="4" t="inlineStr">
        <is>
          <t>14:15:00</t>
        </is>
      </c>
      <c r="J1403" s="4" t="n">
        <v>319</v>
      </c>
      <c r="K1403">
        <f>TEXT(TIMEVALUE(H1403)-TIMEVALUE(I1402)+(TIMEVALUE(H1403)&lt;TIMEVALUE(I1402)),"[h]:mm")</f>
        <v/>
      </c>
      <c r="L1403" s="4" t="inlineStr">
        <is>
          <t>01:35:00</t>
        </is>
      </c>
      <c r="O1403">
        <f>"LIM-"&amp;G1402&amp;"-LIM   LA "&amp;E1402&amp;" ("&amp;LEFT(H1402,5)&amp;"-"&amp;LEFT(I1402,5)&amp;" hrs)  /  LA "&amp;E1403&amp;" ("&amp;LEFT(H1403,5)&amp;"-"&amp;LEFT(I1403,5)&amp;" hrs)"</f>
        <v/>
      </c>
    </row>
    <row r="1404">
      <c r="B1404" s="4" t="n">
        <v>1433</v>
      </c>
      <c r="C1404" s="4" t="inlineStr">
        <is>
          <t>16/09/2026</t>
        </is>
      </c>
      <c r="D1404" s="4" t="inlineStr">
        <is>
          <t>miércoles</t>
        </is>
      </c>
      <c r="E1404" s="4" t="n">
        <v>2297</v>
      </c>
      <c r="F1404" s="4" t="inlineStr">
        <is>
          <t>LIM</t>
        </is>
      </c>
      <c r="G1404" s="4" t="inlineStr">
        <is>
          <t>CJA</t>
        </is>
      </c>
      <c r="H1404" s="4" t="inlineStr">
        <is>
          <t>15:15:00</t>
        </is>
      </c>
      <c r="I1404" s="4" t="inlineStr">
        <is>
          <t>16:35:00</t>
        </is>
      </c>
      <c r="J1404" s="4" t="n">
        <v>319</v>
      </c>
      <c r="K1404" s="7">
        <f>TEXT(TIMEVALUE(H1404)-TIMEVALUE(I1403)+(TIMEVALUE(H1404)&lt;TIMEVALUE(I1403)),"[h]:mm")</f>
        <v/>
      </c>
      <c r="L1404" s="4" t="inlineStr">
        <is>
          <t>01:20:00</t>
        </is>
      </c>
      <c r="M1404">
        <f>IF($M$1402="","",$M$1402)</f>
        <v/>
      </c>
      <c r="O1404">
        <f>IF($O$1402="","",$O$1402)</f>
        <v/>
      </c>
      <c r="Q1404" s="4">
        <f>B1404</f>
        <v/>
      </c>
      <c r="R1404" s="4">
        <f>C1404</f>
        <v/>
      </c>
      <c r="S1404" s="4">
        <f>D1404</f>
        <v/>
      </c>
      <c r="T1404" s="4">
        <f>E1404&amp;"/"&amp;E1405</f>
        <v/>
      </c>
      <c r="U1404" s="4">
        <f>F1404&amp;"-"&amp;G1404&amp;"-"&amp;F1404</f>
        <v/>
      </c>
      <c r="V1404" s="4">
        <f>IF($M$1402="","",$M$1402)</f>
        <v/>
      </c>
      <c r="W1404" s="4">
        <f>IF($O$1402="","",$O$1402)</f>
        <v/>
      </c>
      <c r="X1404" s="4">
        <f>J1404</f>
        <v/>
      </c>
    </row>
    <row r="1405">
      <c r="B1405" s="4" t="n">
        <v>1433</v>
      </c>
      <c r="C1405" s="4" t="inlineStr">
        <is>
          <t>16/09/2026</t>
        </is>
      </c>
      <c r="D1405" s="4" t="inlineStr">
        <is>
          <t>miércoles</t>
        </is>
      </c>
      <c r="E1405" s="4" t="n">
        <v>2296</v>
      </c>
      <c r="F1405" s="4" t="inlineStr">
        <is>
          <t>CJA</t>
        </is>
      </c>
      <c r="G1405" s="4" t="inlineStr">
        <is>
          <t>LIM</t>
        </is>
      </c>
      <c r="H1405" s="4" t="inlineStr">
        <is>
          <t>17:20:00</t>
        </is>
      </c>
      <c r="I1405" s="4" t="inlineStr">
        <is>
          <t>18:25:00</t>
        </is>
      </c>
      <c r="J1405" s="4" t="n">
        <v>319</v>
      </c>
      <c r="K1405">
        <f>TEXT(TIMEVALUE(H1405)-TIMEVALUE(I1404)+(TIMEVALUE(H1405)&lt;TIMEVALUE(I1404)),"[h]:mm")</f>
        <v/>
      </c>
      <c r="L1405" s="4" t="inlineStr">
        <is>
          <t>01:05:00</t>
        </is>
      </c>
      <c r="O1405">
        <f>"LIM-"&amp;G1404&amp;"-LIM   LA "&amp;E1404&amp;" ("&amp;LEFT(H1404,5)&amp;"-"&amp;LEFT(I1404,5)&amp;" hrs)  /  LA "&amp;E1405&amp;" ("&amp;LEFT(H1405,5)&amp;"-"&amp;LEFT(I1405,5)&amp;" hrs)"</f>
        <v/>
      </c>
    </row>
    <row r="1406">
      <c r="J1406" s="8" t="inlineStr">
        <is>
          <t>PSV total:</t>
        </is>
      </c>
      <c r="K1406" s="9">
        <f>TEXT(TIMEVALUE(I1405)-TIMEVALUE(H1402)+(I1405&lt;H1402),"[h]:mm")</f>
        <v/>
      </c>
    </row>
    <row r="1408">
      <c r="B1408" s="3" t="inlineStr">
        <is>
          <t>Pairing ID</t>
        </is>
      </c>
      <c r="C1408" s="3" t="inlineStr">
        <is>
          <t>FECHA REAL</t>
        </is>
      </c>
      <c r="D1408" s="3" t="inlineStr">
        <is>
          <t>Day of Week</t>
        </is>
      </c>
      <c r="E1408" s="3" t="inlineStr">
        <is>
          <t>Flight No</t>
        </is>
      </c>
      <c r="F1408" s="3" t="inlineStr">
        <is>
          <t>Dep Stn</t>
        </is>
      </c>
      <c r="G1408" s="3" t="inlineStr">
        <is>
          <t>Arr Stn</t>
        </is>
      </c>
      <c r="H1408" s="3" t="inlineStr">
        <is>
          <t>STD</t>
        </is>
      </c>
      <c r="I1408" s="3" t="inlineStr">
        <is>
          <t>STA</t>
        </is>
      </c>
      <c r="J1408" s="3" t="inlineStr">
        <is>
          <t>subflota</t>
        </is>
      </c>
      <c r="K1408" s="3" t="inlineStr">
        <is>
          <t>Conexion</t>
        </is>
      </c>
      <c r="L1408" s="3" t="inlineStr">
        <is>
          <t>HBT</t>
        </is>
      </c>
    </row>
    <row r="1409">
      <c r="B1409" s="4" t="n">
        <v>1408</v>
      </c>
      <c r="C1409" s="4" t="inlineStr">
        <is>
          <t>16/09/2026</t>
        </is>
      </c>
      <c r="D1409" s="4" t="inlineStr">
        <is>
          <t>miércoles</t>
        </is>
      </c>
      <c r="E1409" s="4" t="n">
        <v>2266</v>
      </c>
      <c r="F1409" s="4" t="inlineStr">
        <is>
          <t>LIM</t>
        </is>
      </c>
      <c r="G1409" s="4" t="inlineStr">
        <is>
          <t>CUZ</t>
        </is>
      </c>
      <c r="H1409" s="4" t="inlineStr">
        <is>
          <t>11:10:00</t>
        </is>
      </c>
      <c r="I1409" s="4" t="inlineStr">
        <is>
          <t>12:30:00</t>
        </is>
      </c>
      <c r="J1409" s="4" t="n">
        <v>320</v>
      </c>
      <c r="L1409" s="4" t="inlineStr">
        <is>
          <t>01:20:00</t>
        </is>
      </c>
      <c r="M1409" s="5" t="n"/>
      <c r="N1409" s="6" t="n"/>
      <c r="O1409" s="5" t="n"/>
      <c r="Q1409" s="4">
        <f>B1409</f>
        <v/>
      </c>
      <c r="R1409" s="4">
        <f>C1409</f>
        <v/>
      </c>
      <c r="S1409" s="4">
        <f>D1409</f>
        <v/>
      </c>
      <c r="T1409" s="4">
        <f>E1409&amp;"/"&amp;E1410</f>
        <v/>
      </c>
      <c r="U1409" s="4">
        <f>F1409&amp;"-"&amp;G1409&amp;"-"&amp;F1409</f>
        <v/>
      </c>
      <c r="V1409" s="4">
        <f>IF($M$1409="","",$M$1409)</f>
        <v/>
      </c>
      <c r="W1409" s="4">
        <f>IF($O$1409="","",$O$1409)</f>
        <v/>
      </c>
      <c r="X1409" s="4">
        <f>J1409</f>
        <v/>
      </c>
    </row>
    <row r="1410">
      <c r="B1410" s="4" t="n">
        <v>1408</v>
      </c>
      <c r="C1410" s="4" t="inlineStr">
        <is>
          <t>16/09/2026</t>
        </is>
      </c>
      <c r="D1410" s="4" t="inlineStr">
        <is>
          <t>miércoles</t>
        </is>
      </c>
      <c r="E1410" s="4" t="n">
        <v>2267</v>
      </c>
      <c r="F1410" s="4" t="inlineStr">
        <is>
          <t>CUZ</t>
        </is>
      </c>
      <c r="G1410" s="4" t="inlineStr">
        <is>
          <t>LIM</t>
        </is>
      </c>
      <c r="H1410" s="4" t="inlineStr">
        <is>
          <t>13:10:00</t>
        </is>
      </c>
      <c r="I1410" s="4" t="inlineStr">
        <is>
          <t>14:45:00</t>
        </is>
      </c>
      <c r="J1410" s="4" t="n">
        <v>320</v>
      </c>
      <c r="K1410">
        <f>TEXT(TIMEVALUE(H1410)-TIMEVALUE(I1409)+(TIMEVALUE(H1410)&lt;TIMEVALUE(I1409)),"[h]:mm")</f>
        <v/>
      </c>
      <c r="L1410" s="4" t="inlineStr">
        <is>
          <t>01:35:00</t>
        </is>
      </c>
      <c r="O1410">
        <f>"LIM-"&amp;G1409&amp;"-LIM   LA "&amp;E1409&amp;" ("&amp;LEFT(H1409,5)&amp;"-"&amp;LEFT(I1409,5)&amp;" hrs)  /  LA "&amp;E1410&amp;" ("&amp;LEFT(H1410,5)&amp;"-"&amp;LEFT(I1410,5)&amp;" hrs)"</f>
        <v/>
      </c>
    </row>
    <row r="1411">
      <c r="B1411" s="4" t="n">
        <v>1436</v>
      </c>
      <c r="C1411" s="4" t="inlineStr">
        <is>
          <t>16/09/2026</t>
        </is>
      </c>
      <c r="D1411" s="4" t="inlineStr">
        <is>
          <t>miércoles</t>
        </is>
      </c>
      <c r="E1411" s="4" t="n">
        <v>2301</v>
      </c>
      <c r="F1411" s="4" t="inlineStr">
        <is>
          <t>LIM</t>
        </is>
      </c>
      <c r="G1411" s="4" t="inlineStr">
        <is>
          <t>TPP</t>
        </is>
      </c>
      <c r="H1411" s="4" t="inlineStr">
        <is>
          <t>15:40:00</t>
        </is>
      </c>
      <c r="I1411" s="4" t="inlineStr">
        <is>
          <t>17:05:00</t>
        </is>
      </c>
      <c r="J1411" s="4" t="n">
        <v>320</v>
      </c>
      <c r="K1411" s="7">
        <f>TEXT(TIMEVALUE(H1411)-TIMEVALUE(I1410)+(TIMEVALUE(H1411)&lt;TIMEVALUE(I1410)),"[h]:mm")</f>
        <v/>
      </c>
      <c r="L1411" s="4" t="inlineStr">
        <is>
          <t>01:25:00</t>
        </is>
      </c>
      <c r="M1411">
        <f>IF($M$1409="","",$M$1409)</f>
        <v/>
      </c>
      <c r="O1411">
        <f>IF($O$1409="","",$O$1409)</f>
        <v/>
      </c>
      <c r="Q1411" s="4">
        <f>B1411</f>
        <v/>
      </c>
      <c r="R1411" s="4">
        <f>C1411</f>
        <v/>
      </c>
      <c r="S1411" s="4">
        <f>D1411</f>
        <v/>
      </c>
      <c r="T1411" s="4">
        <f>E1411&amp;"/"&amp;E1412</f>
        <v/>
      </c>
      <c r="U1411" s="4">
        <f>F1411&amp;"-"&amp;G1411&amp;"-"&amp;F1411</f>
        <v/>
      </c>
      <c r="V1411" s="4">
        <f>IF($M$1409="","",$M$1409)</f>
        <v/>
      </c>
      <c r="W1411" s="4">
        <f>IF($O$1409="","",$O$1409)</f>
        <v/>
      </c>
      <c r="X1411" s="4">
        <f>J1411</f>
        <v/>
      </c>
    </row>
    <row r="1412">
      <c r="B1412" s="4" t="n">
        <v>1436</v>
      </c>
      <c r="C1412" s="4" t="inlineStr">
        <is>
          <t>16/09/2026</t>
        </is>
      </c>
      <c r="D1412" s="4" t="inlineStr">
        <is>
          <t>miércoles</t>
        </is>
      </c>
      <c r="E1412" s="4" t="n">
        <v>2300</v>
      </c>
      <c r="F1412" s="4" t="inlineStr">
        <is>
          <t>TPP</t>
        </is>
      </c>
      <c r="G1412" s="4" t="inlineStr">
        <is>
          <t>LIM</t>
        </is>
      </c>
      <c r="H1412" s="4" t="inlineStr">
        <is>
          <t>17:50:00</t>
        </is>
      </c>
      <c r="I1412" s="4" t="inlineStr">
        <is>
          <t>19:20:00</t>
        </is>
      </c>
      <c r="J1412" s="4" t="n">
        <v>320</v>
      </c>
      <c r="K1412">
        <f>TEXT(TIMEVALUE(H1412)-TIMEVALUE(I1411)+(TIMEVALUE(H1412)&lt;TIMEVALUE(I1411)),"[h]:mm")</f>
        <v/>
      </c>
      <c r="L1412" s="4" t="inlineStr">
        <is>
          <t>01:30:00</t>
        </is>
      </c>
      <c r="O1412">
        <f>"LIM-"&amp;G1411&amp;"-LIM   LA "&amp;E1411&amp;" ("&amp;LEFT(H1411,5)&amp;"-"&amp;LEFT(I1411,5)&amp;" hrs)  /  LA "&amp;E1412&amp;" ("&amp;LEFT(H1412,5)&amp;"-"&amp;LEFT(I1412,5)&amp;" hrs)"</f>
        <v/>
      </c>
    </row>
    <row r="1413">
      <c r="J1413" s="8" t="inlineStr">
        <is>
          <t>PSV total:</t>
        </is>
      </c>
      <c r="K1413" s="9">
        <f>TEXT(TIMEVALUE(I1412)-TIMEVALUE(H1409)+(I1412&lt;H1409),"[h]:mm")</f>
        <v/>
      </c>
    </row>
    <row r="1415">
      <c r="B1415" s="3" t="inlineStr">
        <is>
          <t>Pairing ID</t>
        </is>
      </c>
      <c r="C1415" s="3" t="inlineStr">
        <is>
          <t>FECHA REAL</t>
        </is>
      </c>
      <c r="D1415" s="3" t="inlineStr">
        <is>
          <t>Day of Week</t>
        </is>
      </c>
      <c r="E1415" s="3" t="inlineStr">
        <is>
          <t>Flight No</t>
        </is>
      </c>
      <c r="F1415" s="3" t="inlineStr">
        <is>
          <t>Dep Stn</t>
        </is>
      </c>
      <c r="G1415" s="3" t="inlineStr">
        <is>
          <t>Arr Stn</t>
        </is>
      </c>
      <c r="H1415" s="3" t="inlineStr">
        <is>
          <t>STD</t>
        </is>
      </c>
      <c r="I1415" s="3" t="inlineStr">
        <is>
          <t>STA</t>
        </is>
      </c>
      <c r="J1415" s="3" t="inlineStr">
        <is>
          <t>subflota</t>
        </is>
      </c>
      <c r="K1415" s="3" t="inlineStr">
        <is>
          <t>Conexion</t>
        </is>
      </c>
      <c r="L1415" s="3" t="inlineStr">
        <is>
          <t>HBT</t>
        </is>
      </c>
    </row>
    <row r="1416">
      <c r="B1416" s="4" t="n">
        <v>1409</v>
      </c>
      <c r="C1416" s="4" t="inlineStr">
        <is>
          <t>16/09/2026</t>
        </is>
      </c>
      <c r="D1416" s="4" t="inlineStr">
        <is>
          <t>miércoles</t>
        </is>
      </c>
      <c r="E1416" s="4" t="n">
        <v>2019</v>
      </c>
      <c r="F1416" s="4" t="inlineStr">
        <is>
          <t>LIM</t>
        </is>
      </c>
      <c r="G1416" s="4" t="inlineStr">
        <is>
          <t>IQT</t>
        </is>
      </c>
      <c r="H1416" s="4" t="inlineStr">
        <is>
          <t>11:35:00</t>
        </is>
      </c>
      <c r="I1416" s="4" t="inlineStr">
        <is>
          <t>13:25:00</t>
        </is>
      </c>
      <c r="J1416" s="4" t="n">
        <v>320</v>
      </c>
      <c r="L1416" s="4" t="inlineStr">
        <is>
          <t>01:50:00</t>
        </is>
      </c>
      <c r="M1416" s="5" t="n"/>
      <c r="N1416" s="6" t="n"/>
      <c r="O1416" s="5" t="n"/>
      <c r="Q1416" s="4">
        <f>B1416</f>
        <v/>
      </c>
      <c r="R1416" s="4">
        <f>C1416</f>
        <v/>
      </c>
      <c r="S1416" s="4">
        <f>D1416</f>
        <v/>
      </c>
      <c r="T1416" s="4">
        <f>E1416&amp;"/"&amp;E1417</f>
        <v/>
      </c>
      <c r="U1416" s="4">
        <f>F1416&amp;"-"&amp;G1416&amp;"-"&amp;F1416</f>
        <v/>
      </c>
      <c r="V1416" s="4">
        <f>IF($M$1416="","",$M$1416)</f>
        <v/>
      </c>
      <c r="W1416" s="4">
        <f>IF($O$1416="","",$O$1416)</f>
        <v/>
      </c>
      <c r="X1416" s="4">
        <f>J1416</f>
        <v/>
      </c>
    </row>
    <row r="1417">
      <c r="B1417" s="4" t="n">
        <v>1409</v>
      </c>
      <c r="C1417" s="4" t="inlineStr">
        <is>
          <t>16/09/2026</t>
        </is>
      </c>
      <c r="D1417" s="4" t="inlineStr">
        <is>
          <t>miércoles</t>
        </is>
      </c>
      <c r="E1417" s="4" t="n">
        <v>2038</v>
      </c>
      <c r="F1417" s="4" t="inlineStr">
        <is>
          <t>IQT</t>
        </is>
      </c>
      <c r="G1417" s="4" t="inlineStr">
        <is>
          <t>LIM</t>
        </is>
      </c>
      <c r="H1417" s="4" t="inlineStr">
        <is>
          <t>14:05:00</t>
        </is>
      </c>
      <c r="I1417" s="4" t="inlineStr">
        <is>
          <t>15:55:00</t>
        </is>
      </c>
      <c r="J1417" s="4" t="n">
        <v>320</v>
      </c>
      <c r="K1417">
        <f>TEXT(TIMEVALUE(H1417)-TIMEVALUE(I1416)+(TIMEVALUE(H1417)&lt;TIMEVALUE(I1416)),"[h]:mm")</f>
        <v/>
      </c>
      <c r="L1417" s="4" t="inlineStr">
        <is>
          <t>01:50:00</t>
        </is>
      </c>
      <c r="O1417">
        <f>"LIM-"&amp;G1416&amp;"-LIM   LA "&amp;E1416&amp;" ("&amp;LEFT(H1416,5)&amp;"-"&amp;LEFT(I1416,5)&amp;" hrs)  /  LA "&amp;E1417&amp;" ("&amp;LEFT(H1417,5)&amp;"-"&amp;LEFT(I1417,5)&amp;" hrs)"</f>
        <v/>
      </c>
    </row>
    <row r="1418">
      <c r="B1418" s="4" t="n">
        <v>1441</v>
      </c>
      <c r="C1418" s="4" t="inlineStr">
        <is>
          <t>16/09/2026</t>
        </is>
      </c>
      <c r="D1418" s="4" t="inlineStr">
        <is>
          <t>miércoles</t>
        </is>
      </c>
      <c r="E1418" s="4" t="n">
        <v>2115</v>
      </c>
      <c r="F1418" s="4" t="inlineStr">
        <is>
          <t>LIM</t>
        </is>
      </c>
      <c r="G1418" s="4" t="inlineStr">
        <is>
          <t>AQP</t>
        </is>
      </c>
      <c r="H1418" s="4" t="inlineStr">
        <is>
          <t>17:15:00</t>
        </is>
      </c>
      <c r="I1418" s="4" t="inlineStr">
        <is>
          <t>18:45:00</t>
        </is>
      </c>
      <c r="J1418" s="4" t="n">
        <v>320</v>
      </c>
      <c r="K1418" s="7">
        <f>TEXT(TIMEVALUE(H1418)-TIMEVALUE(I1417)+(TIMEVALUE(H1418)&lt;TIMEVALUE(I1417)),"[h]:mm")</f>
        <v/>
      </c>
      <c r="L1418" s="4" t="inlineStr">
        <is>
          <t>01:30:00</t>
        </is>
      </c>
      <c r="M1418">
        <f>IF($M$1416="","",$M$1416)</f>
        <v/>
      </c>
      <c r="O1418">
        <f>IF($O$1416="","",$O$1416)</f>
        <v/>
      </c>
      <c r="Q1418" s="4">
        <f>B1418</f>
        <v/>
      </c>
      <c r="R1418" s="4">
        <f>C1418</f>
        <v/>
      </c>
      <c r="S1418" s="4">
        <f>D1418</f>
        <v/>
      </c>
      <c r="T1418" s="4">
        <f>E1418&amp;"/"&amp;E1419</f>
        <v/>
      </c>
      <c r="U1418" s="4">
        <f>F1418&amp;"-"&amp;G1418&amp;"-"&amp;F1418</f>
        <v/>
      </c>
      <c r="V1418" s="4">
        <f>IF($M$1416="","",$M$1416)</f>
        <v/>
      </c>
      <c r="W1418" s="4">
        <f>IF($O$1416="","",$O$1416)</f>
        <v/>
      </c>
      <c r="X1418" s="4">
        <f>J1418</f>
        <v/>
      </c>
    </row>
    <row r="1419">
      <c r="B1419" s="4" t="n">
        <v>1441</v>
      </c>
      <c r="C1419" s="4" t="inlineStr">
        <is>
          <t>16/09/2026</t>
        </is>
      </c>
      <c r="D1419" s="4" t="inlineStr">
        <is>
          <t>miércoles</t>
        </is>
      </c>
      <c r="E1419" s="4" t="n">
        <v>2114</v>
      </c>
      <c r="F1419" s="4" t="inlineStr">
        <is>
          <t>AQP</t>
        </is>
      </c>
      <c r="G1419" s="4" t="inlineStr">
        <is>
          <t>LIM</t>
        </is>
      </c>
      <c r="H1419" s="4" t="inlineStr">
        <is>
          <t>19:20:00</t>
        </is>
      </c>
      <c r="I1419" s="4" t="inlineStr">
        <is>
          <t>20:55:00</t>
        </is>
      </c>
      <c r="J1419" s="4" t="n">
        <v>320</v>
      </c>
      <c r="K1419">
        <f>TEXT(TIMEVALUE(H1419)-TIMEVALUE(I1418)+(TIMEVALUE(H1419)&lt;TIMEVALUE(I1418)),"[h]:mm")</f>
        <v/>
      </c>
      <c r="L1419" s="4" t="inlineStr">
        <is>
          <t>01:35:00</t>
        </is>
      </c>
      <c r="O1419">
        <f>"LIM-"&amp;G1418&amp;"-LIM   LA "&amp;E1418&amp;" ("&amp;LEFT(H1418,5)&amp;"-"&amp;LEFT(I1418,5)&amp;" hrs)  /  LA "&amp;E1419&amp;" ("&amp;LEFT(H1419,5)&amp;"-"&amp;LEFT(I1419,5)&amp;" hrs)"</f>
        <v/>
      </c>
    </row>
    <row r="1420">
      <c r="J1420" s="8" t="inlineStr">
        <is>
          <t>PSV total:</t>
        </is>
      </c>
      <c r="K1420" s="9">
        <f>TEXT(TIMEVALUE(I1419)-TIMEVALUE(H1416)+(I1419&lt;H1416),"[h]:mm")</f>
        <v/>
      </c>
    </row>
    <row r="1422">
      <c r="B1422" s="3" t="inlineStr">
        <is>
          <t>Pairing ID</t>
        </is>
      </c>
      <c r="C1422" s="3" t="inlineStr">
        <is>
          <t>FECHA REAL</t>
        </is>
      </c>
      <c r="D1422" s="3" t="inlineStr">
        <is>
          <t>Day of Week</t>
        </is>
      </c>
      <c r="E1422" s="3" t="inlineStr">
        <is>
          <t>Flight No</t>
        </is>
      </c>
      <c r="F1422" s="3" t="inlineStr">
        <is>
          <t>Dep Stn</t>
        </is>
      </c>
      <c r="G1422" s="3" t="inlineStr">
        <is>
          <t>Arr Stn</t>
        </is>
      </c>
      <c r="H1422" s="3" t="inlineStr">
        <is>
          <t>STD</t>
        </is>
      </c>
      <c r="I1422" s="3" t="inlineStr">
        <is>
          <t>STA</t>
        </is>
      </c>
      <c r="J1422" s="3" t="inlineStr">
        <is>
          <t>subflota</t>
        </is>
      </c>
      <c r="K1422" s="3" t="inlineStr">
        <is>
          <t>Conexion</t>
        </is>
      </c>
      <c r="L1422" s="3" t="inlineStr">
        <is>
          <t>HBT</t>
        </is>
      </c>
    </row>
    <row r="1423">
      <c r="B1423" s="4" t="n">
        <v>1412</v>
      </c>
      <c r="C1423" s="4" t="inlineStr">
        <is>
          <t>16/09/2026</t>
        </is>
      </c>
      <c r="D1423" s="4" t="inlineStr">
        <is>
          <t>miércoles</t>
        </is>
      </c>
      <c r="E1423" s="4" t="n">
        <v>2061</v>
      </c>
      <c r="F1423" s="4" t="inlineStr">
        <is>
          <t>LIM</t>
        </is>
      </c>
      <c r="G1423" s="4" t="inlineStr">
        <is>
          <t>CUZ</t>
        </is>
      </c>
      <c r="H1423" s="4" t="inlineStr">
        <is>
          <t>11:40:00</t>
        </is>
      </c>
      <c r="I1423" s="4" t="inlineStr">
        <is>
          <t>13:00:00</t>
        </is>
      </c>
      <c r="J1423" s="4" t="n">
        <v>320</v>
      </c>
      <c r="L1423" s="4" t="inlineStr">
        <is>
          <t>01:20:00</t>
        </is>
      </c>
      <c r="M1423" s="5" t="n"/>
      <c r="N1423" s="6" t="n"/>
      <c r="O1423" s="5" t="n"/>
      <c r="Q1423" s="4">
        <f>B1423</f>
        <v/>
      </c>
      <c r="R1423" s="4">
        <f>C1423</f>
        <v/>
      </c>
      <c r="S1423" s="4">
        <f>D1423</f>
        <v/>
      </c>
      <c r="T1423" s="4">
        <f>E1423&amp;"/"&amp;E1424</f>
        <v/>
      </c>
      <c r="U1423" s="4">
        <f>F1423&amp;"-"&amp;G1423&amp;"-"&amp;F1423</f>
        <v/>
      </c>
      <c r="V1423" s="4">
        <f>IF($M$1423="","",$M$1423)</f>
        <v/>
      </c>
      <c r="W1423" s="4">
        <f>IF($O$1423="","",$O$1423)</f>
        <v/>
      </c>
      <c r="X1423" s="4">
        <f>J1423</f>
        <v/>
      </c>
    </row>
    <row r="1424">
      <c r="B1424" s="4" t="n">
        <v>1412</v>
      </c>
      <c r="C1424" s="4" t="inlineStr">
        <is>
          <t>16/09/2026</t>
        </is>
      </c>
      <c r="D1424" s="4" t="inlineStr">
        <is>
          <t>miércoles</t>
        </is>
      </c>
      <c r="E1424" s="4" t="n">
        <v>2062</v>
      </c>
      <c r="F1424" s="4" t="inlineStr">
        <is>
          <t>CUZ</t>
        </is>
      </c>
      <c r="G1424" s="4" t="inlineStr">
        <is>
          <t>LIM</t>
        </is>
      </c>
      <c r="H1424" s="4" t="inlineStr">
        <is>
          <t>13:40:00</t>
        </is>
      </c>
      <c r="I1424" s="4" t="inlineStr">
        <is>
          <t>15:15:00</t>
        </is>
      </c>
      <c r="J1424" s="4" t="n">
        <v>320</v>
      </c>
      <c r="K1424">
        <f>TEXT(TIMEVALUE(H1424)-TIMEVALUE(I1423)+(TIMEVALUE(H1424)&lt;TIMEVALUE(I1423)),"[h]:mm")</f>
        <v/>
      </c>
      <c r="L1424" s="4" t="inlineStr">
        <is>
          <t>01:35:00</t>
        </is>
      </c>
      <c r="O1424">
        <f>"LIM-"&amp;G1423&amp;"-LIM   LA "&amp;E1423&amp;" ("&amp;LEFT(H1423,5)&amp;"-"&amp;LEFT(I1423,5)&amp;" hrs)  /  LA "&amp;E1424&amp;" ("&amp;LEFT(H1424,5)&amp;"-"&amp;LEFT(I1424,5)&amp;" hrs)"</f>
        <v/>
      </c>
    </row>
    <row r="1425">
      <c r="B1425" s="4" t="n">
        <v>1439</v>
      </c>
      <c r="C1425" s="4" t="inlineStr">
        <is>
          <t>16/09/2026</t>
        </is>
      </c>
      <c r="D1425" s="4" t="inlineStr">
        <is>
          <t>miércoles</t>
        </is>
      </c>
      <c r="E1425" s="4" t="n">
        <v>2127</v>
      </c>
      <c r="F1425" s="4" t="inlineStr">
        <is>
          <t>LIM</t>
        </is>
      </c>
      <c r="G1425" s="4" t="inlineStr">
        <is>
          <t>CUZ</t>
        </is>
      </c>
      <c r="H1425" s="4" t="inlineStr">
        <is>
          <t>16:10:00</t>
        </is>
      </c>
      <c r="I1425" s="4" t="inlineStr">
        <is>
          <t>17:30:00</t>
        </is>
      </c>
      <c r="J1425" s="4" t="n">
        <v>320</v>
      </c>
      <c r="K1425" s="7">
        <f>TEXT(TIMEVALUE(H1425)-TIMEVALUE(I1424)+(TIMEVALUE(H1425)&lt;TIMEVALUE(I1424)),"[h]:mm")</f>
        <v/>
      </c>
      <c r="L1425" s="4" t="inlineStr">
        <is>
          <t>01:20:00</t>
        </is>
      </c>
      <c r="M1425">
        <f>IF($M$1423="","",$M$1423)</f>
        <v/>
      </c>
      <c r="O1425">
        <f>IF($O$1423="","",$O$1423)</f>
        <v/>
      </c>
      <c r="Q1425" s="4">
        <f>B1425</f>
        <v/>
      </c>
      <c r="R1425" s="4">
        <f>C1425</f>
        <v/>
      </c>
      <c r="S1425" s="4">
        <f>D1425</f>
        <v/>
      </c>
      <c r="T1425" s="4">
        <f>E1425&amp;"/"&amp;E1426</f>
        <v/>
      </c>
      <c r="U1425" s="4">
        <f>F1425&amp;"-"&amp;G1425&amp;"-"&amp;F1425</f>
        <v/>
      </c>
      <c r="V1425" s="4">
        <f>IF($M$1423="","",$M$1423)</f>
        <v/>
      </c>
      <c r="W1425" s="4">
        <f>IF($O$1423="","",$O$1423)</f>
        <v/>
      </c>
      <c r="X1425" s="4">
        <f>J1425</f>
        <v/>
      </c>
    </row>
    <row r="1426">
      <c r="B1426" s="4" t="n">
        <v>1439</v>
      </c>
      <c r="C1426" s="4" t="inlineStr">
        <is>
          <t>16/09/2026</t>
        </is>
      </c>
      <c r="D1426" s="4" t="inlineStr">
        <is>
          <t>miércoles</t>
        </is>
      </c>
      <c r="E1426" s="4" t="n">
        <v>2026</v>
      </c>
      <c r="F1426" s="4" t="inlineStr">
        <is>
          <t>CUZ</t>
        </is>
      </c>
      <c r="G1426" s="4" t="inlineStr">
        <is>
          <t>LIM</t>
        </is>
      </c>
      <c r="H1426" s="4" t="inlineStr">
        <is>
          <t>18:10:00</t>
        </is>
      </c>
      <c r="I1426" s="4" t="inlineStr">
        <is>
          <t>19:50:00</t>
        </is>
      </c>
      <c r="J1426" s="4" t="n">
        <v>320</v>
      </c>
      <c r="K1426">
        <f>TEXT(TIMEVALUE(H1426)-TIMEVALUE(I1425)+(TIMEVALUE(H1426)&lt;TIMEVALUE(I1425)),"[h]:mm")</f>
        <v/>
      </c>
      <c r="L1426" s="4" t="inlineStr">
        <is>
          <t>01:40:00</t>
        </is>
      </c>
      <c r="O1426">
        <f>"LIM-"&amp;G1425&amp;"-LIM   LA "&amp;E1425&amp;" ("&amp;LEFT(H1425,5)&amp;"-"&amp;LEFT(I1425,5)&amp;" hrs)  /  LA "&amp;E1426&amp;" ("&amp;LEFT(H1426,5)&amp;"-"&amp;LEFT(I1426,5)&amp;" hrs)"</f>
        <v/>
      </c>
    </row>
    <row r="1427">
      <c r="J1427" s="8" t="inlineStr">
        <is>
          <t>PSV total:</t>
        </is>
      </c>
      <c r="K1427" s="9">
        <f>TEXT(TIMEVALUE(I1426)-TIMEVALUE(H1423)+(I1426&lt;H1423),"[h]:mm")</f>
        <v/>
      </c>
    </row>
    <row r="1429">
      <c r="B1429" s="3" t="inlineStr">
        <is>
          <t>Pairing ID</t>
        </is>
      </c>
      <c r="C1429" s="3" t="inlineStr">
        <is>
          <t>FECHA REAL</t>
        </is>
      </c>
      <c r="D1429" s="3" t="inlineStr">
        <is>
          <t>Day of Week</t>
        </is>
      </c>
      <c r="E1429" s="3" t="inlineStr">
        <is>
          <t>Flight No</t>
        </is>
      </c>
      <c r="F1429" s="3" t="inlineStr">
        <is>
          <t>Dep Stn</t>
        </is>
      </c>
      <c r="G1429" s="3" t="inlineStr">
        <is>
          <t>Arr Stn</t>
        </is>
      </c>
      <c r="H1429" s="3" t="inlineStr">
        <is>
          <t>STD</t>
        </is>
      </c>
      <c r="I1429" s="3" t="inlineStr">
        <is>
          <t>STA</t>
        </is>
      </c>
      <c r="J1429" s="3" t="inlineStr">
        <is>
          <t>subflota</t>
        </is>
      </c>
      <c r="K1429" s="3" t="inlineStr">
        <is>
          <t>Conexion</t>
        </is>
      </c>
      <c r="L1429" s="3" t="inlineStr">
        <is>
          <t>HBT</t>
        </is>
      </c>
    </row>
    <row r="1430">
      <c r="B1430" s="4" t="n">
        <v>1414</v>
      </c>
      <c r="C1430" s="4" t="inlineStr">
        <is>
          <t>16/09/2026</t>
        </is>
      </c>
      <c r="D1430" s="4" t="inlineStr">
        <is>
          <t>miércoles</t>
        </is>
      </c>
      <c r="E1430" s="4" t="n">
        <v>2023</v>
      </c>
      <c r="F1430" s="4" t="inlineStr">
        <is>
          <t>LIM</t>
        </is>
      </c>
      <c r="G1430" s="4" t="inlineStr">
        <is>
          <t>PEM</t>
        </is>
      </c>
      <c r="H1430" s="4" t="inlineStr">
        <is>
          <t>12:15:00</t>
        </is>
      </c>
      <c r="I1430" s="4" t="inlineStr">
        <is>
          <t>13:55:00</t>
        </is>
      </c>
      <c r="J1430" s="4" t="n">
        <v>319</v>
      </c>
      <c r="L1430" s="4" t="inlineStr">
        <is>
          <t>01:40:00</t>
        </is>
      </c>
      <c r="M1430" s="5" t="n"/>
      <c r="N1430" s="6" t="n"/>
      <c r="O1430" s="5" t="n"/>
      <c r="Q1430" s="4">
        <f>B1430</f>
        <v/>
      </c>
      <c r="R1430" s="4">
        <f>C1430</f>
        <v/>
      </c>
      <c r="S1430" s="4">
        <f>D1430</f>
        <v/>
      </c>
      <c r="T1430" s="4">
        <f>E1430&amp;"/"&amp;E1431</f>
        <v/>
      </c>
      <c r="U1430" s="4">
        <f>F1430&amp;"-"&amp;G1430&amp;"-"&amp;F1430</f>
        <v/>
      </c>
      <c r="V1430" s="4">
        <f>IF($M$1430="","",$M$1430)</f>
        <v/>
      </c>
      <c r="W1430" s="4">
        <f>IF($O$1430="","",$O$1430)</f>
        <v/>
      </c>
      <c r="X1430" s="4">
        <f>J1430</f>
        <v/>
      </c>
    </row>
    <row r="1431">
      <c r="B1431" s="4" t="n">
        <v>1414</v>
      </c>
      <c r="C1431" s="4" t="inlineStr">
        <is>
          <t>16/09/2026</t>
        </is>
      </c>
      <c r="D1431" s="4" t="inlineStr">
        <is>
          <t>miércoles</t>
        </is>
      </c>
      <c r="E1431" s="4" t="n">
        <v>2024</v>
      </c>
      <c r="F1431" s="4" t="inlineStr">
        <is>
          <t>PEM</t>
        </is>
      </c>
      <c r="G1431" s="4" t="inlineStr">
        <is>
          <t>LIM</t>
        </is>
      </c>
      <c r="H1431" s="4" t="inlineStr">
        <is>
          <t>14:35:00</t>
        </is>
      </c>
      <c r="I1431" s="4" t="inlineStr">
        <is>
          <t>16:10:00</t>
        </is>
      </c>
      <c r="J1431" s="4" t="n">
        <v>319</v>
      </c>
      <c r="K1431">
        <f>TEXT(TIMEVALUE(H1431)-TIMEVALUE(I1430)+(TIMEVALUE(H1431)&lt;TIMEVALUE(I1430)),"[h]:mm")</f>
        <v/>
      </c>
      <c r="L1431" s="4" t="inlineStr">
        <is>
          <t>01:35:00</t>
        </is>
      </c>
      <c r="O1431">
        <f>"LIM-"&amp;G1430&amp;"-LIM   LA "&amp;E1430&amp;" ("&amp;LEFT(H1430,5)&amp;"-"&amp;LEFT(I1430,5)&amp;" hrs)  /  LA "&amp;E1431&amp;" ("&amp;LEFT(H1431,5)&amp;"-"&amp;LEFT(I1431,5)&amp;" hrs)"</f>
        <v/>
      </c>
    </row>
    <row r="1432">
      <c r="J1432" s="8" t="inlineStr">
        <is>
          <t>PSV total:</t>
        </is>
      </c>
      <c r="K1432" s="9">
        <f>TEXT(TIMEVALUE(I1431)-TIMEVALUE(H1430)+(I1431&lt;H1430),"[h]:mm")</f>
        <v/>
      </c>
    </row>
    <row r="1434">
      <c r="B1434" s="3" t="inlineStr">
        <is>
          <t>Pairing ID</t>
        </is>
      </c>
      <c r="C1434" s="3" t="inlineStr">
        <is>
          <t>FECHA REAL</t>
        </is>
      </c>
      <c r="D1434" s="3" t="inlineStr">
        <is>
          <t>Day of Week</t>
        </is>
      </c>
      <c r="E1434" s="3" t="inlineStr">
        <is>
          <t>Flight No</t>
        </is>
      </c>
      <c r="F1434" s="3" t="inlineStr">
        <is>
          <t>Dep Stn</t>
        </is>
      </c>
      <c r="G1434" s="3" t="inlineStr">
        <is>
          <t>Arr Stn</t>
        </is>
      </c>
      <c r="H1434" s="3" t="inlineStr">
        <is>
          <t>STD</t>
        </is>
      </c>
      <c r="I1434" s="3" t="inlineStr">
        <is>
          <t>STA</t>
        </is>
      </c>
      <c r="J1434" s="3" t="inlineStr">
        <is>
          <t>subflota</t>
        </is>
      </c>
      <c r="K1434" s="3" t="inlineStr">
        <is>
          <t>Conexion</t>
        </is>
      </c>
      <c r="L1434" s="3" t="inlineStr">
        <is>
          <t>HBT</t>
        </is>
      </c>
    </row>
    <row r="1435">
      <c r="B1435" s="4" t="n">
        <v>1416</v>
      </c>
      <c r="C1435" s="4" t="inlineStr">
        <is>
          <t>16/09/2026</t>
        </is>
      </c>
      <c r="D1435" s="4" t="inlineStr">
        <is>
          <t>miércoles</t>
        </is>
      </c>
      <c r="E1435" s="4" t="n">
        <v>2120</v>
      </c>
      <c r="F1435" s="4" t="inlineStr">
        <is>
          <t>LIM</t>
        </is>
      </c>
      <c r="G1435" s="4" t="inlineStr">
        <is>
          <t>CUZ</t>
        </is>
      </c>
      <c r="H1435" s="4" t="inlineStr">
        <is>
          <t>12:35:00</t>
        </is>
      </c>
      <c r="I1435" s="4" t="inlineStr">
        <is>
          <t>13:55:00</t>
        </is>
      </c>
      <c r="J1435" s="4" t="n">
        <v>320</v>
      </c>
      <c r="L1435" s="4" t="inlineStr">
        <is>
          <t>01:20:00</t>
        </is>
      </c>
      <c r="M1435" s="5" t="n"/>
      <c r="N1435" s="6" t="n"/>
      <c r="O1435" s="5" t="n"/>
      <c r="Q1435" s="4">
        <f>B1435</f>
        <v/>
      </c>
      <c r="R1435" s="4">
        <f>C1435</f>
        <v/>
      </c>
      <c r="S1435" s="4">
        <f>D1435</f>
        <v/>
      </c>
      <c r="T1435" s="4">
        <f>E1435&amp;"/"&amp;E1436</f>
        <v/>
      </c>
      <c r="U1435" s="4">
        <f>F1435&amp;"-"&amp;G1435&amp;"-"&amp;F1435</f>
        <v/>
      </c>
      <c r="V1435" s="4">
        <f>IF($M$1435="","",$M$1435)</f>
        <v/>
      </c>
      <c r="W1435" s="4">
        <f>IF($O$1435="","",$O$1435)</f>
        <v/>
      </c>
      <c r="X1435" s="4">
        <f>J1435</f>
        <v/>
      </c>
    </row>
    <row r="1436">
      <c r="B1436" s="4" t="n">
        <v>1416</v>
      </c>
      <c r="C1436" s="4" t="inlineStr">
        <is>
          <t>16/09/2026</t>
        </is>
      </c>
      <c r="D1436" s="4" t="inlineStr">
        <is>
          <t>miércoles</t>
        </is>
      </c>
      <c r="E1436" s="4" t="n">
        <v>2121</v>
      </c>
      <c r="F1436" s="4" t="inlineStr">
        <is>
          <t>CUZ</t>
        </is>
      </c>
      <c r="G1436" s="4" t="inlineStr">
        <is>
          <t>LIM</t>
        </is>
      </c>
      <c r="H1436" s="4" t="inlineStr">
        <is>
          <t>17:35:00</t>
        </is>
      </c>
      <c r="I1436" s="4" t="inlineStr">
        <is>
          <t>19:10:00</t>
        </is>
      </c>
      <c r="J1436" s="4" t="n">
        <v>320</v>
      </c>
      <c r="K1436">
        <f>TEXT(TIMEVALUE(H1436)-TIMEVALUE(I1435)+(TIMEVALUE(H1436)&lt;TIMEVALUE(I1435)),"[h]:mm")</f>
        <v/>
      </c>
      <c r="L1436" s="4" t="inlineStr">
        <is>
          <t>01:35:00</t>
        </is>
      </c>
      <c r="O1436">
        <f>"LIM-"&amp;G1435&amp;"-LIM   LA "&amp;E1435&amp;" ("&amp;LEFT(H1435,5)&amp;"-"&amp;LEFT(I1435,5)&amp;" hrs)  /  LA "&amp;E1436&amp;" ("&amp;LEFT(H1436,5)&amp;"-"&amp;LEFT(I1436,5)&amp;" hrs)"</f>
        <v/>
      </c>
    </row>
    <row r="1437">
      <c r="J1437" s="8" t="inlineStr">
        <is>
          <t>PSV total:</t>
        </is>
      </c>
      <c r="K1437" s="9">
        <f>TEXT(TIMEVALUE(I1436)-TIMEVALUE(H1435)+(I1436&lt;H1435),"[h]:mm")</f>
        <v/>
      </c>
    </row>
    <row r="1439">
      <c r="B1439" s="3" t="inlineStr">
        <is>
          <t>Pairing ID</t>
        </is>
      </c>
      <c r="C1439" s="3" t="inlineStr">
        <is>
          <t>FECHA REAL</t>
        </is>
      </c>
      <c r="D1439" s="3" t="inlineStr">
        <is>
          <t>Day of Week</t>
        </is>
      </c>
      <c r="E1439" s="3" t="inlineStr">
        <is>
          <t>Flight No</t>
        </is>
      </c>
      <c r="F1439" s="3" t="inlineStr">
        <is>
          <t>Dep Stn</t>
        </is>
      </c>
      <c r="G1439" s="3" t="inlineStr">
        <is>
          <t>Arr Stn</t>
        </is>
      </c>
      <c r="H1439" s="3" t="inlineStr">
        <is>
          <t>STD</t>
        </is>
      </c>
      <c r="I1439" s="3" t="inlineStr">
        <is>
          <t>STA</t>
        </is>
      </c>
      <c r="J1439" s="3" t="inlineStr">
        <is>
          <t>subflota</t>
        </is>
      </c>
      <c r="K1439" s="3" t="inlineStr">
        <is>
          <t>Conexion</t>
        </is>
      </c>
      <c r="L1439" s="3" t="inlineStr">
        <is>
          <t>HBT</t>
        </is>
      </c>
    </row>
    <row r="1440">
      <c r="B1440" s="4" t="n">
        <v>1417</v>
      </c>
      <c r="C1440" s="4" t="inlineStr">
        <is>
          <t>16/09/2026</t>
        </is>
      </c>
      <c r="D1440" s="4" t="inlineStr">
        <is>
          <t>miércoles</t>
        </is>
      </c>
      <c r="E1440" s="4" t="n">
        <v>2120</v>
      </c>
      <c r="F1440" s="4" t="inlineStr">
        <is>
          <t>LIM</t>
        </is>
      </c>
      <c r="G1440" s="4" t="inlineStr">
        <is>
          <t>CUZ</t>
        </is>
      </c>
      <c r="H1440" s="4" t="inlineStr">
        <is>
          <t>12:35:00</t>
        </is>
      </c>
      <c r="I1440" s="4" t="inlineStr">
        <is>
          <t>13:55:00</t>
        </is>
      </c>
      <c r="J1440" s="4" t="n">
        <v>320</v>
      </c>
      <c r="L1440" s="4" t="inlineStr">
        <is>
          <t>01:20:00</t>
        </is>
      </c>
      <c r="M1440" s="5" t="n"/>
      <c r="N1440" s="6" t="n"/>
      <c r="O1440" s="5" t="n"/>
      <c r="Q1440" s="4">
        <f>B1440</f>
        <v/>
      </c>
      <c r="R1440" s="4">
        <f>C1440</f>
        <v/>
      </c>
      <c r="S1440" s="4">
        <f>D1440</f>
        <v/>
      </c>
      <c r="T1440" s="4">
        <f>E1440&amp;"/"&amp;E1441</f>
        <v/>
      </c>
      <c r="U1440" s="4">
        <f>F1440&amp;"-"&amp;G1440&amp;"-"&amp;F1440</f>
        <v/>
      </c>
      <c r="V1440" s="4">
        <f>IF($M$1440="","",$M$1440)</f>
        <v/>
      </c>
      <c r="W1440" s="4">
        <f>IF($O$1440="","",$O$1440)</f>
        <v/>
      </c>
      <c r="X1440" s="4">
        <f>J1440</f>
        <v/>
      </c>
    </row>
    <row r="1441">
      <c r="B1441" s="4" t="n">
        <v>1417</v>
      </c>
      <c r="C1441" s="4" t="inlineStr">
        <is>
          <t>16/09/2026</t>
        </is>
      </c>
      <c r="D1441" s="4" t="inlineStr">
        <is>
          <t>miércoles</t>
        </is>
      </c>
      <c r="E1441" s="4" t="n">
        <v>2121</v>
      </c>
      <c r="F1441" s="4" t="inlineStr">
        <is>
          <t>CUZ</t>
        </is>
      </c>
      <c r="G1441" s="4" t="inlineStr">
        <is>
          <t>LIM</t>
        </is>
      </c>
      <c r="H1441" s="4" t="inlineStr">
        <is>
          <t>17:35:00</t>
        </is>
      </c>
      <c r="I1441" s="4" t="inlineStr">
        <is>
          <t>19:10:00</t>
        </is>
      </c>
      <c r="J1441" s="4" t="n">
        <v>320</v>
      </c>
      <c r="K1441">
        <f>TEXT(TIMEVALUE(H1441)-TIMEVALUE(I1440)+(TIMEVALUE(H1441)&lt;TIMEVALUE(I1440)),"[h]:mm")</f>
        <v/>
      </c>
      <c r="L1441" s="4" t="inlineStr">
        <is>
          <t>01:35:00</t>
        </is>
      </c>
      <c r="O1441">
        <f>"LIM-"&amp;G1440&amp;"-LIM   LA "&amp;E1440&amp;" ("&amp;LEFT(H1440,5)&amp;"-"&amp;LEFT(I1440,5)&amp;" hrs)  /  LA "&amp;E1441&amp;" ("&amp;LEFT(H1441,5)&amp;"-"&amp;LEFT(I1441,5)&amp;" hrs)"</f>
        <v/>
      </c>
    </row>
    <row r="1442">
      <c r="J1442" s="8" t="inlineStr">
        <is>
          <t>PSV total:</t>
        </is>
      </c>
      <c r="K1442" s="9">
        <f>TEXT(TIMEVALUE(I1441)-TIMEVALUE(H1440)+(I1441&lt;H1440),"[h]:mm")</f>
        <v/>
      </c>
    </row>
    <row r="1444">
      <c r="B1444" s="3" t="inlineStr">
        <is>
          <t>Pairing ID</t>
        </is>
      </c>
      <c r="C1444" s="3" t="inlineStr">
        <is>
          <t>FECHA REAL</t>
        </is>
      </c>
      <c r="D1444" s="3" t="inlineStr">
        <is>
          <t>Day of Week</t>
        </is>
      </c>
      <c r="E1444" s="3" t="inlineStr">
        <is>
          <t>Flight No</t>
        </is>
      </c>
      <c r="F1444" s="3" t="inlineStr">
        <is>
          <t>Dep Stn</t>
        </is>
      </c>
      <c r="G1444" s="3" t="inlineStr">
        <is>
          <t>Arr Stn</t>
        </is>
      </c>
      <c r="H1444" s="3" t="inlineStr">
        <is>
          <t>STD</t>
        </is>
      </c>
      <c r="I1444" s="3" t="inlineStr">
        <is>
          <t>STA</t>
        </is>
      </c>
      <c r="J1444" s="3" t="inlineStr">
        <is>
          <t>subflota</t>
        </is>
      </c>
      <c r="K1444" s="3" t="inlineStr">
        <is>
          <t>Conexion</t>
        </is>
      </c>
      <c r="L1444" s="3" t="inlineStr">
        <is>
          <t>HBT</t>
        </is>
      </c>
    </row>
    <row r="1445">
      <c r="B1445" s="4" t="n">
        <v>1419</v>
      </c>
      <c r="C1445" s="4" t="inlineStr">
        <is>
          <t>16/09/2026</t>
        </is>
      </c>
      <c r="D1445" s="4" t="inlineStr">
        <is>
          <t>miércoles</t>
        </is>
      </c>
      <c r="E1445" s="4" t="n">
        <v>2043</v>
      </c>
      <c r="F1445" s="4" t="inlineStr">
        <is>
          <t>LIM</t>
        </is>
      </c>
      <c r="G1445" s="4" t="inlineStr">
        <is>
          <t>AQP</t>
        </is>
      </c>
      <c r="H1445" s="4" t="inlineStr">
        <is>
          <t>12:45:00</t>
        </is>
      </c>
      <c r="I1445" s="4" t="inlineStr">
        <is>
          <t>14:15:00</t>
        </is>
      </c>
      <c r="J1445" s="4" t="n">
        <v>320</v>
      </c>
      <c r="L1445" s="4" t="inlineStr">
        <is>
          <t>01:30:00</t>
        </is>
      </c>
      <c r="M1445" s="5" t="n"/>
      <c r="N1445" s="6" t="n"/>
      <c r="O1445" s="5" t="n"/>
      <c r="Q1445" s="4">
        <f>B1445</f>
        <v/>
      </c>
      <c r="R1445" s="4">
        <f>C1445</f>
        <v/>
      </c>
      <c r="S1445" s="4">
        <f>D1445</f>
        <v/>
      </c>
      <c r="T1445" s="4">
        <f>E1445&amp;"/"&amp;E1446</f>
        <v/>
      </c>
      <c r="U1445" s="4">
        <f>F1445&amp;"-"&amp;G1445&amp;"-"&amp;F1445</f>
        <v/>
      </c>
      <c r="V1445" s="4">
        <f>IF($M$1445="","",$M$1445)</f>
        <v/>
      </c>
      <c r="W1445" s="4">
        <f>IF($O$1445="","",$O$1445)</f>
        <v/>
      </c>
      <c r="X1445" s="4">
        <f>J1445</f>
        <v/>
      </c>
    </row>
    <row r="1446">
      <c r="B1446" s="4" t="n">
        <v>1419</v>
      </c>
      <c r="C1446" s="4" t="inlineStr">
        <is>
          <t>16/09/2026</t>
        </is>
      </c>
      <c r="D1446" s="4" t="inlineStr">
        <is>
          <t>miércoles</t>
        </is>
      </c>
      <c r="E1446" s="4" t="n">
        <v>2044</v>
      </c>
      <c r="F1446" s="4" t="inlineStr">
        <is>
          <t>AQP</t>
        </is>
      </c>
      <c r="G1446" s="4" t="inlineStr">
        <is>
          <t>LIM</t>
        </is>
      </c>
      <c r="H1446" s="4" t="inlineStr">
        <is>
          <t>15:00:00</t>
        </is>
      </c>
      <c r="I1446" s="4" t="inlineStr">
        <is>
          <t>16:35:00</t>
        </is>
      </c>
      <c r="J1446" s="4" t="n">
        <v>320</v>
      </c>
      <c r="K1446">
        <f>TEXT(TIMEVALUE(H1446)-TIMEVALUE(I1445)+(TIMEVALUE(H1446)&lt;TIMEVALUE(I1445)),"[h]:mm")</f>
        <v/>
      </c>
      <c r="L1446" s="4" t="inlineStr">
        <is>
          <t>01:35:00</t>
        </is>
      </c>
      <c r="O1446">
        <f>"LIM-"&amp;G1445&amp;"-LIM   LA "&amp;E1445&amp;" ("&amp;LEFT(H1445,5)&amp;"-"&amp;LEFT(I1445,5)&amp;" hrs)  /  LA "&amp;E1446&amp;" ("&amp;LEFT(H1446,5)&amp;"-"&amp;LEFT(I1446,5)&amp;" hrs)"</f>
        <v/>
      </c>
    </row>
    <row r="1447">
      <c r="B1447" s="4" t="n">
        <v>1443</v>
      </c>
      <c r="C1447" s="4" t="inlineStr">
        <is>
          <t>16/09/2026</t>
        </is>
      </c>
      <c r="D1447" s="4" t="inlineStr">
        <is>
          <t>miércoles</t>
        </is>
      </c>
      <c r="E1447" s="4" t="n">
        <v>2236</v>
      </c>
      <c r="F1447" s="4" t="inlineStr">
        <is>
          <t>LIM</t>
        </is>
      </c>
      <c r="G1447" s="4" t="inlineStr">
        <is>
          <t>PIU</t>
        </is>
      </c>
      <c r="H1447" s="4" t="inlineStr">
        <is>
          <t>18:00:00</t>
        </is>
      </c>
      <c r="I1447" s="4" t="inlineStr">
        <is>
          <t>19:40:00</t>
        </is>
      </c>
      <c r="J1447" s="4" t="n">
        <v>320</v>
      </c>
      <c r="K1447" s="7">
        <f>TEXT(TIMEVALUE(H1447)-TIMEVALUE(I1446)+(TIMEVALUE(H1447)&lt;TIMEVALUE(I1446)),"[h]:mm")</f>
        <v/>
      </c>
      <c r="L1447" s="4" t="inlineStr">
        <is>
          <t>01:40:00</t>
        </is>
      </c>
      <c r="M1447">
        <f>IF($M$1445="","",$M$1445)</f>
        <v/>
      </c>
      <c r="O1447">
        <f>IF($O$1445="","",$O$1445)</f>
        <v/>
      </c>
      <c r="Q1447" s="4">
        <f>B1447</f>
        <v/>
      </c>
      <c r="R1447" s="4">
        <f>C1447</f>
        <v/>
      </c>
      <c r="S1447" s="4">
        <f>D1447</f>
        <v/>
      </c>
      <c r="T1447" s="4">
        <f>E1447&amp;"/"&amp;E1448</f>
        <v/>
      </c>
      <c r="U1447" s="4">
        <f>F1447&amp;"-"&amp;G1447&amp;"-"&amp;F1447</f>
        <v/>
      </c>
      <c r="V1447" s="4">
        <f>IF($M$1445="","",$M$1445)</f>
        <v/>
      </c>
      <c r="W1447" s="4">
        <f>IF($O$1445="","",$O$1445)</f>
        <v/>
      </c>
      <c r="X1447" s="4">
        <f>J1447</f>
        <v/>
      </c>
    </row>
    <row r="1448">
      <c r="B1448" s="4" t="n">
        <v>1443</v>
      </c>
      <c r="C1448" s="4" t="inlineStr">
        <is>
          <t>16/09/2026</t>
        </is>
      </c>
      <c r="D1448" s="4" t="inlineStr">
        <is>
          <t>miércoles</t>
        </is>
      </c>
      <c r="E1448" s="4" t="n">
        <v>2237</v>
      </c>
      <c r="F1448" s="4" t="inlineStr">
        <is>
          <t>PIU</t>
        </is>
      </c>
      <c r="G1448" s="4" t="inlineStr">
        <is>
          <t>LIM</t>
        </is>
      </c>
      <c r="H1448" s="4" t="inlineStr">
        <is>
          <t>20:20:00</t>
        </is>
      </c>
      <c r="I1448" s="4" t="inlineStr">
        <is>
          <t>21:50:00</t>
        </is>
      </c>
      <c r="J1448" s="4" t="n">
        <v>320</v>
      </c>
      <c r="K1448">
        <f>TEXT(TIMEVALUE(H1448)-TIMEVALUE(I1447)+(TIMEVALUE(H1448)&lt;TIMEVALUE(I1447)),"[h]:mm")</f>
        <v/>
      </c>
      <c r="L1448" s="4" t="inlineStr">
        <is>
          <t>01:30:00</t>
        </is>
      </c>
      <c r="O1448">
        <f>"LIM-"&amp;G1447&amp;"-LIM   LA "&amp;E1447&amp;" ("&amp;LEFT(H1447,5)&amp;"-"&amp;LEFT(I1447,5)&amp;" hrs)  /  LA "&amp;E1448&amp;" ("&amp;LEFT(H1448,5)&amp;"-"&amp;LEFT(I1448,5)&amp;" hrs)"</f>
        <v/>
      </c>
    </row>
    <row r="1449">
      <c r="J1449" s="8" t="inlineStr">
        <is>
          <t>PSV total:</t>
        </is>
      </c>
      <c r="K1449" s="9">
        <f>TEXT(TIMEVALUE(I1448)-TIMEVALUE(H1445)+(I1448&lt;H1445),"[h]:mm")</f>
        <v/>
      </c>
    </row>
    <row r="1451">
      <c r="B1451" s="3" t="inlineStr">
        <is>
          <t>Pairing ID</t>
        </is>
      </c>
      <c r="C1451" s="3" t="inlineStr">
        <is>
          <t>FECHA REAL</t>
        </is>
      </c>
      <c r="D1451" s="3" t="inlineStr">
        <is>
          <t>Day of Week</t>
        </is>
      </c>
      <c r="E1451" s="3" t="inlineStr">
        <is>
          <t>Flight No</t>
        </is>
      </c>
      <c r="F1451" s="3" t="inlineStr">
        <is>
          <t>Dep Stn</t>
        </is>
      </c>
      <c r="G1451" s="3" t="inlineStr">
        <is>
          <t>Arr Stn</t>
        </is>
      </c>
      <c r="H1451" s="3" t="inlineStr">
        <is>
          <t>STD</t>
        </is>
      </c>
      <c r="I1451" s="3" t="inlineStr">
        <is>
          <t>STA</t>
        </is>
      </c>
      <c r="J1451" s="3" t="inlineStr">
        <is>
          <t>subflota</t>
        </is>
      </c>
      <c r="K1451" s="3" t="inlineStr">
        <is>
          <t>Conexion</t>
        </is>
      </c>
      <c r="L1451" s="3" t="inlineStr">
        <is>
          <t>HBT</t>
        </is>
      </c>
    </row>
    <row r="1452">
      <c r="B1452" s="4" t="n">
        <v>1424</v>
      </c>
      <c r="C1452" s="4" t="inlineStr">
        <is>
          <t>16/09/2026</t>
        </is>
      </c>
      <c r="D1452" s="4" t="inlineStr">
        <is>
          <t>miércoles</t>
        </is>
      </c>
      <c r="E1452" s="4" t="n">
        <v>2055</v>
      </c>
      <c r="F1452" s="4" t="inlineStr">
        <is>
          <t>LIM</t>
        </is>
      </c>
      <c r="G1452" s="4" t="inlineStr">
        <is>
          <t>AQP</t>
        </is>
      </c>
      <c r="H1452" s="4" t="inlineStr">
        <is>
          <t>13:50:00</t>
        </is>
      </c>
      <c r="I1452" s="4" t="inlineStr">
        <is>
          <t>15:20:00</t>
        </is>
      </c>
      <c r="J1452" s="4" t="n">
        <v>319</v>
      </c>
      <c r="L1452" s="4" t="inlineStr">
        <is>
          <t>01:30:00</t>
        </is>
      </c>
      <c r="M1452" s="5" t="n"/>
      <c r="N1452" s="6" t="n"/>
      <c r="O1452" s="5" t="n"/>
      <c r="Q1452" s="4">
        <f>B1452</f>
        <v/>
      </c>
      <c r="R1452" s="4">
        <f>C1452</f>
        <v/>
      </c>
      <c r="S1452" s="4">
        <f>D1452</f>
        <v/>
      </c>
      <c r="T1452" s="4">
        <f>E1452&amp;"/"&amp;E1453</f>
        <v/>
      </c>
      <c r="U1452" s="4">
        <f>F1452&amp;"-"&amp;G1452&amp;"-"&amp;F1452</f>
        <v/>
      </c>
      <c r="V1452" s="4">
        <f>IF($M$1452="","",$M$1452)</f>
        <v/>
      </c>
      <c r="W1452" s="4">
        <f>IF($O$1452="","",$O$1452)</f>
        <v/>
      </c>
      <c r="X1452" s="4">
        <f>J1452</f>
        <v/>
      </c>
    </row>
    <row r="1453">
      <c r="B1453" s="4" t="n">
        <v>1424</v>
      </c>
      <c r="C1453" s="4" t="inlineStr">
        <is>
          <t>16/09/2026</t>
        </is>
      </c>
      <c r="D1453" s="4" t="inlineStr">
        <is>
          <t>miércoles</t>
        </is>
      </c>
      <c r="E1453" s="4" t="n">
        <v>2056</v>
      </c>
      <c r="F1453" s="4" t="inlineStr">
        <is>
          <t>AQP</t>
        </is>
      </c>
      <c r="G1453" s="4" t="inlineStr">
        <is>
          <t>LIM</t>
        </is>
      </c>
      <c r="H1453" s="4" t="inlineStr">
        <is>
          <t>16:10:00</t>
        </is>
      </c>
      <c r="I1453" s="4" t="inlineStr">
        <is>
          <t>17:50:00</t>
        </is>
      </c>
      <c r="J1453" s="4" t="n">
        <v>319</v>
      </c>
      <c r="K1453">
        <f>TEXT(TIMEVALUE(H1453)-TIMEVALUE(I1452)+(TIMEVALUE(H1453)&lt;TIMEVALUE(I1452)),"[h]:mm")</f>
        <v/>
      </c>
      <c r="L1453" s="4" t="inlineStr">
        <is>
          <t>01:40:00</t>
        </is>
      </c>
      <c r="O1453">
        <f>"LIM-"&amp;G1452&amp;"-LIM   LA "&amp;E1452&amp;" ("&amp;LEFT(H1452,5)&amp;"-"&amp;LEFT(I1452,5)&amp;" hrs)  /  LA "&amp;E1453&amp;" ("&amp;LEFT(H1453,5)&amp;"-"&amp;LEFT(I1453,5)&amp;" hrs)"</f>
        <v/>
      </c>
    </row>
    <row r="1454">
      <c r="J1454" s="8" t="inlineStr">
        <is>
          <t>PSV total:</t>
        </is>
      </c>
      <c r="K1454" s="9">
        <f>TEXT(TIMEVALUE(I1453)-TIMEVALUE(H1452)+(I1453&lt;H1452),"[h]:mm")</f>
        <v/>
      </c>
    </row>
    <row r="1456">
      <c r="B1456" s="3" t="inlineStr">
        <is>
          <t>Pairing ID</t>
        </is>
      </c>
      <c r="C1456" s="3" t="inlineStr">
        <is>
          <t>FECHA REAL</t>
        </is>
      </c>
      <c r="D1456" s="3" t="inlineStr">
        <is>
          <t>Day of Week</t>
        </is>
      </c>
      <c r="E1456" s="3" t="inlineStr">
        <is>
          <t>Flight No</t>
        </is>
      </c>
      <c r="F1456" s="3" t="inlineStr">
        <is>
          <t>Dep Stn</t>
        </is>
      </c>
      <c r="G1456" s="3" t="inlineStr">
        <is>
          <t>Arr Stn</t>
        </is>
      </c>
      <c r="H1456" s="3" t="inlineStr">
        <is>
          <t>STD</t>
        </is>
      </c>
      <c r="I1456" s="3" t="inlineStr">
        <is>
          <t>STA</t>
        </is>
      </c>
      <c r="J1456" s="3" t="inlineStr">
        <is>
          <t>subflota</t>
        </is>
      </c>
      <c r="K1456" s="3" t="inlineStr">
        <is>
          <t>Conexion</t>
        </is>
      </c>
      <c r="L1456" s="3" t="inlineStr">
        <is>
          <t>HBT</t>
        </is>
      </c>
    </row>
    <row r="1457">
      <c r="B1457" s="4" t="n">
        <v>1425</v>
      </c>
      <c r="C1457" s="4" t="inlineStr">
        <is>
          <t>16/09/2026</t>
        </is>
      </c>
      <c r="D1457" s="4" t="inlineStr">
        <is>
          <t>miércoles</t>
        </is>
      </c>
      <c r="E1457" s="4" t="n">
        <v>2087</v>
      </c>
      <c r="F1457" s="4" t="inlineStr">
        <is>
          <t>LIM</t>
        </is>
      </c>
      <c r="G1457" s="4" t="inlineStr">
        <is>
          <t>TPP</t>
        </is>
      </c>
      <c r="H1457" s="4" t="inlineStr">
        <is>
          <t>14:05:00</t>
        </is>
      </c>
      <c r="I1457" s="4" t="inlineStr">
        <is>
          <t>15:30:00</t>
        </is>
      </c>
      <c r="J1457" s="4" t="n">
        <v>319</v>
      </c>
      <c r="L1457" s="4" t="inlineStr">
        <is>
          <t>01:25:00</t>
        </is>
      </c>
      <c r="M1457" s="5" t="n"/>
      <c r="N1457" s="6" t="n"/>
      <c r="O1457" s="5" t="n"/>
      <c r="Q1457" s="4">
        <f>B1457</f>
        <v/>
      </c>
      <c r="R1457" s="4">
        <f>C1457</f>
        <v/>
      </c>
      <c r="S1457" s="4">
        <f>D1457</f>
        <v/>
      </c>
      <c r="T1457" s="4">
        <f>E1457&amp;"/"&amp;E1458</f>
        <v/>
      </c>
      <c r="U1457" s="4">
        <f>F1457&amp;"-"&amp;G1457&amp;"-"&amp;F1457</f>
        <v/>
      </c>
      <c r="V1457" s="4">
        <f>IF($M$1457="","",$M$1457)</f>
        <v/>
      </c>
      <c r="W1457" s="4">
        <f>IF($O$1457="","",$O$1457)</f>
        <v/>
      </c>
      <c r="X1457" s="4">
        <f>J1457</f>
        <v/>
      </c>
    </row>
    <row r="1458">
      <c r="B1458" s="4" t="n">
        <v>1425</v>
      </c>
      <c r="C1458" s="4" t="inlineStr">
        <is>
          <t>16/09/2026</t>
        </is>
      </c>
      <c r="D1458" s="4" t="inlineStr">
        <is>
          <t>miércoles</t>
        </is>
      </c>
      <c r="E1458" s="4" t="n">
        <v>2088</v>
      </c>
      <c r="F1458" s="4" t="inlineStr">
        <is>
          <t>TPP</t>
        </is>
      </c>
      <c r="G1458" s="4" t="inlineStr">
        <is>
          <t>LIM</t>
        </is>
      </c>
      <c r="H1458" s="4" t="inlineStr">
        <is>
          <t>16:05:00</t>
        </is>
      </c>
      <c r="I1458" s="4" t="inlineStr">
        <is>
          <t>17:30:00</t>
        </is>
      </c>
      <c r="J1458" s="4" t="n">
        <v>319</v>
      </c>
      <c r="K1458">
        <f>TEXT(TIMEVALUE(H1458)-TIMEVALUE(I1457)+(TIMEVALUE(H1458)&lt;TIMEVALUE(I1457)),"[h]:mm")</f>
        <v/>
      </c>
      <c r="L1458" s="4" t="inlineStr">
        <is>
          <t>01:25:00</t>
        </is>
      </c>
      <c r="O1458">
        <f>"LIM-"&amp;G1457&amp;"-LIM   LA "&amp;E1457&amp;" ("&amp;LEFT(H1457,5)&amp;"-"&amp;LEFT(I1457,5)&amp;" hrs)  /  LA "&amp;E1458&amp;" ("&amp;LEFT(H1458,5)&amp;"-"&amp;LEFT(I1458,5)&amp;" hrs)"</f>
        <v/>
      </c>
    </row>
    <row r="1459">
      <c r="J1459" s="8" t="inlineStr">
        <is>
          <t>PSV total:</t>
        </is>
      </c>
      <c r="K1459" s="9">
        <f>TEXT(TIMEVALUE(I1458)-TIMEVALUE(H1457)+(I1458&lt;H1457),"[h]:mm")</f>
        <v/>
      </c>
    </row>
    <row r="1461">
      <c r="B1461" s="3" t="inlineStr">
        <is>
          <t>Pairing ID</t>
        </is>
      </c>
      <c r="C1461" s="3" t="inlineStr">
        <is>
          <t>FECHA REAL</t>
        </is>
      </c>
      <c r="D1461" s="3" t="inlineStr">
        <is>
          <t>Day of Week</t>
        </is>
      </c>
      <c r="E1461" s="3" t="inlineStr">
        <is>
          <t>Flight No</t>
        </is>
      </c>
      <c r="F1461" s="3" t="inlineStr">
        <is>
          <t>Dep Stn</t>
        </is>
      </c>
      <c r="G1461" s="3" t="inlineStr">
        <is>
          <t>Arr Stn</t>
        </is>
      </c>
      <c r="H1461" s="3" t="inlineStr">
        <is>
          <t>STD</t>
        </is>
      </c>
      <c r="I1461" s="3" t="inlineStr">
        <is>
          <t>STA</t>
        </is>
      </c>
      <c r="J1461" s="3" t="inlineStr">
        <is>
          <t>subflota</t>
        </is>
      </c>
      <c r="K1461" s="3" t="inlineStr">
        <is>
          <t>Conexion</t>
        </is>
      </c>
      <c r="L1461" s="3" t="inlineStr">
        <is>
          <t>HBT</t>
        </is>
      </c>
    </row>
    <row r="1462">
      <c r="B1462" s="4" t="n">
        <v>1426</v>
      </c>
      <c r="C1462" s="4" t="inlineStr">
        <is>
          <t>16/09/2026</t>
        </is>
      </c>
      <c r="D1462" s="4" t="inlineStr">
        <is>
          <t>miércoles</t>
        </is>
      </c>
      <c r="E1462" s="4" t="n">
        <v>2295</v>
      </c>
      <c r="F1462" s="4" t="inlineStr">
        <is>
          <t>LIM</t>
        </is>
      </c>
      <c r="G1462" s="4" t="inlineStr">
        <is>
          <t>CJA</t>
        </is>
      </c>
      <c r="H1462" s="4" t="inlineStr">
        <is>
          <t>14:10:00</t>
        </is>
      </c>
      <c r="I1462" s="4" t="inlineStr">
        <is>
          <t>15:30:00</t>
        </is>
      </c>
      <c r="J1462" s="4" t="n">
        <v>319</v>
      </c>
      <c r="L1462" s="4" t="inlineStr">
        <is>
          <t>01:20:00</t>
        </is>
      </c>
      <c r="M1462" s="5" t="n"/>
      <c r="N1462" s="6" t="n"/>
      <c r="O1462" s="5" t="n"/>
      <c r="Q1462" s="4">
        <f>B1462</f>
        <v/>
      </c>
      <c r="R1462" s="4">
        <f>C1462</f>
        <v/>
      </c>
      <c r="S1462" s="4">
        <f>D1462</f>
        <v/>
      </c>
      <c r="T1462" s="4">
        <f>E1462&amp;"/"&amp;E1463</f>
        <v/>
      </c>
      <c r="U1462" s="4">
        <f>F1462&amp;"-"&amp;G1462&amp;"-"&amp;F1462</f>
        <v/>
      </c>
      <c r="V1462" s="4">
        <f>IF($M$1462="","",$M$1462)</f>
        <v/>
      </c>
      <c r="W1462" s="4">
        <f>IF($O$1462="","",$O$1462)</f>
        <v/>
      </c>
      <c r="X1462" s="4">
        <f>J1462</f>
        <v/>
      </c>
    </row>
    <row r="1463">
      <c r="B1463" s="4" t="n">
        <v>1426</v>
      </c>
      <c r="C1463" s="4" t="inlineStr">
        <is>
          <t>16/09/2026</t>
        </is>
      </c>
      <c r="D1463" s="4" t="inlineStr">
        <is>
          <t>miércoles</t>
        </is>
      </c>
      <c r="E1463" s="4" t="n">
        <v>2294</v>
      </c>
      <c r="F1463" s="4" t="inlineStr">
        <is>
          <t>CJA</t>
        </is>
      </c>
      <c r="G1463" s="4" t="inlineStr">
        <is>
          <t>LIM</t>
        </is>
      </c>
      <c r="H1463" s="4" t="inlineStr">
        <is>
          <t>16:10:00</t>
        </is>
      </c>
      <c r="I1463" s="4" t="inlineStr">
        <is>
          <t>17:15:00</t>
        </is>
      </c>
      <c r="J1463" s="4" t="n">
        <v>319</v>
      </c>
      <c r="K1463">
        <f>TEXT(TIMEVALUE(H1463)-TIMEVALUE(I1462)+(TIMEVALUE(H1463)&lt;TIMEVALUE(I1462)),"[h]:mm")</f>
        <v/>
      </c>
      <c r="L1463" s="4" t="inlineStr">
        <is>
          <t>01:05:00</t>
        </is>
      </c>
      <c r="O1463">
        <f>"LIM-"&amp;G1462&amp;"-LIM   LA "&amp;E1462&amp;" ("&amp;LEFT(H1462,5)&amp;"-"&amp;LEFT(I1462,5)&amp;" hrs)  /  LA "&amp;E1463&amp;" ("&amp;LEFT(H1463,5)&amp;"-"&amp;LEFT(I1463,5)&amp;" hrs)"</f>
        <v/>
      </c>
    </row>
    <row r="1464">
      <c r="B1464" s="4" t="n">
        <v>1444</v>
      </c>
      <c r="C1464" s="4" t="inlineStr">
        <is>
          <t>16/09/2026</t>
        </is>
      </c>
      <c r="D1464" s="4" t="inlineStr">
        <is>
          <t>miércoles</t>
        </is>
      </c>
      <c r="E1464" s="4" t="n">
        <v>2039</v>
      </c>
      <c r="F1464" s="4" t="inlineStr">
        <is>
          <t>LIM</t>
        </is>
      </c>
      <c r="G1464" s="4" t="inlineStr">
        <is>
          <t>PCL</t>
        </is>
      </c>
      <c r="H1464" s="4" t="inlineStr">
        <is>
          <t>18:15:00</t>
        </is>
      </c>
      <c r="I1464" s="4" t="inlineStr">
        <is>
          <t>19:30:00</t>
        </is>
      </c>
      <c r="J1464" s="4" t="n">
        <v>319</v>
      </c>
      <c r="K1464" s="7">
        <f>TEXT(TIMEVALUE(H1464)-TIMEVALUE(I1463)+(TIMEVALUE(H1464)&lt;TIMEVALUE(I1463)),"[h]:mm")</f>
        <v/>
      </c>
      <c r="L1464" s="4" t="inlineStr">
        <is>
          <t>01:15:00</t>
        </is>
      </c>
      <c r="M1464">
        <f>IF($M$1462="","",$M$1462)</f>
        <v/>
      </c>
      <c r="O1464">
        <f>IF($O$1462="","",$O$1462)</f>
        <v/>
      </c>
      <c r="Q1464" s="4">
        <f>B1464</f>
        <v/>
      </c>
      <c r="R1464" s="4">
        <f>C1464</f>
        <v/>
      </c>
      <c r="S1464" s="4">
        <f>D1464</f>
        <v/>
      </c>
      <c r="T1464" s="4">
        <f>E1464&amp;"/"&amp;E1465</f>
        <v/>
      </c>
      <c r="U1464" s="4">
        <f>F1464&amp;"-"&amp;G1464&amp;"-"&amp;F1464</f>
        <v/>
      </c>
      <c r="V1464" s="4">
        <f>IF($M$1462="","",$M$1462)</f>
        <v/>
      </c>
      <c r="W1464" s="4">
        <f>IF($O$1462="","",$O$1462)</f>
        <v/>
      </c>
      <c r="X1464" s="4">
        <f>J1464</f>
        <v/>
      </c>
    </row>
    <row r="1465">
      <c r="B1465" s="4" t="n">
        <v>1444</v>
      </c>
      <c r="C1465" s="4" t="inlineStr">
        <is>
          <t>16/09/2026</t>
        </is>
      </c>
      <c r="D1465" s="4" t="inlineStr">
        <is>
          <t>miércoles</t>
        </is>
      </c>
      <c r="E1465" s="4" t="n">
        <v>2040</v>
      </c>
      <c r="F1465" s="4" t="inlineStr">
        <is>
          <t>PCL</t>
        </is>
      </c>
      <c r="G1465" s="4" t="inlineStr">
        <is>
          <t>LIM</t>
        </is>
      </c>
      <c r="H1465" s="4" t="inlineStr">
        <is>
          <t>20:15:00</t>
        </is>
      </c>
      <c r="I1465" s="4" t="inlineStr">
        <is>
          <t>21:30:00</t>
        </is>
      </c>
      <c r="J1465" s="4" t="n">
        <v>319</v>
      </c>
      <c r="K1465">
        <f>TEXT(TIMEVALUE(H1465)-TIMEVALUE(I1464)+(TIMEVALUE(H1465)&lt;TIMEVALUE(I1464)),"[h]:mm")</f>
        <v/>
      </c>
      <c r="L1465" s="4" t="inlineStr">
        <is>
          <t>01:15:00</t>
        </is>
      </c>
      <c r="O1465">
        <f>"LIM-"&amp;G1464&amp;"-LIM   LA "&amp;E1464&amp;" ("&amp;LEFT(H1464,5)&amp;"-"&amp;LEFT(I1464,5)&amp;" hrs)  /  LA "&amp;E1465&amp;" ("&amp;LEFT(H1465,5)&amp;"-"&amp;LEFT(I1465,5)&amp;" hrs)"</f>
        <v/>
      </c>
    </row>
    <row r="1466">
      <c r="J1466" s="8" t="inlineStr">
        <is>
          <t>PSV total:</t>
        </is>
      </c>
      <c r="K1466" s="9">
        <f>TEXT(TIMEVALUE(I1465)-TIMEVALUE(H1462)+(I1465&lt;H1462),"[h]:mm")</f>
        <v/>
      </c>
    </row>
    <row r="1468">
      <c r="B1468" s="3" t="inlineStr">
        <is>
          <t>Pairing ID</t>
        </is>
      </c>
      <c r="C1468" s="3" t="inlineStr">
        <is>
          <t>FECHA REAL</t>
        </is>
      </c>
      <c r="D1468" s="3" t="inlineStr">
        <is>
          <t>Day of Week</t>
        </is>
      </c>
      <c r="E1468" s="3" t="inlineStr">
        <is>
          <t>Flight No</t>
        </is>
      </c>
      <c r="F1468" s="3" t="inlineStr">
        <is>
          <t>Dep Stn</t>
        </is>
      </c>
      <c r="G1468" s="3" t="inlineStr">
        <is>
          <t>Arr Stn</t>
        </is>
      </c>
      <c r="H1468" s="3" t="inlineStr">
        <is>
          <t>STD</t>
        </is>
      </c>
      <c r="I1468" s="3" t="inlineStr">
        <is>
          <t>STA</t>
        </is>
      </c>
      <c r="J1468" s="3" t="inlineStr">
        <is>
          <t>subflota</t>
        </is>
      </c>
      <c r="K1468" s="3" t="inlineStr">
        <is>
          <t>Conexion</t>
        </is>
      </c>
      <c r="L1468" s="3" t="inlineStr">
        <is>
          <t>HBT</t>
        </is>
      </c>
    </row>
    <row r="1469">
      <c r="B1469" s="4" t="n">
        <v>1428</v>
      </c>
      <c r="C1469" s="4" t="inlineStr">
        <is>
          <t>16/09/2026</t>
        </is>
      </c>
      <c r="D1469" s="4" t="inlineStr">
        <is>
          <t>miércoles</t>
        </is>
      </c>
      <c r="E1469" s="4" t="n">
        <v>2282</v>
      </c>
      <c r="F1469" s="4" t="inlineStr">
        <is>
          <t>LIM</t>
        </is>
      </c>
      <c r="G1469" s="4" t="inlineStr">
        <is>
          <t>CIX</t>
        </is>
      </c>
      <c r="H1469" s="4" t="inlineStr">
        <is>
          <t>14:45:00</t>
        </is>
      </c>
      <c r="I1469" s="4" t="inlineStr">
        <is>
          <t>16:15:00</t>
        </is>
      </c>
      <c r="J1469" s="4" t="n">
        <v>319</v>
      </c>
      <c r="L1469" s="4" t="inlineStr">
        <is>
          <t>01:30:00</t>
        </is>
      </c>
      <c r="M1469" s="5" t="n"/>
      <c r="N1469" s="6" t="n"/>
      <c r="O1469" s="5" t="n"/>
      <c r="Q1469" s="4">
        <f>B1469</f>
        <v/>
      </c>
      <c r="R1469" s="4">
        <f>C1469</f>
        <v/>
      </c>
      <c r="S1469" s="4">
        <f>D1469</f>
        <v/>
      </c>
      <c r="T1469" s="4">
        <f>E1469&amp;"/"&amp;E1470</f>
        <v/>
      </c>
      <c r="U1469" s="4">
        <f>F1469&amp;"-"&amp;G1469&amp;"-"&amp;F1469</f>
        <v/>
      </c>
      <c r="V1469" s="4">
        <f>IF($M$1469="","",$M$1469)</f>
        <v/>
      </c>
      <c r="W1469" s="4">
        <f>IF($O$1469="","",$O$1469)</f>
        <v/>
      </c>
      <c r="X1469" s="4">
        <f>J1469</f>
        <v/>
      </c>
    </row>
    <row r="1470">
      <c r="B1470" s="4" t="n">
        <v>1428</v>
      </c>
      <c r="C1470" s="4" t="inlineStr">
        <is>
          <t>16/09/2026</t>
        </is>
      </c>
      <c r="D1470" s="4" t="inlineStr">
        <is>
          <t>miércoles</t>
        </is>
      </c>
      <c r="E1470" s="4" t="n">
        <v>2283</v>
      </c>
      <c r="F1470" s="4" t="inlineStr">
        <is>
          <t>CIX</t>
        </is>
      </c>
      <c r="G1470" s="4" t="inlineStr">
        <is>
          <t>LIM</t>
        </is>
      </c>
      <c r="H1470" s="4" t="inlineStr">
        <is>
          <t>16:50:00</t>
        </is>
      </c>
      <c r="I1470" s="4" t="inlineStr">
        <is>
          <t>18:10:00</t>
        </is>
      </c>
      <c r="J1470" s="4" t="n">
        <v>319</v>
      </c>
      <c r="K1470">
        <f>TEXT(TIMEVALUE(H1470)-TIMEVALUE(I1469)+(TIMEVALUE(H1470)&lt;TIMEVALUE(I1469)),"[h]:mm")</f>
        <v/>
      </c>
      <c r="L1470" s="4" t="inlineStr">
        <is>
          <t>01:20:00</t>
        </is>
      </c>
      <c r="O1470">
        <f>"LIM-"&amp;G1469&amp;"-LIM   LA "&amp;E1469&amp;" ("&amp;LEFT(H1469,5)&amp;"-"&amp;LEFT(I1469,5)&amp;" hrs)  /  LA "&amp;E1470&amp;" ("&amp;LEFT(H1470,5)&amp;"-"&amp;LEFT(I1470,5)&amp;" hrs)"</f>
        <v/>
      </c>
    </row>
    <row r="1471">
      <c r="J1471" s="8" t="inlineStr">
        <is>
          <t>PSV total:</t>
        </is>
      </c>
      <c r="K1471" s="9">
        <f>TEXT(TIMEVALUE(I1470)-TIMEVALUE(H1469)+(I1470&lt;H1469),"[h]:mm")</f>
        <v/>
      </c>
    </row>
    <row r="1473">
      <c r="B1473" s="3" t="inlineStr">
        <is>
          <t>Pairing ID</t>
        </is>
      </c>
      <c r="C1473" s="3" t="inlineStr">
        <is>
          <t>FECHA REAL</t>
        </is>
      </c>
      <c r="D1473" s="3" t="inlineStr">
        <is>
          <t>Day of Week</t>
        </is>
      </c>
      <c r="E1473" s="3" t="inlineStr">
        <is>
          <t>Flight No</t>
        </is>
      </c>
      <c r="F1473" s="3" t="inlineStr">
        <is>
          <t>Dep Stn</t>
        </is>
      </c>
      <c r="G1473" s="3" t="inlineStr">
        <is>
          <t>Arr Stn</t>
        </is>
      </c>
      <c r="H1473" s="3" t="inlineStr">
        <is>
          <t>STD</t>
        </is>
      </c>
      <c r="I1473" s="3" t="inlineStr">
        <is>
          <t>STA</t>
        </is>
      </c>
      <c r="J1473" s="3" t="inlineStr">
        <is>
          <t>subflota</t>
        </is>
      </c>
      <c r="K1473" s="3" t="inlineStr">
        <is>
          <t>Conexion</t>
        </is>
      </c>
      <c r="L1473" s="3" t="inlineStr">
        <is>
          <t>HBT</t>
        </is>
      </c>
    </row>
    <row r="1474">
      <c r="B1474" s="4" t="n">
        <v>1429</v>
      </c>
      <c r="C1474" s="4" t="inlineStr">
        <is>
          <t>16/09/2026</t>
        </is>
      </c>
      <c r="D1474" s="4" t="inlineStr">
        <is>
          <t>miércoles</t>
        </is>
      </c>
      <c r="E1474" s="4" t="n">
        <v>2338</v>
      </c>
      <c r="F1474" s="4" t="inlineStr">
        <is>
          <t>LIM</t>
        </is>
      </c>
      <c r="G1474" s="4" t="inlineStr">
        <is>
          <t>PIU</t>
        </is>
      </c>
      <c r="H1474" s="4" t="inlineStr">
        <is>
          <t>15:00:00</t>
        </is>
      </c>
      <c r="I1474" s="4" t="inlineStr">
        <is>
          <t>16:45:00</t>
        </is>
      </c>
      <c r="J1474" s="4" t="n">
        <v>320</v>
      </c>
      <c r="L1474" s="4" t="inlineStr">
        <is>
          <t>01:45:00</t>
        </is>
      </c>
      <c r="M1474" s="5" t="n"/>
      <c r="N1474" s="6" t="n"/>
      <c r="O1474" s="5" t="n"/>
      <c r="Q1474" s="4">
        <f>B1474</f>
        <v/>
      </c>
      <c r="R1474" s="4">
        <f>C1474</f>
        <v/>
      </c>
      <c r="S1474" s="4">
        <f>D1474</f>
        <v/>
      </c>
      <c r="T1474" s="4">
        <f>E1474&amp;"/"&amp;E1475</f>
        <v/>
      </c>
      <c r="U1474" s="4">
        <f>F1474&amp;"-"&amp;G1474&amp;"-"&amp;F1474</f>
        <v/>
      </c>
      <c r="V1474" s="4">
        <f>IF($M$1474="","",$M$1474)</f>
        <v/>
      </c>
      <c r="W1474" s="4">
        <f>IF($O$1474="","",$O$1474)</f>
        <v/>
      </c>
      <c r="X1474" s="4">
        <f>J1474</f>
        <v/>
      </c>
    </row>
    <row r="1475">
      <c r="B1475" s="4" t="n">
        <v>1429</v>
      </c>
      <c r="C1475" s="4" t="inlineStr">
        <is>
          <t>16/09/2026</t>
        </is>
      </c>
      <c r="D1475" s="4" t="inlineStr">
        <is>
          <t>miércoles</t>
        </is>
      </c>
      <c r="E1475" s="4" t="n">
        <v>2339</v>
      </c>
      <c r="F1475" s="4" t="inlineStr">
        <is>
          <t>PIU</t>
        </is>
      </c>
      <c r="G1475" s="4" t="inlineStr">
        <is>
          <t>LIM</t>
        </is>
      </c>
      <c r="H1475" s="4" t="inlineStr">
        <is>
          <t>17:20:00</t>
        </is>
      </c>
      <c r="I1475" s="4" t="inlineStr">
        <is>
          <t>18:50:00</t>
        </is>
      </c>
      <c r="J1475" s="4" t="n">
        <v>320</v>
      </c>
      <c r="K1475">
        <f>TEXT(TIMEVALUE(H1475)-TIMEVALUE(I1474)+(TIMEVALUE(H1475)&lt;TIMEVALUE(I1474)),"[h]:mm")</f>
        <v/>
      </c>
      <c r="L1475" s="4" t="inlineStr">
        <is>
          <t>01:30:00</t>
        </is>
      </c>
      <c r="O1475">
        <f>"LIM-"&amp;G1474&amp;"-LIM   LA "&amp;E1474&amp;" ("&amp;LEFT(H1474,5)&amp;"-"&amp;LEFT(I1474,5)&amp;" hrs)  /  LA "&amp;E1475&amp;" ("&amp;LEFT(H1475,5)&amp;"-"&amp;LEFT(I1475,5)&amp;" hrs)"</f>
        <v/>
      </c>
    </row>
    <row r="1476">
      <c r="J1476" s="8" t="inlineStr">
        <is>
          <t>PSV total:</t>
        </is>
      </c>
      <c r="K1476" s="9">
        <f>TEXT(TIMEVALUE(I1475)-TIMEVALUE(H1474)+(I1475&lt;H1474),"[h]:mm")</f>
        <v/>
      </c>
    </row>
    <row r="1478">
      <c r="B1478" s="3" t="inlineStr">
        <is>
          <t>Pairing ID</t>
        </is>
      </c>
      <c r="C1478" s="3" t="inlineStr">
        <is>
          <t>FECHA REAL</t>
        </is>
      </c>
      <c r="D1478" s="3" t="inlineStr">
        <is>
          <t>Day of Week</t>
        </is>
      </c>
      <c r="E1478" s="3" t="inlineStr">
        <is>
          <t>Flight No</t>
        </is>
      </c>
      <c r="F1478" s="3" t="inlineStr">
        <is>
          <t>Dep Stn</t>
        </is>
      </c>
      <c r="G1478" s="3" t="inlineStr">
        <is>
          <t>Arr Stn</t>
        </is>
      </c>
      <c r="H1478" s="3" t="inlineStr">
        <is>
          <t>STD</t>
        </is>
      </c>
      <c r="I1478" s="3" t="inlineStr">
        <is>
          <t>STA</t>
        </is>
      </c>
      <c r="J1478" s="3" t="inlineStr">
        <is>
          <t>subflota</t>
        </is>
      </c>
      <c r="K1478" s="3" t="inlineStr">
        <is>
          <t>Conexion</t>
        </is>
      </c>
      <c r="L1478" s="3" t="inlineStr">
        <is>
          <t>HBT</t>
        </is>
      </c>
    </row>
    <row r="1479">
      <c r="B1479" s="4" t="n">
        <v>1430</v>
      </c>
      <c r="C1479" s="4" t="inlineStr">
        <is>
          <t>16/09/2026</t>
        </is>
      </c>
      <c r="D1479" s="4" t="inlineStr">
        <is>
          <t>miércoles</t>
        </is>
      </c>
      <c r="E1479" s="4" t="n">
        <v>2338</v>
      </c>
      <c r="F1479" s="4" t="inlineStr">
        <is>
          <t>LIM</t>
        </is>
      </c>
      <c r="G1479" s="4" t="inlineStr">
        <is>
          <t>PIU</t>
        </is>
      </c>
      <c r="H1479" s="4" t="inlineStr">
        <is>
          <t>15:00:00</t>
        </is>
      </c>
      <c r="I1479" s="4" t="inlineStr">
        <is>
          <t>16:45:00</t>
        </is>
      </c>
      <c r="J1479" s="4" t="n">
        <v>320</v>
      </c>
      <c r="L1479" s="4" t="inlineStr">
        <is>
          <t>01:45:00</t>
        </is>
      </c>
      <c r="M1479" s="5" t="n"/>
      <c r="N1479" s="6" t="n"/>
      <c r="O1479" s="5" t="n"/>
      <c r="Q1479" s="4">
        <f>B1479</f>
        <v/>
      </c>
      <c r="R1479" s="4">
        <f>C1479</f>
        <v/>
      </c>
      <c r="S1479" s="4">
        <f>D1479</f>
        <v/>
      </c>
      <c r="T1479" s="4">
        <f>E1479&amp;"/"&amp;E1480</f>
        <v/>
      </c>
      <c r="U1479" s="4">
        <f>F1479&amp;"-"&amp;G1479&amp;"-"&amp;F1479</f>
        <v/>
      </c>
      <c r="V1479" s="4">
        <f>IF($M$1479="","",$M$1479)</f>
        <v/>
      </c>
      <c r="W1479" s="4">
        <f>IF($O$1479="","",$O$1479)</f>
        <v/>
      </c>
      <c r="X1479" s="4">
        <f>J1479</f>
        <v/>
      </c>
    </row>
    <row r="1480">
      <c r="B1480" s="4" t="n">
        <v>1430</v>
      </c>
      <c r="C1480" s="4" t="inlineStr">
        <is>
          <t>16/09/2026</t>
        </is>
      </c>
      <c r="D1480" s="4" t="inlineStr">
        <is>
          <t>miércoles</t>
        </is>
      </c>
      <c r="E1480" s="4" t="n">
        <v>2339</v>
      </c>
      <c r="F1480" s="4" t="inlineStr">
        <is>
          <t>PIU</t>
        </is>
      </c>
      <c r="G1480" s="4" t="inlineStr">
        <is>
          <t>LIM</t>
        </is>
      </c>
      <c r="H1480" s="4" t="inlineStr">
        <is>
          <t>17:20:00</t>
        </is>
      </c>
      <c r="I1480" s="4" t="inlineStr">
        <is>
          <t>18:50:00</t>
        </is>
      </c>
      <c r="J1480" s="4" t="n">
        <v>320</v>
      </c>
      <c r="K1480">
        <f>TEXT(TIMEVALUE(H1480)-TIMEVALUE(I1479)+(TIMEVALUE(H1480)&lt;TIMEVALUE(I1479)),"[h]:mm")</f>
        <v/>
      </c>
      <c r="L1480" s="4" t="inlineStr">
        <is>
          <t>01:30:00</t>
        </is>
      </c>
      <c r="O1480">
        <f>"LIM-"&amp;G1479&amp;"-LIM   LA "&amp;E1479&amp;" ("&amp;LEFT(H1479,5)&amp;"-"&amp;LEFT(I1479,5)&amp;" hrs)  /  LA "&amp;E1480&amp;" ("&amp;LEFT(H1480,5)&amp;"-"&amp;LEFT(I1480,5)&amp;" hrs)"</f>
        <v/>
      </c>
    </row>
    <row r="1481">
      <c r="J1481" s="8" t="inlineStr">
        <is>
          <t>PSV total:</t>
        </is>
      </c>
      <c r="K1481" s="9">
        <f>TEXT(TIMEVALUE(I1480)-TIMEVALUE(H1479)+(I1480&lt;H1479),"[h]:mm")</f>
        <v/>
      </c>
    </row>
    <row r="1483">
      <c r="B1483" s="3" t="inlineStr">
        <is>
          <t>Pairing ID</t>
        </is>
      </c>
      <c r="C1483" s="3" t="inlineStr">
        <is>
          <t>FECHA REAL</t>
        </is>
      </c>
      <c r="D1483" s="3" t="inlineStr">
        <is>
          <t>Day of Week</t>
        </is>
      </c>
      <c r="E1483" s="3" t="inlineStr">
        <is>
          <t>Flight No</t>
        </is>
      </c>
      <c r="F1483" s="3" t="inlineStr">
        <is>
          <t>Dep Stn</t>
        </is>
      </c>
      <c r="G1483" s="3" t="inlineStr">
        <is>
          <t>Arr Stn</t>
        </is>
      </c>
      <c r="H1483" s="3" t="inlineStr">
        <is>
          <t>STD</t>
        </is>
      </c>
      <c r="I1483" s="3" t="inlineStr">
        <is>
          <t>STA</t>
        </is>
      </c>
      <c r="J1483" s="3" t="inlineStr">
        <is>
          <t>subflota</t>
        </is>
      </c>
      <c r="K1483" s="3" t="inlineStr">
        <is>
          <t>Conexion</t>
        </is>
      </c>
      <c r="L1483" s="3" t="inlineStr">
        <is>
          <t>HBT</t>
        </is>
      </c>
    </row>
    <row r="1484">
      <c r="B1484" s="4" t="n">
        <v>1431</v>
      </c>
      <c r="C1484" s="4" t="inlineStr">
        <is>
          <t>16/09/2026</t>
        </is>
      </c>
      <c r="D1484" s="4" t="inlineStr">
        <is>
          <t>miércoles</t>
        </is>
      </c>
      <c r="E1484" s="4" t="n">
        <v>2113</v>
      </c>
      <c r="F1484" s="4" t="inlineStr">
        <is>
          <t>LIM</t>
        </is>
      </c>
      <c r="G1484" s="4" t="inlineStr">
        <is>
          <t>AQP</t>
        </is>
      </c>
      <c r="H1484" s="4" t="inlineStr">
        <is>
          <t>15:05:00</t>
        </is>
      </c>
      <c r="I1484" s="4" t="inlineStr">
        <is>
          <t>16:35:00</t>
        </is>
      </c>
      <c r="J1484" s="4" t="n">
        <v>319</v>
      </c>
      <c r="L1484" s="4" t="inlineStr">
        <is>
          <t>01:30:00</t>
        </is>
      </c>
      <c r="M1484" s="5" t="n"/>
      <c r="N1484" s="6" t="n"/>
      <c r="O1484" s="5" t="n"/>
      <c r="Q1484" s="4">
        <f>B1484</f>
        <v/>
      </c>
      <c r="R1484" s="4">
        <f>C1484</f>
        <v/>
      </c>
      <c r="S1484" s="4">
        <f>D1484</f>
        <v/>
      </c>
      <c r="T1484" s="4">
        <f>E1484&amp;"/"&amp;E1485</f>
        <v/>
      </c>
      <c r="U1484" s="4">
        <f>F1484&amp;"-"&amp;G1484&amp;"-"&amp;F1484</f>
        <v/>
      </c>
      <c r="V1484" s="4">
        <f>IF($M$1484="","",$M$1484)</f>
        <v/>
      </c>
      <c r="W1484" s="4">
        <f>IF($O$1484="","",$O$1484)</f>
        <v/>
      </c>
      <c r="X1484" s="4">
        <f>J1484</f>
        <v/>
      </c>
    </row>
    <row r="1485">
      <c r="B1485" s="4" t="n">
        <v>1431</v>
      </c>
      <c r="C1485" s="4" t="inlineStr">
        <is>
          <t>16/09/2026</t>
        </is>
      </c>
      <c r="D1485" s="4" t="inlineStr">
        <is>
          <t>miércoles</t>
        </is>
      </c>
      <c r="E1485" s="4" t="n">
        <v>2112</v>
      </c>
      <c r="F1485" s="4" t="inlineStr">
        <is>
          <t>AQP</t>
        </is>
      </c>
      <c r="G1485" s="4" t="inlineStr">
        <is>
          <t>LIM</t>
        </is>
      </c>
      <c r="H1485" s="4" t="inlineStr">
        <is>
          <t>17:15:00</t>
        </is>
      </c>
      <c r="I1485" s="4" t="inlineStr">
        <is>
          <t>18:55:00</t>
        </is>
      </c>
      <c r="J1485" s="4" t="n">
        <v>319</v>
      </c>
      <c r="K1485">
        <f>TEXT(TIMEVALUE(H1485)-TIMEVALUE(I1484)+(TIMEVALUE(H1485)&lt;TIMEVALUE(I1484)),"[h]:mm")</f>
        <v/>
      </c>
      <c r="L1485" s="4" t="inlineStr">
        <is>
          <t>01:40:00</t>
        </is>
      </c>
      <c r="O1485">
        <f>"LIM-"&amp;G1484&amp;"-LIM   LA "&amp;E1484&amp;" ("&amp;LEFT(H1484,5)&amp;"-"&amp;LEFT(I1484,5)&amp;" hrs)  /  LA "&amp;E1485&amp;" ("&amp;LEFT(H1485,5)&amp;"-"&amp;LEFT(I1485,5)&amp;" hrs)"</f>
        <v/>
      </c>
    </row>
    <row r="1486">
      <c r="J1486" s="8" t="inlineStr">
        <is>
          <t>PSV total:</t>
        </is>
      </c>
      <c r="K1486" s="9">
        <f>TEXT(TIMEVALUE(I1485)-TIMEVALUE(H1484)+(I1485&lt;H1484),"[h]:mm")</f>
        <v/>
      </c>
    </row>
    <row r="1488">
      <c r="B1488" s="3" t="inlineStr">
        <is>
          <t>Pairing ID</t>
        </is>
      </c>
      <c r="C1488" s="3" t="inlineStr">
        <is>
          <t>FECHA REAL</t>
        </is>
      </c>
      <c r="D1488" s="3" t="inlineStr">
        <is>
          <t>Day of Week</t>
        </is>
      </c>
      <c r="E1488" s="3" t="inlineStr">
        <is>
          <t>Flight No</t>
        </is>
      </c>
      <c r="F1488" s="3" t="inlineStr">
        <is>
          <t>Dep Stn</t>
        </is>
      </c>
      <c r="G1488" s="3" t="inlineStr">
        <is>
          <t>Arr Stn</t>
        </is>
      </c>
      <c r="H1488" s="3" t="inlineStr">
        <is>
          <t>STD</t>
        </is>
      </c>
      <c r="I1488" s="3" t="inlineStr">
        <is>
          <t>STA</t>
        </is>
      </c>
      <c r="J1488" s="3" t="inlineStr">
        <is>
          <t>subflota</t>
        </is>
      </c>
      <c r="K1488" s="3" t="inlineStr">
        <is>
          <t>Conexion</t>
        </is>
      </c>
      <c r="L1488" s="3" t="inlineStr">
        <is>
          <t>HBT</t>
        </is>
      </c>
    </row>
    <row r="1489">
      <c r="B1489" s="4" t="n">
        <v>1434</v>
      </c>
      <c r="C1489" s="4" t="inlineStr">
        <is>
          <t>16/09/2026</t>
        </is>
      </c>
      <c r="D1489" s="4" t="inlineStr">
        <is>
          <t>miércoles</t>
        </is>
      </c>
      <c r="E1489" s="4" t="n">
        <v>2360</v>
      </c>
      <c r="F1489" s="4" t="inlineStr">
        <is>
          <t>LIM</t>
        </is>
      </c>
      <c r="G1489" s="4" t="inlineStr">
        <is>
          <t>PCL</t>
        </is>
      </c>
      <c r="H1489" s="4" t="inlineStr">
        <is>
          <t>15:25:00</t>
        </is>
      </c>
      <c r="I1489" s="4" t="inlineStr">
        <is>
          <t>16:40:00</t>
        </is>
      </c>
      <c r="J1489" s="4" t="n">
        <v>320</v>
      </c>
      <c r="L1489" s="4" t="inlineStr">
        <is>
          <t>01:15:00</t>
        </is>
      </c>
      <c r="M1489" s="5" t="n"/>
      <c r="N1489" s="6" t="n"/>
      <c r="O1489" s="5" t="n"/>
      <c r="Q1489" s="4">
        <f>B1489</f>
        <v/>
      </c>
      <c r="R1489" s="4">
        <f>C1489</f>
        <v/>
      </c>
      <c r="S1489" s="4">
        <f>D1489</f>
        <v/>
      </c>
      <c r="T1489" s="4">
        <f>E1489&amp;"/"&amp;E1490</f>
        <v/>
      </c>
      <c r="U1489" s="4">
        <f>F1489&amp;"-"&amp;G1489&amp;"-"&amp;F1489</f>
        <v/>
      </c>
      <c r="V1489" s="4">
        <f>IF($M$1489="","",$M$1489)</f>
        <v/>
      </c>
      <c r="W1489" s="4">
        <f>IF($O$1489="","",$O$1489)</f>
        <v/>
      </c>
      <c r="X1489" s="4">
        <f>J1489</f>
        <v/>
      </c>
    </row>
    <row r="1490">
      <c r="B1490" s="4" t="n">
        <v>1434</v>
      </c>
      <c r="C1490" s="4" t="inlineStr">
        <is>
          <t>16/09/2026</t>
        </is>
      </c>
      <c r="D1490" s="4" t="inlineStr">
        <is>
          <t>miércoles</t>
        </is>
      </c>
      <c r="E1490" s="4" t="n">
        <v>2361</v>
      </c>
      <c r="F1490" s="4" t="inlineStr">
        <is>
          <t>PCL</t>
        </is>
      </c>
      <c r="G1490" s="4" t="inlineStr">
        <is>
          <t>LIM</t>
        </is>
      </c>
      <c r="H1490" s="4" t="inlineStr">
        <is>
          <t>17:20:00</t>
        </is>
      </c>
      <c r="I1490" s="4" t="inlineStr">
        <is>
          <t>18:35:00</t>
        </is>
      </c>
      <c r="J1490" s="4" t="n">
        <v>320</v>
      </c>
      <c r="K1490">
        <f>TEXT(TIMEVALUE(H1490)-TIMEVALUE(I1489)+(TIMEVALUE(H1490)&lt;TIMEVALUE(I1489)),"[h]:mm")</f>
        <v/>
      </c>
      <c r="L1490" s="4" t="inlineStr">
        <is>
          <t>01:15:00</t>
        </is>
      </c>
      <c r="O1490">
        <f>"LIM-"&amp;G1489&amp;"-LIM   LA "&amp;E1489&amp;" ("&amp;LEFT(H1489,5)&amp;"-"&amp;LEFT(I1489,5)&amp;" hrs)  /  LA "&amp;E1490&amp;" ("&amp;LEFT(H1490,5)&amp;"-"&amp;LEFT(I1490,5)&amp;" hrs)"</f>
        <v/>
      </c>
    </row>
    <row r="1491">
      <c r="J1491" s="8" t="inlineStr">
        <is>
          <t>PSV total:</t>
        </is>
      </c>
      <c r="K1491" s="9">
        <f>TEXT(TIMEVALUE(I1490)-TIMEVALUE(H1489)+(I1490&lt;H1489),"[h]:mm")</f>
        <v/>
      </c>
    </row>
    <row r="1493">
      <c r="B1493" s="3" t="inlineStr">
        <is>
          <t>Pairing ID</t>
        </is>
      </c>
      <c r="C1493" s="3" t="inlineStr">
        <is>
          <t>FECHA REAL</t>
        </is>
      </c>
      <c r="D1493" s="3" t="inlineStr">
        <is>
          <t>Day of Week</t>
        </is>
      </c>
      <c r="E1493" s="3" t="inlineStr">
        <is>
          <t>Flight No</t>
        </is>
      </c>
      <c r="F1493" s="3" t="inlineStr">
        <is>
          <t>Dep Stn</t>
        </is>
      </c>
      <c r="G1493" s="3" t="inlineStr">
        <is>
          <t>Arr Stn</t>
        </is>
      </c>
      <c r="H1493" s="3" t="inlineStr">
        <is>
          <t>STD</t>
        </is>
      </c>
      <c r="I1493" s="3" t="inlineStr">
        <is>
          <t>STA</t>
        </is>
      </c>
      <c r="J1493" s="3" t="inlineStr">
        <is>
          <t>subflota</t>
        </is>
      </c>
      <c r="K1493" s="3" t="inlineStr">
        <is>
          <t>Conexion</t>
        </is>
      </c>
      <c r="L1493" s="3" t="inlineStr">
        <is>
          <t>HBT</t>
        </is>
      </c>
    </row>
    <row r="1494">
      <c r="B1494" s="4" t="n">
        <v>1435</v>
      </c>
      <c r="C1494" s="4" t="inlineStr">
        <is>
          <t>16/09/2026</t>
        </is>
      </c>
      <c r="D1494" s="4" t="inlineStr">
        <is>
          <t>miércoles</t>
        </is>
      </c>
      <c r="E1494" s="4" t="n">
        <v>2312</v>
      </c>
      <c r="F1494" s="4" t="inlineStr">
        <is>
          <t>LIM</t>
        </is>
      </c>
      <c r="G1494" s="4" t="inlineStr">
        <is>
          <t>CIX</t>
        </is>
      </c>
      <c r="H1494" s="4" t="inlineStr">
        <is>
          <t>15:35:00</t>
        </is>
      </c>
      <c r="I1494" s="4" t="inlineStr">
        <is>
          <t>17:05:00</t>
        </is>
      </c>
      <c r="J1494" s="4" t="n">
        <v>319</v>
      </c>
      <c r="L1494" s="4" t="inlineStr">
        <is>
          <t>01:30:00</t>
        </is>
      </c>
      <c r="M1494" s="5" t="n"/>
      <c r="N1494" s="6" t="n"/>
      <c r="O1494" s="5" t="n"/>
      <c r="Q1494" s="4">
        <f>B1494</f>
        <v/>
      </c>
      <c r="R1494" s="4">
        <f>C1494</f>
        <v/>
      </c>
      <c r="S1494" s="4">
        <f>D1494</f>
        <v/>
      </c>
      <c r="T1494" s="4">
        <f>E1494&amp;"/"&amp;E1495</f>
        <v/>
      </c>
      <c r="U1494" s="4">
        <f>F1494&amp;"-"&amp;G1494&amp;"-"&amp;F1494</f>
        <v/>
      </c>
      <c r="V1494" s="4">
        <f>IF($M$1494="","",$M$1494)</f>
        <v/>
      </c>
      <c r="W1494" s="4">
        <f>IF($O$1494="","",$O$1494)</f>
        <v/>
      </c>
      <c r="X1494" s="4">
        <f>J1494</f>
        <v/>
      </c>
    </row>
    <row r="1495">
      <c r="B1495" s="4" t="n">
        <v>1435</v>
      </c>
      <c r="C1495" s="4" t="inlineStr">
        <is>
          <t>16/09/2026</t>
        </is>
      </c>
      <c r="D1495" s="4" t="inlineStr">
        <is>
          <t>miércoles</t>
        </is>
      </c>
      <c r="E1495" s="4" t="n">
        <v>2313</v>
      </c>
      <c r="F1495" s="4" t="inlineStr">
        <is>
          <t>CIX</t>
        </is>
      </c>
      <c r="G1495" s="4" t="inlineStr">
        <is>
          <t>LIM</t>
        </is>
      </c>
      <c r="H1495" s="4" t="inlineStr">
        <is>
          <t>17:50:00</t>
        </is>
      </c>
      <c r="I1495" s="4" t="inlineStr">
        <is>
          <t>19:10:00</t>
        </is>
      </c>
      <c r="J1495" s="4" t="n">
        <v>319</v>
      </c>
      <c r="K1495">
        <f>TEXT(TIMEVALUE(H1495)-TIMEVALUE(I1494)+(TIMEVALUE(H1495)&lt;TIMEVALUE(I1494)),"[h]:mm")</f>
        <v/>
      </c>
      <c r="L1495" s="4" t="inlineStr">
        <is>
          <t>01:20:00</t>
        </is>
      </c>
      <c r="O1495">
        <f>"LIM-"&amp;G1494&amp;"-LIM   LA "&amp;E1494&amp;" ("&amp;LEFT(H1494,5)&amp;"-"&amp;LEFT(I1494,5)&amp;" hrs)  /  LA "&amp;E1495&amp;" ("&amp;LEFT(H1495,5)&amp;"-"&amp;LEFT(I1495,5)&amp;" hrs)"</f>
        <v/>
      </c>
    </row>
    <row r="1496">
      <c r="J1496" s="8" t="inlineStr">
        <is>
          <t>PSV total:</t>
        </is>
      </c>
      <c r="K1496" s="9">
        <f>TEXT(TIMEVALUE(I1495)-TIMEVALUE(H1494)+(I1495&lt;H1494),"[h]:mm")</f>
        <v/>
      </c>
    </row>
    <row r="1498">
      <c r="B1498" s="3" t="inlineStr">
        <is>
          <t>Pairing ID</t>
        </is>
      </c>
      <c r="C1498" s="3" t="inlineStr">
        <is>
          <t>FECHA REAL</t>
        </is>
      </c>
      <c r="D1498" s="3" t="inlineStr">
        <is>
          <t>Day of Week</t>
        </is>
      </c>
      <c r="E1498" s="3" t="inlineStr">
        <is>
          <t>Flight No</t>
        </is>
      </c>
      <c r="F1498" s="3" t="inlineStr">
        <is>
          <t>Dep Stn</t>
        </is>
      </c>
      <c r="G1498" s="3" t="inlineStr">
        <is>
          <t>Arr Stn</t>
        </is>
      </c>
      <c r="H1498" s="3" t="inlineStr">
        <is>
          <t>STD</t>
        </is>
      </c>
      <c r="I1498" s="3" t="inlineStr">
        <is>
          <t>STA</t>
        </is>
      </c>
      <c r="J1498" s="3" t="inlineStr">
        <is>
          <t>subflota</t>
        </is>
      </c>
      <c r="K1498" s="3" t="inlineStr">
        <is>
          <t>Conexion</t>
        </is>
      </c>
      <c r="L1498" s="3" t="inlineStr">
        <is>
          <t>HBT</t>
        </is>
      </c>
    </row>
    <row r="1499">
      <c r="B1499" s="4" t="n">
        <v>1445</v>
      </c>
      <c r="C1499" s="4" t="inlineStr">
        <is>
          <t>16/09/2026</t>
        </is>
      </c>
      <c r="D1499" s="4" t="inlineStr">
        <is>
          <t>miércoles</t>
        </is>
      </c>
      <c r="E1499" s="4" t="n">
        <v>2310</v>
      </c>
      <c r="F1499" s="4" t="inlineStr">
        <is>
          <t>LIM</t>
        </is>
      </c>
      <c r="G1499" s="4" t="inlineStr">
        <is>
          <t>CIX</t>
        </is>
      </c>
      <c r="H1499" s="4" t="inlineStr">
        <is>
          <t>18:20:00</t>
        </is>
      </c>
      <c r="I1499" s="4" t="inlineStr">
        <is>
          <t>19:45:00</t>
        </is>
      </c>
      <c r="J1499" s="4" t="n">
        <v>319</v>
      </c>
      <c r="L1499" s="4" t="inlineStr">
        <is>
          <t>01:25:00</t>
        </is>
      </c>
      <c r="M1499" s="5" t="n"/>
      <c r="N1499" s="6" t="n"/>
      <c r="O1499" s="5" t="n"/>
      <c r="Q1499" s="4">
        <f>B1499</f>
        <v/>
      </c>
      <c r="R1499" s="4">
        <f>C1499</f>
        <v/>
      </c>
      <c r="S1499" s="4">
        <f>D1499</f>
        <v/>
      </c>
      <c r="T1499" s="4">
        <f>E1499&amp;"/"&amp;E1500</f>
        <v/>
      </c>
      <c r="U1499" s="4">
        <f>F1499&amp;"-"&amp;G1499&amp;"-"&amp;F1499</f>
        <v/>
      </c>
      <c r="V1499" s="4">
        <f>IF($M$1499="","",$M$1499)</f>
        <v/>
      </c>
      <c r="W1499" s="4">
        <f>IF($O$1499="","",$O$1499)</f>
        <v/>
      </c>
      <c r="X1499" s="4">
        <f>J1499</f>
        <v/>
      </c>
    </row>
    <row r="1500">
      <c r="B1500" s="4" t="n">
        <v>1445</v>
      </c>
      <c r="C1500" s="4" t="inlineStr">
        <is>
          <t>16/09/2026</t>
        </is>
      </c>
      <c r="D1500" s="4" t="inlineStr">
        <is>
          <t>miércoles</t>
        </is>
      </c>
      <c r="E1500" s="4" t="n">
        <v>2311</v>
      </c>
      <c r="F1500" s="4" t="inlineStr">
        <is>
          <t>CIX</t>
        </is>
      </c>
      <c r="G1500" s="4" t="inlineStr">
        <is>
          <t>LIM</t>
        </is>
      </c>
      <c r="H1500" s="4" t="inlineStr">
        <is>
          <t>20:20:00</t>
        </is>
      </c>
      <c r="I1500" s="4" t="inlineStr">
        <is>
          <t>21:35:00</t>
        </is>
      </c>
      <c r="J1500" s="4" t="n">
        <v>319</v>
      </c>
      <c r="K1500">
        <f>TEXT(TIMEVALUE(H1500)-TIMEVALUE(I1499)+(TIMEVALUE(H1500)&lt;TIMEVALUE(I1499)),"[h]:mm")</f>
        <v/>
      </c>
      <c r="L1500" s="4" t="inlineStr">
        <is>
          <t>01:15:00</t>
        </is>
      </c>
      <c r="O1500">
        <f>"LIM-"&amp;G1499&amp;"-LIM   LA "&amp;E1499&amp;" ("&amp;LEFT(H1499,5)&amp;"-"&amp;LEFT(I1499,5)&amp;" hrs)  /  LA "&amp;E1500&amp;" ("&amp;LEFT(H1500,5)&amp;"-"&amp;LEFT(I1500,5)&amp;" hrs)"</f>
        <v/>
      </c>
    </row>
    <row r="1501">
      <c r="J1501" s="8" t="inlineStr">
        <is>
          <t>PSV total:</t>
        </is>
      </c>
      <c r="K1501" s="9">
        <f>TEXT(TIMEVALUE(I1500)-TIMEVALUE(H1499)+(I1500&lt;H1499),"[h]:mm")</f>
        <v/>
      </c>
    </row>
    <row r="1503">
      <c r="B1503" s="3" t="inlineStr">
        <is>
          <t>Pairing ID</t>
        </is>
      </c>
      <c r="C1503" s="3" t="inlineStr">
        <is>
          <t>FECHA REAL</t>
        </is>
      </c>
      <c r="D1503" s="3" t="inlineStr">
        <is>
          <t>Day of Week</t>
        </is>
      </c>
      <c r="E1503" s="3" t="inlineStr">
        <is>
          <t>Flight No</t>
        </is>
      </c>
      <c r="F1503" s="3" t="inlineStr">
        <is>
          <t>Dep Stn</t>
        </is>
      </c>
      <c r="G1503" s="3" t="inlineStr">
        <is>
          <t>Arr Stn</t>
        </is>
      </c>
      <c r="H1503" s="3" t="inlineStr">
        <is>
          <t>STD</t>
        </is>
      </c>
      <c r="I1503" s="3" t="inlineStr">
        <is>
          <t>STA</t>
        </is>
      </c>
      <c r="J1503" s="3" t="inlineStr">
        <is>
          <t>subflota</t>
        </is>
      </c>
      <c r="K1503" s="3" t="inlineStr">
        <is>
          <t>Conexion</t>
        </is>
      </c>
      <c r="L1503" s="3" t="inlineStr">
        <is>
          <t>HBT</t>
        </is>
      </c>
    </row>
    <row r="1504">
      <c r="B1504" s="4" t="n">
        <v>1488</v>
      </c>
      <c r="C1504" s="4" t="inlineStr">
        <is>
          <t>17/09/2026</t>
        </is>
      </c>
      <c r="D1504" s="4" t="inlineStr">
        <is>
          <t>jueves</t>
        </is>
      </c>
      <c r="E1504" s="4" t="n">
        <v>2013</v>
      </c>
      <c r="F1504" s="4" t="inlineStr">
        <is>
          <t>LIM</t>
        </is>
      </c>
      <c r="G1504" s="4" t="inlineStr">
        <is>
          <t>CUZ</t>
        </is>
      </c>
      <c r="H1504" s="4" t="inlineStr">
        <is>
          <t>08:35:00</t>
        </is>
      </c>
      <c r="I1504" s="4" t="inlineStr">
        <is>
          <t>09:55:00</t>
        </is>
      </c>
      <c r="J1504" s="4" t="n">
        <v>320</v>
      </c>
      <c r="L1504" s="4" t="inlineStr">
        <is>
          <t>01:20:00</t>
        </is>
      </c>
      <c r="M1504" s="5" t="n"/>
      <c r="N1504" s="6" t="n"/>
      <c r="O1504" s="5" t="n"/>
      <c r="Q1504" s="4">
        <f>B1504</f>
        <v/>
      </c>
      <c r="R1504" s="4">
        <f>C1504</f>
        <v/>
      </c>
      <c r="S1504" s="4">
        <f>D1504</f>
        <v/>
      </c>
      <c r="T1504" s="4">
        <f>E1504&amp;"/"&amp;E1505</f>
        <v/>
      </c>
      <c r="U1504" s="4">
        <f>F1504&amp;"-"&amp;G1504&amp;"-"&amp;F1504</f>
        <v/>
      </c>
      <c r="V1504" s="4">
        <f>IF($M$1504="","",$M$1504)</f>
        <v/>
      </c>
      <c r="W1504" s="4">
        <f>IF($O$1504="","",$O$1504)</f>
        <v/>
      </c>
      <c r="X1504" s="4">
        <f>J1504</f>
        <v/>
      </c>
    </row>
    <row r="1505">
      <c r="B1505" s="4" t="n">
        <v>1488</v>
      </c>
      <c r="C1505" s="4" t="inlineStr">
        <is>
          <t>17/09/2026</t>
        </is>
      </c>
      <c r="D1505" s="4" t="inlineStr">
        <is>
          <t>jueves</t>
        </is>
      </c>
      <c r="E1505" s="4" t="n">
        <v>2014</v>
      </c>
      <c r="F1505" s="4" t="inlineStr">
        <is>
          <t>CUZ</t>
        </is>
      </c>
      <c r="G1505" s="4" t="inlineStr">
        <is>
          <t>LIM</t>
        </is>
      </c>
      <c r="H1505" s="4" t="inlineStr">
        <is>
          <t>10:40:00</t>
        </is>
      </c>
      <c r="I1505" s="4" t="inlineStr">
        <is>
          <t>12:15:00</t>
        </is>
      </c>
      <c r="J1505" s="4" t="n">
        <v>320</v>
      </c>
      <c r="K1505">
        <f>TEXT(TIMEVALUE(H1505)-TIMEVALUE(I1504)+(TIMEVALUE(H1505)&lt;TIMEVALUE(I1504)),"[h]:mm")</f>
        <v/>
      </c>
      <c r="L1505" s="4" t="inlineStr">
        <is>
          <t>01:35:00</t>
        </is>
      </c>
      <c r="O1505">
        <f>"LIM-"&amp;G1504&amp;"-LIM   LA "&amp;E1504&amp;" ("&amp;LEFT(H1504,5)&amp;"-"&amp;LEFT(I1504,5)&amp;" hrs)  /  LA "&amp;E1505&amp;" ("&amp;LEFT(H1505,5)&amp;"-"&amp;LEFT(I1505,5)&amp;" hrs)"</f>
        <v/>
      </c>
    </row>
    <row r="1506">
      <c r="B1506" s="4" t="n">
        <v>1510</v>
      </c>
      <c r="C1506" s="4" t="inlineStr">
        <is>
          <t>17/09/2026</t>
        </is>
      </c>
      <c r="D1506" s="4" t="inlineStr">
        <is>
          <t>jueves</t>
        </is>
      </c>
      <c r="E1506" s="4" t="n">
        <v>2234</v>
      </c>
      <c r="F1506" s="4" t="inlineStr">
        <is>
          <t>LIM</t>
        </is>
      </c>
      <c r="G1506" s="4" t="inlineStr">
        <is>
          <t>IQT</t>
        </is>
      </c>
      <c r="H1506" s="4" t="inlineStr">
        <is>
          <t>13:35:00</t>
        </is>
      </c>
      <c r="I1506" s="4" t="inlineStr">
        <is>
          <t>15:25:00</t>
        </is>
      </c>
      <c r="J1506" s="4" t="n">
        <v>320</v>
      </c>
      <c r="K1506" s="7">
        <f>TEXT(TIMEVALUE(H1506)-TIMEVALUE(I1505)+(TIMEVALUE(H1506)&lt;TIMEVALUE(I1505)),"[h]:mm")</f>
        <v/>
      </c>
      <c r="L1506" s="4" t="inlineStr">
        <is>
          <t>01:50:00</t>
        </is>
      </c>
      <c r="M1506">
        <f>IF($M$1504="","",$M$1504)</f>
        <v/>
      </c>
      <c r="O1506">
        <f>IF($O$1504="","",$O$1504)</f>
        <v/>
      </c>
      <c r="Q1506" s="4">
        <f>B1506</f>
        <v/>
      </c>
      <c r="R1506" s="4">
        <f>C1506</f>
        <v/>
      </c>
      <c r="S1506" s="4">
        <f>D1506</f>
        <v/>
      </c>
      <c r="T1506" s="4">
        <f>E1506&amp;"/"&amp;E1507</f>
        <v/>
      </c>
      <c r="U1506" s="4">
        <f>F1506&amp;"-"&amp;G1506&amp;"-"&amp;F1506</f>
        <v/>
      </c>
      <c r="V1506" s="4">
        <f>IF($M$1504="","",$M$1504)</f>
        <v/>
      </c>
      <c r="W1506" s="4">
        <f>IF($O$1504="","",$O$1504)</f>
        <v/>
      </c>
      <c r="X1506" s="4">
        <f>J1506</f>
        <v/>
      </c>
    </row>
    <row r="1507">
      <c r="B1507" s="4" t="n">
        <v>1510</v>
      </c>
      <c r="C1507" s="4" t="inlineStr">
        <is>
          <t>17/09/2026</t>
        </is>
      </c>
      <c r="D1507" s="4" t="inlineStr">
        <is>
          <t>jueves</t>
        </is>
      </c>
      <c r="E1507" s="4" t="n">
        <v>2235</v>
      </c>
      <c r="F1507" s="4" t="inlineStr">
        <is>
          <t>IQT</t>
        </is>
      </c>
      <c r="G1507" s="4" t="inlineStr">
        <is>
          <t>LIM</t>
        </is>
      </c>
      <c r="H1507" s="4" t="inlineStr">
        <is>
          <t>16:05:00</t>
        </is>
      </c>
      <c r="I1507" s="4" t="inlineStr">
        <is>
          <t>17:55:00</t>
        </is>
      </c>
      <c r="J1507" s="4" t="n">
        <v>320</v>
      </c>
      <c r="K1507">
        <f>TEXT(TIMEVALUE(H1507)-TIMEVALUE(I1506)+(TIMEVALUE(H1507)&lt;TIMEVALUE(I1506)),"[h]:mm")</f>
        <v/>
      </c>
      <c r="L1507" s="4" t="inlineStr">
        <is>
          <t>01:50:00</t>
        </is>
      </c>
      <c r="O1507">
        <f>"LIM-"&amp;G1506&amp;"-LIM   LA "&amp;E1506&amp;" ("&amp;LEFT(H1506,5)&amp;"-"&amp;LEFT(I1506,5)&amp;" hrs)  /  LA "&amp;E1507&amp;" ("&amp;LEFT(H1507,5)&amp;"-"&amp;LEFT(I1507,5)&amp;" hrs)"</f>
        <v/>
      </c>
    </row>
    <row r="1508">
      <c r="J1508" s="8" t="inlineStr">
        <is>
          <t>PSV total:</t>
        </is>
      </c>
      <c r="K1508" s="9">
        <f>TEXT(TIMEVALUE(I1507)-TIMEVALUE(H1504)+(I1507&lt;H1504),"[h]:mm")</f>
        <v/>
      </c>
    </row>
    <row r="1510">
      <c r="B1510" s="3" t="inlineStr">
        <is>
          <t>Pairing ID</t>
        </is>
      </c>
      <c r="C1510" s="3" t="inlineStr">
        <is>
          <t>FECHA REAL</t>
        </is>
      </c>
      <c r="D1510" s="3" t="inlineStr">
        <is>
          <t>Day of Week</t>
        </is>
      </c>
      <c r="E1510" s="3" t="inlineStr">
        <is>
          <t>Flight No</t>
        </is>
      </c>
      <c r="F1510" s="3" t="inlineStr">
        <is>
          <t>Dep Stn</t>
        </is>
      </c>
      <c r="G1510" s="3" t="inlineStr">
        <is>
          <t>Arr Stn</t>
        </is>
      </c>
      <c r="H1510" s="3" t="inlineStr">
        <is>
          <t>STD</t>
        </is>
      </c>
      <c r="I1510" s="3" t="inlineStr">
        <is>
          <t>STA</t>
        </is>
      </c>
      <c r="J1510" s="3" t="inlineStr">
        <is>
          <t>subflota</t>
        </is>
      </c>
      <c r="K1510" s="3" t="inlineStr">
        <is>
          <t>Conexion</t>
        </is>
      </c>
      <c r="L1510" s="3" t="inlineStr">
        <is>
          <t>HBT</t>
        </is>
      </c>
    </row>
    <row r="1511">
      <c r="B1511" s="4" t="n">
        <v>1497</v>
      </c>
      <c r="C1511" s="4" t="inlineStr">
        <is>
          <t>17/09/2026</t>
        </is>
      </c>
      <c r="D1511" s="4" t="inlineStr">
        <is>
          <t>jueves</t>
        </is>
      </c>
      <c r="E1511" s="4" t="n">
        <v>2299</v>
      </c>
      <c r="F1511" s="4" t="inlineStr">
        <is>
          <t>LIM</t>
        </is>
      </c>
      <c r="G1511" s="4" t="inlineStr">
        <is>
          <t>CJA</t>
        </is>
      </c>
      <c r="H1511" s="4" t="inlineStr">
        <is>
          <t>11:35:00</t>
        </is>
      </c>
      <c r="I1511" s="4" t="inlineStr">
        <is>
          <t>12:55:00</t>
        </is>
      </c>
      <c r="J1511" s="4" t="n">
        <v>320</v>
      </c>
      <c r="L1511" s="4" t="inlineStr">
        <is>
          <t>01:20:00</t>
        </is>
      </c>
      <c r="M1511" s="5" t="n"/>
      <c r="N1511" s="6" t="n"/>
      <c r="O1511" s="5" t="n"/>
      <c r="Q1511" s="4">
        <f>B1511</f>
        <v/>
      </c>
      <c r="R1511" s="4">
        <f>C1511</f>
        <v/>
      </c>
      <c r="S1511" s="4">
        <f>D1511</f>
        <v/>
      </c>
      <c r="T1511" s="4">
        <f>E1511&amp;"/"&amp;E1512</f>
        <v/>
      </c>
      <c r="U1511" s="4">
        <f>F1511&amp;"-"&amp;G1511&amp;"-"&amp;F1511</f>
        <v/>
      </c>
      <c r="V1511" s="4">
        <f>IF($M$1511="","",$M$1511)</f>
        <v/>
      </c>
      <c r="W1511" s="4">
        <f>IF($O$1511="","",$O$1511)</f>
        <v/>
      </c>
      <c r="X1511" s="4">
        <f>J1511</f>
        <v/>
      </c>
    </row>
    <row r="1512">
      <c r="B1512" s="4" t="n">
        <v>1497</v>
      </c>
      <c r="C1512" s="4" t="inlineStr">
        <is>
          <t>17/09/2026</t>
        </is>
      </c>
      <c r="D1512" s="4" t="inlineStr">
        <is>
          <t>jueves</t>
        </is>
      </c>
      <c r="E1512" s="4" t="n">
        <v>2298</v>
      </c>
      <c r="F1512" s="4" t="inlineStr">
        <is>
          <t>CJA</t>
        </is>
      </c>
      <c r="G1512" s="4" t="inlineStr">
        <is>
          <t>LIM</t>
        </is>
      </c>
      <c r="H1512" s="4" t="inlineStr">
        <is>
          <t>13:40:00</t>
        </is>
      </c>
      <c r="I1512" s="4" t="inlineStr">
        <is>
          <t>14:50:00</t>
        </is>
      </c>
      <c r="J1512" s="4" t="n">
        <v>320</v>
      </c>
      <c r="K1512">
        <f>TEXT(TIMEVALUE(H1512)-TIMEVALUE(I1511)+(TIMEVALUE(H1512)&lt;TIMEVALUE(I1511)),"[h]:mm")</f>
        <v/>
      </c>
      <c r="L1512" s="4" t="inlineStr">
        <is>
          <t>01:10:00</t>
        </is>
      </c>
      <c r="O1512">
        <f>"LIM-"&amp;G1511&amp;"-LIM   LA "&amp;E1511&amp;" ("&amp;LEFT(H1511,5)&amp;"-"&amp;LEFT(I1511,5)&amp;" hrs)  /  LA "&amp;E1512&amp;" ("&amp;LEFT(H1512,5)&amp;"-"&amp;LEFT(I1512,5)&amp;" hrs)"</f>
        <v/>
      </c>
    </row>
    <row r="1513">
      <c r="J1513" s="8" t="inlineStr">
        <is>
          <t>PSV total:</t>
        </is>
      </c>
      <c r="K1513" s="9">
        <f>TEXT(TIMEVALUE(I1512)-TIMEVALUE(H1511)+(I1512&lt;H1511),"[h]:mm")</f>
        <v/>
      </c>
    </row>
    <row r="1515">
      <c r="B1515" s="3" t="inlineStr">
        <is>
          <t>Pairing ID</t>
        </is>
      </c>
      <c r="C1515" s="3" t="inlineStr">
        <is>
          <t>FECHA REAL</t>
        </is>
      </c>
      <c r="D1515" s="3" t="inlineStr">
        <is>
          <t>Day of Week</t>
        </is>
      </c>
      <c r="E1515" s="3" t="inlineStr">
        <is>
          <t>Flight No</t>
        </is>
      </c>
      <c r="F1515" s="3" t="inlineStr">
        <is>
          <t>Dep Stn</t>
        </is>
      </c>
      <c r="G1515" s="3" t="inlineStr">
        <is>
          <t>Arr Stn</t>
        </is>
      </c>
      <c r="H1515" s="3" t="inlineStr">
        <is>
          <t>STD</t>
        </is>
      </c>
      <c r="I1515" s="3" t="inlineStr">
        <is>
          <t>STA</t>
        </is>
      </c>
      <c r="J1515" s="3" t="inlineStr">
        <is>
          <t>subflota</t>
        </is>
      </c>
      <c r="K1515" s="3" t="inlineStr">
        <is>
          <t>Conexion</t>
        </is>
      </c>
      <c r="L1515" s="3" t="inlineStr">
        <is>
          <t>HBT</t>
        </is>
      </c>
    </row>
    <row r="1516">
      <c r="B1516" s="4" t="n">
        <v>1505</v>
      </c>
      <c r="C1516" s="4" t="inlineStr">
        <is>
          <t>17/09/2026</t>
        </is>
      </c>
      <c r="D1516" s="4" t="inlineStr">
        <is>
          <t>jueves</t>
        </is>
      </c>
      <c r="E1516" s="4" t="n">
        <v>2043</v>
      </c>
      <c r="F1516" s="4" t="inlineStr">
        <is>
          <t>LIM</t>
        </is>
      </c>
      <c r="G1516" s="4" t="inlineStr">
        <is>
          <t>AQP</t>
        </is>
      </c>
      <c r="H1516" s="4" t="inlineStr">
        <is>
          <t>12:45:00</t>
        </is>
      </c>
      <c r="I1516" s="4" t="inlineStr">
        <is>
          <t>14:15:00</t>
        </is>
      </c>
      <c r="J1516" s="4" t="n">
        <v>320</v>
      </c>
      <c r="L1516" s="4" t="inlineStr">
        <is>
          <t>01:30:00</t>
        </is>
      </c>
      <c r="M1516" s="5" t="n"/>
      <c r="N1516" s="6" t="n"/>
      <c r="O1516" s="5" t="n"/>
      <c r="Q1516" s="4">
        <f>B1516</f>
        <v/>
      </c>
      <c r="R1516" s="4">
        <f>C1516</f>
        <v/>
      </c>
      <c r="S1516" s="4">
        <f>D1516</f>
        <v/>
      </c>
      <c r="T1516" s="4">
        <f>E1516&amp;"/"&amp;E1517</f>
        <v/>
      </c>
      <c r="U1516" s="4">
        <f>F1516&amp;"-"&amp;G1516&amp;"-"&amp;F1516</f>
        <v/>
      </c>
      <c r="V1516" s="4">
        <f>IF($M$1516="","",$M$1516)</f>
        <v/>
      </c>
      <c r="W1516" s="4">
        <f>IF($O$1516="","",$O$1516)</f>
        <v/>
      </c>
      <c r="X1516" s="4">
        <f>J1516</f>
        <v/>
      </c>
    </row>
    <row r="1517">
      <c r="B1517" s="4" t="n">
        <v>1505</v>
      </c>
      <c r="C1517" s="4" t="inlineStr">
        <is>
          <t>17/09/2026</t>
        </is>
      </c>
      <c r="D1517" s="4" t="inlineStr">
        <is>
          <t>jueves</t>
        </is>
      </c>
      <c r="E1517" s="4" t="n">
        <v>2044</v>
      </c>
      <c r="F1517" s="4" t="inlineStr">
        <is>
          <t>AQP</t>
        </is>
      </c>
      <c r="G1517" s="4" t="inlineStr">
        <is>
          <t>LIM</t>
        </is>
      </c>
      <c r="H1517" s="4" t="inlineStr">
        <is>
          <t>15:00:00</t>
        </is>
      </c>
      <c r="I1517" s="4" t="inlineStr">
        <is>
          <t>16:35:00</t>
        </is>
      </c>
      <c r="J1517" s="4" t="n">
        <v>320</v>
      </c>
      <c r="K1517">
        <f>TEXT(TIMEVALUE(H1517)-TIMEVALUE(I1516)+(TIMEVALUE(H1517)&lt;TIMEVALUE(I1516)),"[h]:mm")</f>
        <v/>
      </c>
      <c r="L1517" s="4" t="inlineStr">
        <is>
          <t>01:35:00</t>
        </is>
      </c>
      <c r="O1517">
        <f>"LIM-"&amp;G1516&amp;"-LIM   LA "&amp;E1516&amp;" ("&amp;LEFT(H1516,5)&amp;"-"&amp;LEFT(I1516,5)&amp;" hrs)  /  LA "&amp;E1517&amp;" ("&amp;LEFT(H1517,5)&amp;"-"&amp;LEFT(I1517,5)&amp;" hrs)"</f>
        <v/>
      </c>
    </row>
    <row r="1518">
      <c r="J1518" s="8" t="inlineStr">
        <is>
          <t>PSV total:</t>
        </is>
      </c>
      <c r="K1518" s="9">
        <f>TEXT(TIMEVALUE(I1517)-TIMEVALUE(H1516)+(I1517&lt;H1516),"[h]:mm")</f>
        <v/>
      </c>
    </row>
    <row r="1520">
      <c r="B1520" s="3" t="inlineStr">
        <is>
          <t>Pairing ID</t>
        </is>
      </c>
      <c r="C1520" s="3" t="inlineStr">
        <is>
          <t>FECHA REAL</t>
        </is>
      </c>
      <c r="D1520" s="3" t="inlineStr">
        <is>
          <t>Day of Week</t>
        </is>
      </c>
      <c r="E1520" s="3" t="inlineStr">
        <is>
          <t>Flight No</t>
        </is>
      </c>
      <c r="F1520" s="3" t="inlineStr">
        <is>
          <t>Dep Stn</t>
        </is>
      </c>
      <c r="G1520" s="3" t="inlineStr">
        <is>
          <t>Arr Stn</t>
        </is>
      </c>
      <c r="H1520" s="3" t="inlineStr">
        <is>
          <t>STD</t>
        </is>
      </c>
      <c r="I1520" s="3" t="inlineStr">
        <is>
          <t>STA</t>
        </is>
      </c>
      <c r="J1520" s="3" t="inlineStr">
        <is>
          <t>subflota</t>
        </is>
      </c>
      <c r="K1520" s="3" t="inlineStr">
        <is>
          <t>Conexion</t>
        </is>
      </c>
      <c r="L1520" s="3" t="inlineStr">
        <is>
          <t>HBT</t>
        </is>
      </c>
    </row>
    <row r="1521">
      <c r="B1521" s="4" t="n">
        <v>1506</v>
      </c>
      <c r="C1521" s="4" t="inlineStr">
        <is>
          <t>17/09/2026</t>
        </is>
      </c>
      <c r="D1521" s="4" t="inlineStr">
        <is>
          <t>jueves</t>
        </is>
      </c>
      <c r="E1521" s="4" t="n">
        <v>2308</v>
      </c>
      <c r="F1521" s="4" t="inlineStr">
        <is>
          <t>LIM</t>
        </is>
      </c>
      <c r="G1521" s="4" t="inlineStr">
        <is>
          <t>PIU</t>
        </is>
      </c>
      <c r="H1521" s="4" t="inlineStr">
        <is>
          <t>12:50:00</t>
        </is>
      </c>
      <c r="I1521" s="4" t="inlineStr">
        <is>
          <t>14:35:00</t>
        </is>
      </c>
      <c r="J1521" s="4" t="n">
        <v>319</v>
      </c>
      <c r="L1521" s="4" t="inlineStr">
        <is>
          <t>01:45:00</t>
        </is>
      </c>
      <c r="M1521" s="5" t="n"/>
      <c r="N1521" s="6" t="n"/>
      <c r="O1521" s="5" t="n"/>
      <c r="Q1521" s="4">
        <f>B1521</f>
        <v/>
      </c>
      <c r="R1521" s="4">
        <f>C1521</f>
        <v/>
      </c>
      <c r="S1521" s="4">
        <f>D1521</f>
        <v/>
      </c>
      <c r="T1521" s="4">
        <f>E1521&amp;"/"&amp;E1522</f>
        <v/>
      </c>
      <c r="U1521" s="4">
        <f>F1521&amp;"-"&amp;G1521&amp;"-"&amp;F1521</f>
        <v/>
      </c>
      <c r="V1521" s="4">
        <f>IF($M$1521="","",$M$1521)</f>
        <v/>
      </c>
      <c r="W1521" s="4">
        <f>IF($O$1521="","",$O$1521)</f>
        <v/>
      </c>
      <c r="X1521" s="4">
        <f>J1521</f>
        <v/>
      </c>
    </row>
    <row r="1522">
      <c r="B1522" s="4" t="n">
        <v>1506</v>
      </c>
      <c r="C1522" s="4" t="inlineStr">
        <is>
          <t>17/09/2026</t>
        </is>
      </c>
      <c r="D1522" s="4" t="inlineStr">
        <is>
          <t>jueves</t>
        </is>
      </c>
      <c r="E1522" s="4" t="n">
        <v>2309</v>
      </c>
      <c r="F1522" s="4" t="inlineStr">
        <is>
          <t>PIU</t>
        </is>
      </c>
      <c r="G1522" s="4" t="inlineStr">
        <is>
          <t>LIM</t>
        </is>
      </c>
      <c r="H1522" s="4" t="inlineStr">
        <is>
          <t>15:25:00</t>
        </is>
      </c>
      <c r="I1522" s="4" t="inlineStr">
        <is>
          <t>16:55:00</t>
        </is>
      </c>
      <c r="J1522" s="4" t="n">
        <v>319</v>
      </c>
      <c r="K1522">
        <f>TEXT(TIMEVALUE(H1522)-TIMEVALUE(I1521)+(TIMEVALUE(H1522)&lt;TIMEVALUE(I1521)),"[h]:mm")</f>
        <v/>
      </c>
      <c r="L1522" s="4" t="inlineStr">
        <is>
          <t>01:30:00</t>
        </is>
      </c>
      <c r="O1522">
        <f>"LIM-"&amp;G1521&amp;"-LIM   LA "&amp;E1521&amp;" ("&amp;LEFT(H1521,5)&amp;"-"&amp;LEFT(I1521,5)&amp;" hrs)  /  LA "&amp;E1522&amp;" ("&amp;LEFT(H1522,5)&amp;"-"&amp;LEFT(I1522,5)&amp;" hrs)"</f>
        <v/>
      </c>
    </row>
    <row r="1523">
      <c r="J1523" s="8" t="inlineStr">
        <is>
          <t>PSV total:</t>
        </is>
      </c>
      <c r="K1523" s="9">
        <f>TEXT(TIMEVALUE(I1522)-TIMEVALUE(H1521)+(I1522&lt;H1521),"[h]:mm")</f>
        <v/>
      </c>
    </row>
    <row r="1525">
      <c r="B1525" s="3" t="inlineStr">
        <is>
          <t>Pairing ID</t>
        </is>
      </c>
      <c r="C1525" s="3" t="inlineStr">
        <is>
          <t>FECHA REAL</t>
        </is>
      </c>
      <c r="D1525" s="3" t="inlineStr">
        <is>
          <t>Day of Week</t>
        </is>
      </c>
      <c r="E1525" s="3" t="inlineStr">
        <is>
          <t>Flight No</t>
        </is>
      </c>
      <c r="F1525" s="3" t="inlineStr">
        <is>
          <t>Dep Stn</t>
        </is>
      </c>
      <c r="G1525" s="3" t="inlineStr">
        <is>
          <t>Arr Stn</t>
        </is>
      </c>
      <c r="H1525" s="3" t="inlineStr">
        <is>
          <t>STD</t>
        </is>
      </c>
      <c r="I1525" s="3" t="inlineStr">
        <is>
          <t>STA</t>
        </is>
      </c>
      <c r="J1525" s="3" t="inlineStr">
        <is>
          <t>subflota</t>
        </is>
      </c>
      <c r="K1525" s="3" t="inlineStr">
        <is>
          <t>Conexion</t>
        </is>
      </c>
      <c r="L1525" s="3" t="inlineStr">
        <is>
          <t>HBT</t>
        </is>
      </c>
    </row>
    <row r="1526">
      <c r="B1526" s="4" t="n">
        <v>1516</v>
      </c>
      <c r="C1526" s="4" t="inlineStr">
        <is>
          <t>17/09/2026</t>
        </is>
      </c>
      <c r="D1526" s="4" t="inlineStr">
        <is>
          <t>jueves</t>
        </is>
      </c>
      <c r="E1526" s="4" t="n">
        <v>2282</v>
      </c>
      <c r="F1526" s="4" t="inlineStr">
        <is>
          <t>LIM</t>
        </is>
      </c>
      <c r="G1526" s="4" t="inlineStr">
        <is>
          <t>CIX</t>
        </is>
      </c>
      <c r="H1526" s="4" t="inlineStr">
        <is>
          <t>14:35:00</t>
        </is>
      </c>
      <c r="I1526" s="4" t="inlineStr">
        <is>
          <t>16:05:00</t>
        </is>
      </c>
      <c r="J1526" s="4" t="n">
        <v>320</v>
      </c>
      <c r="L1526" s="4" t="inlineStr">
        <is>
          <t>01:30:00</t>
        </is>
      </c>
      <c r="M1526" s="5" t="n"/>
      <c r="N1526" s="6" t="n"/>
      <c r="O1526" s="5" t="n"/>
      <c r="Q1526" s="4">
        <f>B1526</f>
        <v/>
      </c>
      <c r="R1526" s="4">
        <f>C1526</f>
        <v/>
      </c>
      <c r="S1526" s="4">
        <f>D1526</f>
        <v/>
      </c>
      <c r="T1526" s="4">
        <f>E1526&amp;"/"&amp;E1527</f>
        <v/>
      </c>
      <c r="U1526" s="4">
        <f>F1526&amp;"-"&amp;G1526&amp;"-"&amp;F1526</f>
        <v/>
      </c>
      <c r="V1526" s="4">
        <f>IF($M$1526="","",$M$1526)</f>
        <v/>
      </c>
      <c r="W1526" s="4">
        <f>IF($O$1526="","",$O$1526)</f>
        <v/>
      </c>
      <c r="X1526" s="4">
        <f>J1526</f>
        <v/>
      </c>
    </row>
    <row r="1527">
      <c r="B1527" s="4" t="n">
        <v>1516</v>
      </c>
      <c r="C1527" s="4" t="inlineStr">
        <is>
          <t>17/09/2026</t>
        </is>
      </c>
      <c r="D1527" s="4" t="inlineStr">
        <is>
          <t>jueves</t>
        </is>
      </c>
      <c r="E1527" s="4" t="n">
        <v>2283</v>
      </c>
      <c r="F1527" s="4" t="inlineStr">
        <is>
          <t>CIX</t>
        </is>
      </c>
      <c r="G1527" s="4" t="inlineStr">
        <is>
          <t>LIM</t>
        </is>
      </c>
      <c r="H1527" s="4" t="inlineStr">
        <is>
          <t>16:50:00</t>
        </is>
      </c>
      <c r="I1527" s="4" t="inlineStr">
        <is>
          <t>18:10:00</t>
        </is>
      </c>
      <c r="J1527" s="4" t="n">
        <v>320</v>
      </c>
      <c r="K1527">
        <f>TEXT(TIMEVALUE(H1527)-TIMEVALUE(I1526)+(TIMEVALUE(H1527)&lt;TIMEVALUE(I1526)),"[h]:mm")</f>
        <v/>
      </c>
      <c r="L1527" s="4" t="inlineStr">
        <is>
          <t>01:20:00</t>
        </is>
      </c>
      <c r="O1527">
        <f>"LIM-"&amp;G1526&amp;"-LIM   LA "&amp;E1526&amp;" ("&amp;LEFT(H1526,5)&amp;"-"&amp;LEFT(I1526,5)&amp;" hrs)  /  LA "&amp;E1527&amp;" ("&amp;LEFT(H1527,5)&amp;"-"&amp;LEFT(I1527,5)&amp;" hrs)"</f>
        <v/>
      </c>
    </row>
    <row r="1528">
      <c r="J1528" s="8" t="inlineStr">
        <is>
          <t>PSV total:</t>
        </is>
      </c>
      <c r="K1528" s="9">
        <f>TEXT(TIMEVALUE(I1527)-TIMEVALUE(H1526)+(I1527&lt;H1526),"[h]:mm")</f>
        <v/>
      </c>
    </row>
    <row r="1530">
      <c r="B1530" s="3" t="inlineStr">
        <is>
          <t>Pairing ID</t>
        </is>
      </c>
      <c r="C1530" s="3" t="inlineStr">
        <is>
          <t>FECHA REAL</t>
        </is>
      </c>
      <c r="D1530" s="3" t="inlineStr">
        <is>
          <t>Day of Week</t>
        </is>
      </c>
      <c r="E1530" s="3" t="inlineStr">
        <is>
          <t>Flight No</t>
        </is>
      </c>
      <c r="F1530" s="3" t="inlineStr">
        <is>
          <t>Dep Stn</t>
        </is>
      </c>
      <c r="G1530" s="3" t="inlineStr">
        <is>
          <t>Arr Stn</t>
        </is>
      </c>
      <c r="H1530" s="3" t="inlineStr">
        <is>
          <t>STD</t>
        </is>
      </c>
      <c r="I1530" s="3" t="inlineStr">
        <is>
          <t>STA</t>
        </is>
      </c>
      <c r="J1530" s="3" t="inlineStr">
        <is>
          <t>subflota</t>
        </is>
      </c>
      <c r="K1530" s="3" t="inlineStr">
        <is>
          <t>Conexion</t>
        </is>
      </c>
      <c r="L1530" s="3" t="inlineStr">
        <is>
          <t>HBT</t>
        </is>
      </c>
    </row>
    <row r="1531">
      <c r="B1531" s="4" t="n">
        <v>1517</v>
      </c>
      <c r="C1531" s="4" t="inlineStr">
        <is>
          <t>17/09/2026</t>
        </is>
      </c>
      <c r="D1531" s="4" t="inlineStr">
        <is>
          <t>jueves</t>
        </is>
      </c>
      <c r="E1531" s="4" t="n">
        <v>2264</v>
      </c>
      <c r="F1531" s="4" t="inlineStr">
        <is>
          <t>LIM</t>
        </is>
      </c>
      <c r="G1531" s="4" t="inlineStr">
        <is>
          <t>PEM</t>
        </is>
      </c>
      <c r="H1531" s="4" t="inlineStr">
        <is>
          <t>14:55:00</t>
        </is>
      </c>
      <c r="I1531" s="4" t="inlineStr">
        <is>
          <t>16:40:00</t>
        </is>
      </c>
      <c r="J1531" s="4" t="n">
        <v>319</v>
      </c>
      <c r="L1531" s="4" t="inlineStr">
        <is>
          <t>01:45:00</t>
        </is>
      </c>
      <c r="M1531" s="5" t="n"/>
      <c r="N1531" s="6" t="n"/>
      <c r="O1531" s="5" t="n"/>
      <c r="Q1531" s="4">
        <f>B1531</f>
        <v/>
      </c>
      <c r="R1531" s="4">
        <f>C1531</f>
        <v/>
      </c>
      <c r="S1531" s="4">
        <f>D1531</f>
        <v/>
      </c>
      <c r="T1531" s="4">
        <f>E1531&amp;"/"&amp;E1532</f>
        <v/>
      </c>
      <c r="U1531" s="4">
        <f>F1531&amp;"-"&amp;G1531&amp;"-"&amp;F1531</f>
        <v/>
      </c>
      <c r="V1531" s="4">
        <f>IF($M$1531="","",$M$1531)</f>
        <v/>
      </c>
      <c r="W1531" s="4">
        <f>IF($O$1531="","",$O$1531)</f>
        <v/>
      </c>
      <c r="X1531" s="4">
        <f>J1531</f>
        <v/>
      </c>
    </row>
    <row r="1532">
      <c r="B1532" s="4" t="n">
        <v>1517</v>
      </c>
      <c r="C1532" s="4" t="inlineStr">
        <is>
          <t>17/09/2026</t>
        </is>
      </c>
      <c r="D1532" s="4" t="inlineStr">
        <is>
          <t>jueves</t>
        </is>
      </c>
      <c r="E1532" s="4" t="n">
        <v>2265</v>
      </c>
      <c r="F1532" s="4" t="inlineStr">
        <is>
          <t>PEM</t>
        </is>
      </c>
      <c r="G1532" s="4" t="inlineStr">
        <is>
          <t>LIM</t>
        </is>
      </c>
      <c r="H1532" s="4" t="inlineStr">
        <is>
          <t>17:20:00</t>
        </is>
      </c>
      <c r="I1532" s="4" t="inlineStr">
        <is>
          <t>18:55:00</t>
        </is>
      </c>
      <c r="J1532" s="4" t="n">
        <v>319</v>
      </c>
      <c r="K1532">
        <f>TEXT(TIMEVALUE(H1532)-TIMEVALUE(I1531)+(TIMEVALUE(H1532)&lt;TIMEVALUE(I1531)),"[h]:mm")</f>
        <v/>
      </c>
      <c r="L1532" s="4" t="inlineStr">
        <is>
          <t>01:35:00</t>
        </is>
      </c>
      <c r="O1532">
        <f>"LIM-"&amp;G1531&amp;"-LIM   LA "&amp;E1531&amp;" ("&amp;LEFT(H1531,5)&amp;"-"&amp;LEFT(I1531,5)&amp;" hrs)  /  LA "&amp;E1532&amp;" ("&amp;LEFT(H1532,5)&amp;"-"&amp;LEFT(I1532,5)&amp;" hrs)"</f>
        <v/>
      </c>
    </row>
    <row r="1533">
      <c r="J1533" s="8" t="inlineStr">
        <is>
          <t>PSV total:</t>
        </is>
      </c>
      <c r="K1533" s="9">
        <f>TEXT(TIMEVALUE(I1532)-TIMEVALUE(H1531)+(I1532&lt;H1531),"[h]:mm")</f>
        <v/>
      </c>
    </row>
    <row r="1535">
      <c r="B1535" s="3" t="inlineStr">
        <is>
          <t>Pairing ID</t>
        </is>
      </c>
      <c r="C1535" s="3" t="inlineStr">
        <is>
          <t>FECHA REAL</t>
        </is>
      </c>
      <c r="D1535" s="3" t="inlineStr">
        <is>
          <t>Day of Week</t>
        </is>
      </c>
      <c r="E1535" s="3" t="inlineStr">
        <is>
          <t>Flight No</t>
        </is>
      </c>
      <c r="F1535" s="3" t="inlineStr">
        <is>
          <t>Dep Stn</t>
        </is>
      </c>
      <c r="G1535" s="3" t="inlineStr">
        <is>
          <t>Arr Stn</t>
        </is>
      </c>
      <c r="H1535" s="3" t="inlineStr">
        <is>
          <t>STD</t>
        </is>
      </c>
      <c r="I1535" s="3" t="inlineStr">
        <is>
          <t>STA</t>
        </is>
      </c>
      <c r="J1535" s="3" t="inlineStr">
        <is>
          <t>subflota</t>
        </is>
      </c>
      <c r="K1535" s="3" t="inlineStr">
        <is>
          <t>Conexion</t>
        </is>
      </c>
      <c r="L1535" s="3" t="inlineStr">
        <is>
          <t>HBT</t>
        </is>
      </c>
    </row>
    <row r="1536">
      <c r="B1536" s="4" t="n">
        <v>1518</v>
      </c>
      <c r="C1536" s="4" t="inlineStr">
        <is>
          <t>17/09/2026</t>
        </is>
      </c>
      <c r="D1536" s="4" t="inlineStr">
        <is>
          <t>jueves</t>
        </is>
      </c>
      <c r="E1536" s="4" t="n">
        <v>2338</v>
      </c>
      <c r="F1536" s="4" t="inlineStr">
        <is>
          <t>LIM</t>
        </is>
      </c>
      <c r="G1536" s="4" t="inlineStr">
        <is>
          <t>PIU</t>
        </is>
      </c>
      <c r="H1536" s="4" t="inlineStr">
        <is>
          <t>15:00:00</t>
        </is>
      </c>
      <c r="I1536" s="4" t="inlineStr">
        <is>
          <t>16:45:00</t>
        </is>
      </c>
      <c r="J1536" s="4" t="n">
        <v>320</v>
      </c>
      <c r="L1536" s="4" t="inlineStr">
        <is>
          <t>01:45:00</t>
        </is>
      </c>
      <c r="M1536" s="5" t="n"/>
      <c r="N1536" s="6" t="n"/>
      <c r="O1536" s="5" t="n"/>
      <c r="Q1536" s="4">
        <f>B1536</f>
        <v/>
      </c>
      <c r="R1536" s="4">
        <f>C1536</f>
        <v/>
      </c>
      <c r="S1536" s="4">
        <f>D1536</f>
        <v/>
      </c>
      <c r="T1536" s="4">
        <f>E1536&amp;"/"&amp;E1537</f>
        <v/>
      </c>
      <c r="U1536" s="4">
        <f>F1536&amp;"-"&amp;G1536&amp;"-"&amp;F1536</f>
        <v/>
      </c>
      <c r="V1536" s="4">
        <f>IF($M$1536="","",$M$1536)</f>
        <v/>
      </c>
      <c r="W1536" s="4">
        <f>IF($O$1536="","",$O$1536)</f>
        <v/>
      </c>
      <c r="X1536" s="4">
        <f>J1536</f>
        <v/>
      </c>
    </row>
    <row r="1537">
      <c r="B1537" s="4" t="n">
        <v>1518</v>
      </c>
      <c r="C1537" s="4" t="inlineStr">
        <is>
          <t>17/09/2026</t>
        </is>
      </c>
      <c r="D1537" s="4" t="inlineStr">
        <is>
          <t>jueves</t>
        </is>
      </c>
      <c r="E1537" s="4" t="n">
        <v>2339</v>
      </c>
      <c r="F1537" s="4" t="inlineStr">
        <is>
          <t>PIU</t>
        </is>
      </c>
      <c r="G1537" s="4" t="inlineStr">
        <is>
          <t>LIM</t>
        </is>
      </c>
      <c r="H1537" s="4" t="inlineStr">
        <is>
          <t>17:20:00</t>
        </is>
      </c>
      <c r="I1537" s="4" t="inlineStr">
        <is>
          <t>18:50:00</t>
        </is>
      </c>
      <c r="J1537" s="4" t="n">
        <v>320</v>
      </c>
      <c r="K1537">
        <f>TEXT(TIMEVALUE(H1537)-TIMEVALUE(I1536)+(TIMEVALUE(H1537)&lt;TIMEVALUE(I1536)),"[h]:mm")</f>
        <v/>
      </c>
      <c r="L1537" s="4" t="inlineStr">
        <is>
          <t>01:30:00</t>
        </is>
      </c>
      <c r="O1537">
        <f>"LIM-"&amp;G1536&amp;"-LIM   LA "&amp;E1536&amp;" ("&amp;LEFT(H1536,5)&amp;"-"&amp;LEFT(I1536,5)&amp;" hrs)  /  LA "&amp;E1537&amp;" ("&amp;LEFT(H1537,5)&amp;"-"&amp;LEFT(I1537,5)&amp;" hrs)"</f>
        <v/>
      </c>
    </row>
    <row r="1538">
      <c r="J1538" s="8" t="inlineStr">
        <is>
          <t>PSV total:</t>
        </is>
      </c>
      <c r="K1538" s="9">
        <f>TEXT(TIMEVALUE(I1537)-TIMEVALUE(H1536)+(I1537&lt;H1536),"[h]:mm")</f>
        <v/>
      </c>
    </row>
    <row r="1540">
      <c r="B1540" s="3" t="inlineStr">
        <is>
          <t>Pairing ID</t>
        </is>
      </c>
      <c r="C1540" s="3" t="inlineStr">
        <is>
          <t>FECHA REAL</t>
        </is>
      </c>
      <c r="D1540" s="3" t="inlineStr">
        <is>
          <t>Day of Week</t>
        </is>
      </c>
      <c r="E1540" s="3" t="inlineStr">
        <is>
          <t>Flight No</t>
        </is>
      </c>
      <c r="F1540" s="3" t="inlineStr">
        <is>
          <t>Dep Stn</t>
        </is>
      </c>
      <c r="G1540" s="3" t="inlineStr">
        <is>
          <t>Arr Stn</t>
        </is>
      </c>
      <c r="H1540" s="3" t="inlineStr">
        <is>
          <t>STD</t>
        </is>
      </c>
      <c r="I1540" s="3" t="inlineStr">
        <is>
          <t>STA</t>
        </is>
      </c>
      <c r="J1540" s="3" t="inlineStr">
        <is>
          <t>subflota</t>
        </is>
      </c>
      <c r="K1540" s="3" t="inlineStr">
        <is>
          <t>Conexion</t>
        </is>
      </c>
      <c r="L1540" s="3" t="inlineStr">
        <is>
          <t>HBT</t>
        </is>
      </c>
    </row>
    <row r="1541">
      <c r="B1541" s="4" t="n">
        <v>1519</v>
      </c>
      <c r="C1541" s="4" t="inlineStr">
        <is>
          <t>17/09/2026</t>
        </is>
      </c>
      <c r="D1541" s="4" t="inlineStr">
        <is>
          <t>jueves</t>
        </is>
      </c>
      <c r="E1541" s="4" t="n">
        <v>2113</v>
      </c>
      <c r="F1541" s="4" t="inlineStr">
        <is>
          <t>LIM</t>
        </is>
      </c>
      <c r="G1541" s="4" t="inlineStr">
        <is>
          <t>AQP</t>
        </is>
      </c>
      <c r="H1541" s="4" t="inlineStr">
        <is>
          <t>15:05:00</t>
        </is>
      </c>
      <c r="I1541" s="4" t="inlineStr">
        <is>
          <t>16:35:00</t>
        </is>
      </c>
      <c r="J1541" s="4" t="n">
        <v>320</v>
      </c>
      <c r="L1541" s="4" t="inlineStr">
        <is>
          <t>01:30:00</t>
        </is>
      </c>
      <c r="M1541" s="5" t="n"/>
      <c r="N1541" s="6" t="n"/>
      <c r="O1541" s="5" t="n"/>
      <c r="Q1541" s="4">
        <f>B1541</f>
        <v/>
      </c>
      <c r="R1541" s="4">
        <f>C1541</f>
        <v/>
      </c>
      <c r="S1541" s="4">
        <f>D1541</f>
        <v/>
      </c>
      <c r="T1541" s="4">
        <f>E1541&amp;"/"&amp;E1542</f>
        <v/>
      </c>
      <c r="U1541" s="4">
        <f>F1541&amp;"-"&amp;G1541&amp;"-"&amp;F1541</f>
        <v/>
      </c>
      <c r="V1541" s="4">
        <f>IF($M$1541="","",$M$1541)</f>
        <v/>
      </c>
      <c r="W1541" s="4">
        <f>IF($O$1541="","",$O$1541)</f>
        <v/>
      </c>
      <c r="X1541" s="4">
        <f>J1541</f>
        <v/>
      </c>
    </row>
    <row r="1542">
      <c r="B1542" s="4" t="n">
        <v>1519</v>
      </c>
      <c r="C1542" s="4" t="inlineStr">
        <is>
          <t>17/09/2026</t>
        </is>
      </c>
      <c r="D1542" s="4" t="inlineStr">
        <is>
          <t>jueves</t>
        </is>
      </c>
      <c r="E1542" s="4" t="n">
        <v>2112</v>
      </c>
      <c r="F1542" s="4" t="inlineStr">
        <is>
          <t>AQP</t>
        </is>
      </c>
      <c r="G1542" s="4" t="inlineStr">
        <is>
          <t>LIM</t>
        </is>
      </c>
      <c r="H1542" s="4" t="inlineStr">
        <is>
          <t>17:15:00</t>
        </is>
      </c>
      <c r="I1542" s="4" t="inlineStr">
        <is>
          <t>18:55:00</t>
        </is>
      </c>
      <c r="J1542" s="4" t="n">
        <v>320</v>
      </c>
      <c r="K1542">
        <f>TEXT(TIMEVALUE(H1542)-TIMEVALUE(I1541)+(TIMEVALUE(H1542)&lt;TIMEVALUE(I1541)),"[h]:mm")</f>
        <v/>
      </c>
      <c r="L1542" s="4" t="inlineStr">
        <is>
          <t>01:40:00</t>
        </is>
      </c>
      <c r="O1542">
        <f>"LIM-"&amp;G1541&amp;"-LIM   LA "&amp;E1541&amp;" ("&amp;LEFT(H1541,5)&amp;"-"&amp;LEFT(I1541,5)&amp;" hrs)  /  LA "&amp;E1542&amp;" ("&amp;LEFT(H1542,5)&amp;"-"&amp;LEFT(I1542,5)&amp;" hrs)"</f>
        <v/>
      </c>
    </row>
    <row r="1543">
      <c r="J1543" s="8" t="inlineStr">
        <is>
          <t>PSV total:</t>
        </is>
      </c>
      <c r="K1543" s="9">
        <f>TEXT(TIMEVALUE(I1542)-TIMEVALUE(H1541)+(I1542&lt;H1541),"[h]:mm")</f>
        <v/>
      </c>
    </row>
    <row r="1545">
      <c r="B1545" s="3" t="inlineStr">
        <is>
          <t>Pairing ID</t>
        </is>
      </c>
      <c r="C1545" s="3" t="inlineStr">
        <is>
          <t>FECHA REAL</t>
        </is>
      </c>
      <c r="D1545" s="3" t="inlineStr">
        <is>
          <t>Day of Week</t>
        </is>
      </c>
      <c r="E1545" s="3" t="inlineStr">
        <is>
          <t>Flight No</t>
        </is>
      </c>
      <c r="F1545" s="3" t="inlineStr">
        <is>
          <t>Dep Stn</t>
        </is>
      </c>
      <c r="G1545" s="3" t="inlineStr">
        <is>
          <t>Arr Stn</t>
        </is>
      </c>
      <c r="H1545" s="3" t="inlineStr">
        <is>
          <t>STD</t>
        </is>
      </c>
      <c r="I1545" s="3" t="inlineStr">
        <is>
          <t>STA</t>
        </is>
      </c>
      <c r="J1545" s="3" t="inlineStr">
        <is>
          <t>subflota</t>
        </is>
      </c>
      <c r="K1545" s="3" t="inlineStr">
        <is>
          <t>Conexion</t>
        </is>
      </c>
      <c r="L1545" s="3" t="inlineStr">
        <is>
          <t>HBT</t>
        </is>
      </c>
    </row>
    <row r="1546">
      <c r="B1546" s="4" t="n">
        <v>1521</v>
      </c>
      <c r="C1546" s="4" t="inlineStr">
        <is>
          <t>17/09/2026</t>
        </is>
      </c>
      <c r="D1546" s="4" t="inlineStr">
        <is>
          <t>jueves</t>
        </is>
      </c>
      <c r="E1546" s="4" t="n">
        <v>2297</v>
      </c>
      <c r="F1546" s="4" t="inlineStr">
        <is>
          <t>LIM</t>
        </is>
      </c>
      <c r="G1546" s="4" t="inlineStr">
        <is>
          <t>CJA</t>
        </is>
      </c>
      <c r="H1546" s="4" t="inlineStr">
        <is>
          <t>15:15:00</t>
        </is>
      </c>
      <c r="I1546" s="4" t="inlineStr">
        <is>
          <t>16:35:00</t>
        </is>
      </c>
      <c r="J1546" s="4" t="n">
        <v>319</v>
      </c>
      <c r="L1546" s="4" t="inlineStr">
        <is>
          <t>01:20:00</t>
        </is>
      </c>
      <c r="M1546" s="5" t="n"/>
      <c r="N1546" s="6" t="n"/>
      <c r="O1546" s="5" t="n"/>
      <c r="Q1546" s="4">
        <f>B1546</f>
        <v/>
      </c>
      <c r="R1546" s="4">
        <f>C1546</f>
        <v/>
      </c>
      <c r="S1546" s="4">
        <f>D1546</f>
        <v/>
      </c>
      <c r="T1546" s="4">
        <f>E1546&amp;"/"&amp;E1547</f>
        <v/>
      </c>
      <c r="U1546" s="4">
        <f>F1546&amp;"-"&amp;G1546&amp;"-"&amp;F1546</f>
        <v/>
      </c>
      <c r="V1546" s="4">
        <f>IF($M$1546="","",$M$1546)</f>
        <v/>
      </c>
      <c r="W1546" s="4">
        <f>IF($O$1546="","",$O$1546)</f>
        <v/>
      </c>
      <c r="X1546" s="4">
        <f>J1546</f>
        <v/>
      </c>
    </row>
    <row r="1547">
      <c r="B1547" s="4" t="n">
        <v>1521</v>
      </c>
      <c r="C1547" s="4" t="inlineStr">
        <is>
          <t>17/09/2026</t>
        </is>
      </c>
      <c r="D1547" s="4" t="inlineStr">
        <is>
          <t>jueves</t>
        </is>
      </c>
      <c r="E1547" s="4" t="n">
        <v>2296</v>
      </c>
      <c r="F1547" s="4" t="inlineStr">
        <is>
          <t>CJA</t>
        </is>
      </c>
      <c r="G1547" s="4" t="inlineStr">
        <is>
          <t>LIM</t>
        </is>
      </c>
      <c r="H1547" s="4" t="inlineStr">
        <is>
          <t>17:20:00</t>
        </is>
      </c>
      <c r="I1547" s="4" t="inlineStr">
        <is>
          <t>18:25:00</t>
        </is>
      </c>
      <c r="J1547" s="4" t="n">
        <v>319</v>
      </c>
      <c r="K1547">
        <f>TEXT(TIMEVALUE(H1547)-TIMEVALUE(I1546)+(TIMEVALUE(H1547)&lt;TIMEVALUE(I1546)),"[h]:mm")</f>
        <v/>
      </c>
      <c r="L1547" s="4" t="inlineStr">
        <is>
          <t>01:05:00</t>
        </is>
      </c>
      <c r="O1547">
        <f>"LIM-"&amp;G1546&amp;"-LIM   LA "&amp;E1546&amp;" ("&amp;LEFT(H1546,5)&amp;"-"&amp;LEFT(I1546,5)&amp;" hrs)  /  LA "&amp;E1547&amp;" ("&amp;LEFT(H1547,5)&amp;"-"&amp;LEFT(I1547,5)&amp;" hrs)"</f>
        <v/>
      </c>
    </row>
    <row r="1548">
      <c r="J1548" s="8" t="inlineStr">
        <is>
          <t>PSV total:</t>
        </is>
      </c>
      <c r="K1548" s="9">
        <f>TEXT(TIMEVALUE(I1547)-TIMEVALUE(H1546)+(I1547&lt;H1546),"[h]:mm")</f>
        <v/>
      </c>
    </row>
    <row r="1550">
      <c r="B1550" s="3" t="inlineStr">
        <is>
          <t>Pairing ID</t>
        </is>
      </c>
      <c r="C1550" s="3" t="inlineStr">
        <is>
          <t>FECHA REAL</t>
        </is>
      </c>
      <c r="D1550" s="3" t="inlineStr">
        <is>
          <t>Day of Week</t>
        </is>
      </c>
      <c r="E1550" s="3" t="inlineStr">
        <is>
          <t>Flight No</t>
        </is>
      </c>
      <c r="F1550" s="3" t="inlineStr">
        <is>
          <t>Dep Stn</t>
        </is>
      </c>
      <c r="G1550" s="3" t="inlineStr">
        <is>
          <t>Arr Stn</t>
        </is>
      </c>
      <c r="H1550" s="3" t="inlineStr">
        <is>
          <t>STD</t>
        </is>
      </c>
      <c r="I1550" s="3" t="inlineStr">
        <is>
          <t>STA</t>
        </is>
      </c>
      <c r="J1550" s="3" t="inlineStr">
        <is>
          <t>subflota</t>
        </is>
      </c>
      <c r="K1550" s="3" t="inlineStr">
        <is>
          <t>Conexion</t>
        </is>
      </c>
      <c r="L1550" s="3" t="inlineStr">
        <is>
          <t>HBT</t>
        </is>
      </c>
    </row>
    <row r="1551">
      <c r="B1551" s="4" t="n">
        <v>1522</v>
      </c>
      <c r="C1551" s="4" t="inlineStr">
        <is>
          <t>17/09/2026</t>
        </is>
      </c>
      <c r="D1551" s="4" t="inlineStr">
        <is>
          <t>jueves</t>
        </is>
      </c>
      <c r="E1551" s="4" t="n">
        <v>2360</v>
      </c>
      <c r="F1551" s="4" t="inlineStr">
        <is>
          <t>LIM</t>
        </is>
      </c>
      <c r="G1551" s="4" t="inlineStr">
        <is>
          <t>PCL</t>
        </is>
      </c>
      <c r="H1551" s="4" t="inlineStr">
        <is>
          <t>15:25:00</t>
        </is>
      </c>
      <c r="I1551" s="4" t="inlineStr">
        <is>
          <t>16:40:00</t>
        </is>
      </c>
      <c r="J1551" s="4" t="n">
        <v>320</v>
      </c>
      <c r="L1551" s="4" t="inlineStr">
        <is>
          <t>01:15:00</t>
        </is>
      </c>
      <c r="M1551" s="5" t="n"/>
      <c r="N1551" s="6" t="n"/>
      <c r="O1551" s="5" t="n"/>
      <c r="Q1551" s="4">
        <f>B1551</f>
        <v/>
      </c>
      <c r="R1551" s="4">
        <f>C1551</f>
        <v/>
      </c>
      <c r="S1551" s="4">
        <f>D1551</f>
        <v/>
      </c>
      <c r="T1551" s="4">
        <f>E1551&amp;"/"&amp;E1552</f>
        <v/>
      </c>
      <c r="U1551" s="4">
        <f>F1551&amp;"-"&amp;G1551&amp;"-"&amp;F1551</f>
        <v/>
      </c>
      <c r="V1551" s="4">
        <f>IF($M$1551="","",$M$1551)</f>
        <v/>
      </c>
      <c r="W1551" s="4">
        <f>IF($O$1551="","",$O$1551)</f>
        <v/>
      </c>
      <c r="X1551" s="4">
        <f>J1551</f>
        <v/>
      </c>
    </row>
    <row r="1552">
      <c r="B1552" s="4" t="n">
        <v>1522</v>
      </c>
      <c r="C1552" s="4" t="inlineStr">
        <is>
          <t>17/09/2026</t>
        </is>
      </c>
      <c r="D1552" s="4" t="inlineStr">
        <is>
          <t>jueves</t>
        </is>
      </c>
      <c r="E1552" s="4" t="n">
        <v>2361</v>
      </c>
      <c r="F1552" s="4" t="inlineStr">
        <is>
          <t>PCL</t>
        </is>
      </c>
      <c r="G1552" s="4" t="inlineStr">
        <is>
          <t>LIM</t>
        </is>
      </c>
      <c r="H1552" s="4" t="inlineStr">
        <is>
          <t>17:20:00</t>
        </is>
      </c>
      <c r="I1552" s="4" t="inlineStr">
        <is>
          <t>18:35:00</t>
        </is>
      </c>
      <c r="J1552" s="4" t="n">
        <v>320</v>
      </c>
      <c r="K1552">
        <f>TEXT(TIMEVALUE(H1552)-TIMEVALUE(I1551)+(TIMEVALUE(H1552)&lt;TIMEVALUE(I1551)),"[h]:mm")</f>
        <v/>
      </c>
      <c r="L1552" s="4" t="inlineStr">
        <is>
          <t>01:15:00</t>
        </is>
      </c>
      <c r="O1552">
        <f>"LIM-"&amp;G1551&amp;"-LIM   LA "&amp;E1551&amp;" ("&amp;LEFT(H1551,5)&amp;"-"&amp;LEFT(I1551,5)&amp;" hrs)  /  LA "&amp;E1552&amp;" ("&amp;LEFT(H1552,5)&amp;"-"&amp;LEFT(I1552,5)&amp;" hrs)"</f>
        <v/>
      </c>
    </row>
    <row r="1553">
      <c r="J1553" s="8" t="inlineStr">
        <is>
          <t>PSV total:</t>
        </is>
      </c>
      <c r="K1553" s="9">
        <f>TEXT(TIMEVALUE(I1552)-TIMEVALUE(H1551)+(I1552&lt;H1551),"[h]:mm")</f>
        <v/>
      </c>
    </row>
    <row r="1555">
      <c r="B1555" s="3" t="inlineStr">
        <is>
          <t>Pairing ID</t>
        </is>
      </c>
      <c r="C1555" s="3" t="inlineStr">
        <is>
          <t>FECHA REAL</t>
        </is>
      </c>
      <c r="D1555" s="3" t="inlineStr">
        <is>
          <t>Day of Week</t>
        </is>
      </c>
      <c r="E1555" s="3" t="inlineStr">
        <is>
          <t>Flight No</t>
        </is>
      </c>
      <c r="F1555" s="3" t="inlineStr">
        <is>
          <t>Dep Stn</t>
        </is>
      </c>
      <c r="G1555" s="3" t="inlineStr">
        <is>
          <t>Arr Stn</t>
        </is>
      </c>
      <c r="H1555" s="3" t="inlineStr">
        <is>
          <t>STD</t>
        </is>
      </c>
      <c r="I1555" s="3" t="inlineStr">
        <is>
          <t>STA</t>
        </is>
      </c>
      <c r="J1555" s="3" t="inlineStr">
        <is>
          <t>subflota</t>
        </is>
      </c>
      <c r="K1555" s="3" t="inlineStr">
        <is>
          <t>Conexion</t>
        </is>
      </c>
      <c r="L1555" s="3" t="inlineStr">
        <is>
          <t>HBT</t>
        </is>
      </c>
    </row>
    <row r="1556">
      <c r="B1556" s="4" t="n">
        <v>1523</v>
      </c>
      <c r="C1556" s="4" t="inlineStr">
        <is>
          <t>17/09/2026</t>
        </is>
      </c>
      <c r="D1556" s="4" t="inlineStr">
        <is>
          <t>jueves</t>
        </is>
      </c>
      <c r="E1556" s="4" t="n">
        <v>2312</v>
      </c>
      <c r="F1556" s="4" t="inlineStr">
        <is>
          <t>LIM</t>
        </is>
      </c>
      <c r="G1556" s="4" t="inlineStr">
        <is>
          <t>CIX</t>
        </is>
      </c>
      <c r="H1556" s="4" t="inlineStr">
        <is>
          <t>15:35:00</t>
        </is>
      </c>
      <c r="I1556" s="4" t="inlineStr">
        <is>
          <t>17:05:00</t>
        </is>
      </c>
      <c r="J1556" s="4" t="n">
        <v>320</v>
      </c>
      <c r="L1556" s="4" t="inlineStr">
        <is>
          <t>01:30:00</t>
        </is>
      </c>
      <c r="M1556" s="5" t="n"/>
      <c r="N1556" s="6" t="n"/>
      <c r="O1556" s="5" t="n"/>
      <c r="Q1556" s="4">
        <f>B1556</f>
        <v/>
      </c>
      <c r="R1556" s="4">
        <f>C1556</f>
        <v/>
      </c>
      <c r="S1556" s="4">
        <f>D1556</f>
        <v/>
      </c>
      <c r="T1556" s="4">
        <f>E1556&amp;"/"&amp;E1557</f>
        <v/>
      </c>
      <c r="U1556" s="4">
        <f>F1556&amp;"-"&amp;G1556&amp;"-"&amp;F1556</f>
        <v/>
      </c>
      <c r="V1556" s="4">
        <f>IF($M$1556="","",$M$1556)</f>
        <v/>
      </c>
      <c r="W1556" s="4">
        <f>IF($O$1556="","",$O$1556)</f>
        <v/>
      </c>
      <c r="X1556" s="4">
        <f>J1556</f>
        <v/>
      </c>
    </row>
    <row r="1557">
      <c r="B1557" s="4" t="n">
        <v>1523</v>
      </c>
      <c r="C1557" s="4" t="inlineStr">
        <is>
          <t>17/09/2026</t>
        </is>
      </c>
      <c r="D1557" s="4" t="inlineStr">
        <is>
          <t>jueves</t>
        </is>
      </c>
      <c r="E1557" s="4" t="n">
        <v>2313</v>
      </c>
      <c r="F1557" s="4" t="inlineStr">
        <is>
          <t>CIX</t>
        </is>
      </c>
      <c r="G1557" s="4" t="inlineStr">
        <is>
          <t>LIM</t>
        </is>
      </c>
      <c r="H1557" s="4" t="inlineStr">
        <is>
          <t>17:50:00</t>
        </is>
      </c>
      <c r="I1557" s="4" t="inlineStr">
        <is>
          <t>19:10:00</t>
        </is>
      </c>
      <c r="J1557" s="4" t="n">
        <v>320</v>
      </c>
      <c r="K1557">
        <f>TEXT(TIMEVALUE(H1557)-TIMEVALUE(I1556)+(TIMEVALUE(H1557)&lt;TIMEVALUE(I1556)),"[h]:mm")</f>
        <v/>
      </c>
      <c r="L1557" s="4" t="inlineStr">
        <is>
          <t>01:20:00</t>
        </is>
      </c>
      <c r="O1557">
        <f>"LIM-"&amp;G1556&amp;"-LIM   LA "&amp;E1556&amp;" ("&amp;LEFT(H1556,5)&amp;"-"&amp;LEFT(I1556,5)&amp;" hrs)  /  LA "&amp;E1557&amp;" ("&amp;LEFT(H1557,5)&amp;"-"&amp;LEFT(I1557,5)&amp;" hrs)"</f>
        <v/>
      </c>
    </row>
    <row r="1558">
      <c r="J1558" s="8" t="inlineStr">
        <is>
          <t>PSV total:</t>
        </is>
      </c>
      <c r="K1558" s="9">
        <f>TEXT(TIMEVALUE(I1557)-TIMEVALUE(H1556)+(I1557&lt;H1556),"[h]:mm")</f>
        <v/>
      </c>
    </row>
    <row r="1560">
      <c r="B1560" s="3" t="inlineStr">
        <is>
          <t>Pairing ID</t>
        </is>
      </c>
      <c r="C1560" s="3" t="inlineStr">
        <is>
          <t>FECHA REAL</t>
        </is>
      </c>
      <c r="D1560" s="3" t="inlineStr">
        <is>
          <t>Day of Week</t>
        </is>
      </c>
      <c r="E1560" s="3" t="inlineStr">
        <is>
          <t>Flight No</t>
        </is>
      </c>
      <c r="F1560" s="3" t="inlineStr">
        <is>
          <t>Dep Stn</t>
        </is>
      </c>
      <c r="G1560" s="3" t="inlineStr">
        <is>
          <t>Arr Stn</t>
        </is>
      </c>
      <c r="H1560" s="3" t="inlineStr">
        <is>
          <t>STD</t>
        </is>
      </c>
      <c r="I1560" s="3" t="inlineStr">
        <is>
          <t>STA</t>
        </is>
      </c>
      <c r="J1560" s="3" t="inlineStr">
        <is>
          <t>subflota</t>
        </is>
      </c>
      <c r="K1560" s="3" t="inlineStr">
        <is>
          <t>Conexion</t>
        </is>
      </c>
      <c r="L1560" s="3" t="inlineStr">
        <is>
          <t>HBT</t>
        </is>
      </c>
    </row>
    <row r="1561">
      <c r="B1561" s="4" t="n">
        <v>1524</v>
      </c>
      <c r="C1561" s="4" t="inlineStr">
        <is>
          <t>17/09/2026</t>
        </is>
      </c>
      <c r="D1561" s="4" t="inlineStr">
        <is>
          <t>jueves</t>
        </is>
      </c>
      <c r="E1561" s="4" t="n">
        <v>2312</v>
      </c>
      <c r="F1561" s="4" t="inlineStr">
        <is>
          <t>LIM</t>
        </is>
      </c>
      <c r="G1561" s="4" t="inlineStr">
        <is>
          <t>CIX</t>
        </is>
      </c>
      <c r="H1561" s="4" t="inlineStr">
        <is>
          <t>15:35:00</t>
        </is>
      </c>
      <c r="I1561" s="4" t="inlineStr">
        <is>
          <t>17:05:00</t>
        </is>
      </c>
      <c r="J1561" s="4" t="n">
        <v>320</v>
      </c>
      <c r="L1561" s="4" t="inlineStr">
        <is>
          <t>01:30:00</t>
        </is>
      </c>
      <c r="M1561" s="5" t="n"/>
      <c r="N1561" s="6" t="n"/>
      <c r="O1561" s="5" t="n"/>
      <c r="Q1561" s="4">
        <f>B1561</f>
        <v/>
      </c>
      <c r="R1561" s="4">
        <f>C1561</f>
        <v/>
      </c>
      <c r="S1561" s="4">
        <f>D1561</f>
        <v/>
      </c>
      <c r="T1561" s="4">
        <f>E1561&amp;"/"&amp;E1562</f>
        <v/>
      </c>
      <c r="U1561" s="4">
        <f>F1561&amp;"-"&amp;G1561&amp;"-"&amp;F1561</f>
        <v/>
      </c>
      <c r="V1561" s="4">
        <f>IF($M$1561="","",$M$1561)</f>
        <v/>
      </c>
      <c r="W1561" s="4">
        <f>IF($O$1561="","",$O$1561)</f>
        <v/>
      </c>
      <c r="X1561" s="4">
        <f>J1561</f>
        <v/>
      </c>
    </row>
    <row r="1562">
      <c r="B1562" s="4" t="n">
        <v>1524</v>
      </c>
      <c r="C1562" s="4" t="inlineStr">
        <is>
          <t>17/09/2026</t>
        </is>
      </c>
      <c r="D1562" s="4" t="inlineStr">
        <is>
          <t>jueves</t>
        </is>
      </c>
      <c r="E1562" s="4" t="n">
        <v>2313</v>
      </c>
      <c r="F1562" s="4" t="inlineStr">
        <is>
          <t>CIX</t>
        </is>
      </c>
      <c r="G1562" s="4" t="inlineStr">
        <is>
          <t>LIM</t>
        </is>
      </c>
      <c r="H1562" s="4" t="inlineStr">
        <is>
          <t>17:50:00</t>
        </is>
      </c>
      <c r="I1562" s="4" t="inlineStr">
        <is>
          <t>19:10:00</t>
        </is>
      </c>
      <c r="J1562" s="4" t="n">
        <v>320</v>
      </c>
      <c r="K1562">
        <f>TEXT(TIMEVALUE(H1562)-TIMEVALUE(I1561)+(TIMEVALUE(H1562)&lt;TIMEVALUE(I1561)),"[h]:mm")</f>
        <v/>
      </c>
      <c r="L1562" s="4" t="inlineStr">
        <is>
          <t>01:20:00</t>
        </is>
      </c>
      <c r="O1562">
        <f>"LIM-"&amp;G1561&amp;"-LIM   LA "&amp;E1561&amp;" ("&amp;LEFT(H1561,5)&amp;"-"&amp;LEFT(I1561,5)&amp;" hrs)  /  LA "&amp;E1562&amp;" ("&amp;LEFT(H1562,5)&amp;"-"&amp;LEFT(I1562,5)&amp;" hrs)"</f>
        <v/>
      </c>
    </row>
    <row r="1563">
      <c r="J1563" s="8" t="inlineStr">
        <is>
          <t>PSV total:</t>
        </is>
      </c>
      <c r="K1563" s="9">
        <f>TEXT(TIMEVALUE(I1562)-TIMEVALUE(H1561)+(I1562&lt;H1561),"[h]:mm")</f>
        <v/>
      </c>
    </row>
    <row r="1565">
      <c r="B1565" s="3" t="inlineStr">
        <is>
          <t>Pairing ID</t>
        </is>
      </c>
      <c r="C1565" s="3" t="inlineStr">
        <is>
          <t>FECHA REAL</t>
        </is>
      </c>
      <c r="D1565" s="3" t="inlineStr">
        <is>
          <t>Day of Week</t>
        </is>
      </c>
      <c r="E1565" s="3" t="inlineStr">
        <is>
          <t>Flight No</t>
        </is>
      </c>
      <c r="F1565" s="3" t="inlineStr">
        <is>
          <t>Dep Stn</t>
        </is>
      </c>
      <c r="G1565" s="3" t="inlineStr">
        <is>
          <t>Arr Stn</t>
        </is>
      </c>
      <c r="H1565" s="3" t="inlineStr">
        <is>
          <t>STD</t>
        </is>
      </c>
      <c r="I1565" s="3" t="inlineStr">
        <is>
          <t>STA</t>
        </is>
      </c>
      <c r="J1565" s="3" t="inlineStr">
        <is>
          <t>subflota</t>
        </is>
      </c>
      <c r="K1565" s="3" t="inlineStr">
        <is>
          <t>Conexion</t>
        </is>
      </c>
      <c r="L1565" s="3" t="inlineStr">
        <is>
          <t>HBT</t>
        </is>
      </c>
    </row>
    <row r="1566">
      <c r="B1566" s="4" t="n">
        <v>1525</v>
      </c>
      <c r="C1566" s="4" t="inlineStr">
        <is>
          <t>17/09/2026</t>
        </is>
      </c>
      <c r="D1566" s="4" t="inlineStr">
        <is>
          <t>jueves</t>
        </is>
      </c>
      <c r="E1566" s="4" t="n">
        <v>2301</v>
      </c>
      <c r="F1566" s="4" t="inlineStr">
        <is>
          <t>LIM</t>
        </is>
      </c>
      <c r="G1566" s="4" t="inlineStr">
        <is>
          <t>TPP</t>
        </is>
      </c>
      <c r="H1566" s="4" t="inlineStr">
        <is>
          <t>15:40:00</t>
        </is>
      </c>
      <c r="I1566" s="4" t="inlineStr">
        <is>
          <t>17:05:00</t>
        </is>
      </c>
      <c r="J1566" s="4" t="n">
        <v>320</v>
      </c>
      <c r="L1566" s="4" t="inlineStr">
        <is>
          <t>01:25:00</t>
        </is>
      </c>
      <c r="M1566" s="5" t="n"/>
      <c r="N1566" s="6" t="n"/>
      <c r="O1566" s="5" t="n"/>
      <c r="Q1566" s="4">
        <f>B1566</f>
        <v/>
      </c>
      <c r="R1566" s="4">
        <f>C1566</f>
        <v/>
      </c>
      <c r="S1566" s="4">
        <f>D1566</f>
        <v/>
      </c>
      <c r="T1566" s="4">
        <f>E1566&amp;"/"&amp;E1567</f>
        <v/>
      </c>
      <c r="U1566" s="4">
        <f>F1566&amp;"-"&amp;G1566&amp;"-"&amp;F1566</f>
        <v/>
      </c>
      <c r="V1566" s="4">
        <f>IF($M$1566="","",$M$1566)</f>
        <v/>
      </c>
      <c r="W1566" s="4">
        <f>IF($O$1566="","",$O$1566)</f>
        <v/>
      </c>
      <c r="X1566" s="4">
        <f>J1566</f>
        <v/>
      </c>
    </row>
    <row r="1567">
      <c r="B1567" s="4" t="n">
        <v>1525</v>
      </c>
      <c r="C1567" s="4" t="inlineStr">
        <is>
          <t>17/09/2026</t>
        </is>
      </c>
      <c r="D1567" s="4" t="inlineStr">
        <is>
          <t>jueves</t>
        </is>
      </c>
      <c r="E1567" s="4" t="n">
        <v>2300</v>
      </c>
      <c r="F1567" s="4" t="inlineStr">
        <is>
          <t>TPP</t>
        </is>
      </c>
      <c r="G1567" s="4" t="inlineStr">
        <is>
          <t>LIM</t>
        </is>
      </c>
      <c r="H1567" s="4" t="inlineStr">
        <is>
          <t>17:50:00</t>
        </is>
      </c>
      <c r="I1567" s="4" t="inlineStr">
        <is>
          <t>19:20:00</t>
        </is>
      </c>
      <c r="J1567" s="4" t="n">
        <v>320</v>
      </c>
      <c r="K1567">
        <f>TEXT(TIMEVALUE(H1567)-TIMEVALUE(I1566)+(TIMEVALUE(H1567)&lt;TIMEVALUE(I1566)),"[h]:mm")</f>
        <v/>
      </c>
      <c r="L1567" s="4" t="inlineStr">
        <is>
          <t>01:30:00</t>
        </is>
      </c>
      <c r="O1567">
        <f>"LIM-"&amp;G1566&amp;"-LIM   LA "&amp;E1566&amp;" ("&amp;LEFT(H1566,5)&amp;"-"&amp;LEFT(I1566,5)&amp;" hrs)  /  LA "&amp;E1567&amp;" ("&amp;LEFT(H1567,5)&amp;"-"&amp;LEFT(I1567,5)&amp;" hrs)"</f>
        <v/>
      </c>
    </row>
    <row r="1568">
      <c r="J1568" s="8" t="inlineStr">
        <is>
          <t>PSV total:</t>
        </is>
      </c>
      <c r="K1568" s="9">
        <f>TEXT(TIMEVALUE(I1567)-TIMEVALUE(H1566)+(I1567&lt;H1566),"[h]:mm")</f>
        <v/>
      </c>
    </row>
    <row r="1570">
      <c r="B1570" s="3" t="inlineStr">
        <is>
          <t>Pairing ID</t>
        </is>
      </c>
      <c r="C1570" s="3" t="inlineStr">
        <is>
          <t>FECHA REAL</t>
        </is>
      </c>
      <c r="D1570" s="3" t="inlineStr">
        <is>
          <t>Day of Week</t>
        </is>
      </c>
      <c r="E1570" s="3" t="inlineStr">
        <is>
          <t>Flight No</t>
        </is>
      </c>
      <c r="F1570" s="3" t="inlineStr">
        <is>
          <t>Dep Stn</t>
        </is>
      </c>
      <c r="G1570" s="3" t="inlineStr">
        <is>
          <t>Arr Stn</t>
        </is>
      </c>
      <c r="H1570" s="3" t="inlineStr">
        <is>
          <t>STD</t>
        </is>
      </c>
      <c r="I1570" s="3" t="inlineStr">
        <is>
          <t>STA</t>
        </is>
      </c>
      <c r="J1570" s="3" t="inlineStr">
        <is>
          <t>subflota</t>
        </is>
      </c>
      <c r="K1570" s="3" t="inlineStr">
        <is>
          <t>Conexion</t>
        </is>
      </c>
      <c r="L1570" s="3" t="inlineStr">
        <is>
          <t>HBT</t>
        </is>
      </c>
    </row>
    <row r="1571">
      <c r="B1571" s="4" t="n">
        <v>1572</v>
      </c>
      <c r="C1571" s="4" t="inlineStr">
        <is>
          <t>18/09/2026</t>
        </is>
      </c>
      <c r="D1571" s="4" t="inlineStr">
        <is>
          <t>viernes</t>
        </is>
      </c>
      <c r="E1571" s="4" t="n">
        <v>2013</v>
      </c>
      <c r="F1571" s="4" t="inlineStr">
        <is>
          <t>LIM</t>
        </is>
      </c>
      <c r="G1571" s="4" t="inlineStr">
        <is>
          <t>CUZ</t>
        </is>
      </c>
      <c r="H1571" s="4" t="inlineStr">
        <is>
          <t>08:35:00</t>
        </is>
      </c>
      <c r="I1571" s="4" t="inlineStr">
        <is>
          <t>09:55:00</t>
        </is>
      </c>
      <c r="J1571" s="4" t="n">
        <v>319</v>
      </c>
      <c r="L1571" s="4" t="inlineStr">
        <is>
          <t>01:20:00</t>
        </is>
      </c>
      <c r="M1571" s="5" t="n"/>
      <c r="N1571" s="6" t="n"/>
      <c r="O1571" s="5" t="n"/>
      <c r="Q1571" s="4">
        <f>B1571</f>
        <v/>
      </c>
      <c r="R1571" s="4">
        <f>C1571</f>
        <v/>
      </c>
      <c r="S1571" s="4">
        <f>D1571</f>
        <v/>
      </c>
      <c r="T1571" s="4">
        <f>E1571&amp;"/"&amp;E1572</f>
        <v/>
      </c>
      <c r="U1571" s="4">
        <f>F1571&amp;"-"&amp;G1571&amp;"-"&amp;F1571</f>
        <v/>
      </c>
      <c r="V1571" s="4">
        <f>IF($M$1571="","",$M$1571)</f>
        <v/>
      </c>
      <c r="W1571" s="4">
        <f>IF($O$1571="","",$O$1571)</f>
        <v/>
      </c>
      <c r="X1571" s="4">
        <f>J1571</f>
        <v/>
      </c>
    </row>
    <row r="1572">
      <c r="B1572" s="4" t="n">
        <v>1572</v>
      </c>
      <c r="C1572" s="4" t="inlineStr">
        <is>
          <t>18/09/2026</t>
        </is>
      </c>
      <c r="D1572" s="4" t="inlineStr">
        <is>
          <t>viernes</t>
        </is>
      </c>
      <c r="E1572" s="4" t="n">
        <v>2014</v>
      </c>
      <c r="F1572" s="4" t="inlineStr">
        <is>
          <t>CUZ</t>
        </is>
      </c>
      <c r="G1572" s="4" t="inlineStr">
        <is>
          <t>LIM</t>
        </is>
      </c>
      <c r="H1572" s="4" t="inlineStr">
        <is>
          <t>10:40:00</t>
        </is>
      </c>
      <c r="I1572" s="4" t="inlineStr">
        <is>
          <t>12:15:00</t>
        </is>
      </c>
      <c r="J1572" s="4" t="n">
        <v>319</v>
      </c>
      <c r="K1572">
        <f>TEXT(TIMEVALUE(H1572)-TIMEVALUE(I1571)+(TIMEVALUE(H1572)&lt;TIMEVALUE(I1571)),"[h]:mm")</f>
        <v/>
      </c>
      <c r="L1572" s="4" t="inlineStr">
        <is>
          <t>01:35:00</t>
        </is>
      </c>
      <c r="O1572">
        <f>"LIM-"&amp;G1571&amp;"-LIM   LA "&amp;E1571&amp;" ("&amp;LEFT(H1571,5)&amp;"-"&amp;LEFT(I1571,5)&amp;" hrs)  /  LA "&amp;E1572&amp;" ("&amp;LEFT(H1572,5)&amp;"-"&amp;LEFT(I1572,5)&amp;" hrs)"</f>
        <v/>
      </c>
    </row>
    <row r="1573">
      <c r="J1573" s="8" t="inlineStr">
        <is>
          <t>PSV total:</t>
        </is>
      </c>
      <c r="K1573" s="9">
        <f>TEXT(TIMEVALUE(I1572)-TIMEVALUE(H1571)+(I1572&lt;H1571),"[h]:mm")</f>
        <v/>
      </c>
    </row>
    <row r="1575">
      <c r="B1575" s="3" t="inlineStr">
        <is>
          <t>Pairing ID</t>
        </is>
      </c>
      <c r="C1575" s="3" t="inlineStr">
        <is>
          <t>FECHA REAL</t>
        </is>
      </c>
      <c r="D1575" s="3" t="inlineStr">
        <is>
          <t>Day of Week</t>
        </is>
      </c>
      <c r="E1575" s="3" t="inlineStr">
        <is>
          <t>Flight No</t>
        </is>
      </c>
      <c r="F1575" s="3" t="inlineStr">
        <is>
          <t>Dep Stn</t>
        </is>
      </c>
      <c r="G1575" s="3" t="inlineStr">
        <is>
          <t>Arr Stn</t>
        </is>
      </c>
      <c r="H1575" s="3" t="inlineStr">
        <is>
          <t>STD</t>
        </is>
      </c>
      <c r="I1575" s="3" t="inlineStr">
        <is>
          <t>STA</t>
        </is>
      </c>
      <c r="J1575" s="3" t="inlineStr">
        <is>
          <t>subflota</t>
        </is>
      </c>
      <c r="K1575" s="3" t="inlineStr">
        <is>
          <t>Conexion</t>
        </is>
      </c>
      <c r="L1575" s="3" t="inlineStr">
        <is>
          <t>HBT</t>
        </is>
      </c>
    </row>
    <row r="1576">
      <c r="B1576" s="4" t="n">
        <v>1580</v>
      </c>
      <c r="C1576" s="4" t="inlineStr">
        <is>
          <t>18/09/2026</t>
        </is>
      </c>
      <c r="D1576" s="4" t="inlineStr">
        <is>
          <t>viernes</t>
        </is>
      </c>
      <c r="E1576" s="4" t="n">
        <v>2299</v>
      </c>
      <c r="F1576" s="4" t="inlineStr">
        <is>
          <t>LIM</t>
        </is>
      </c>
      <c r="G1576" s="4" t="inlineStr">
        <is>
          <t>CJA</t>
        </is>
      </c>
      <c r="H1576" s="4" t="inlineStr">
        <is>
          <t>11:35:00</t>
        </is>
      </c>
      <c r="I1576" s="4" t="inlineStr">
        <is>
          <t>12:55:00</t>
        </is>
      </c>
      <c r="J1576" s="4" t="n">
        <v>319</v>
      </c>
      <c r="L1576" s="4" t="inlineStr">
        <is>
          <t>01:20:00</t>
        </is>
      </c>
      <c r="M1576" s="5" t="n"/>
      <c r="N1576" s="6" t="n"/>
      <c r="O1576" s="5" t="n"/>
      <c r="Q1576" s="4">
        <f>B1576</f>
        <v/>
      </c>
      <c r="R1576" s="4">
        <f>C1576</f>
        <v/>
      </c>
      <c r="S1576" s="4">
        <f>D1576</f>
        <v/>
      </c>
      <c r="T1576" s="4">
        <f>E1576&amp;"/"&amp;E1577</f>
        <v/>
      </c>
      <c r="U1576" s="4">
        <f>F1576&amp;"-"&amp;G1576&amp;"-"&amp;F1576</f>
        <v/>
      </c>
      <c r="V1576" s="4">
        <f>IF($M$1576="","",$M$1576)</f>
        <v/>
      </c>
      <c r="W1576" s="4">
        <f>IF($O$1576="","",$O$1576)</f>
        <v/>
      </c>
      <c r="X1576" s="4">
        <f>J1576</f>
        <v/>
      </c>
    </row>
    <row r="1577">
      <c r="B1577" s="4" t="n">
        <v>1580</v>
      </c>
      <c r="C1577" s="4" t="inlineStr">
        <is>
          <t>18/09/2026</t>
        </is>
      </c>
      <c r="D1577" s="4" t="inlineStr">
        <is>
          <t>viernes</t>
        </is>
      </c>
      <c r="E1577" s="4" t="n">
        <v>2298</v>
      </c>
      <c r="F1577" s="4" t="inlineStr">
        <is>
          <t>CJA</t>
        </is>
      </c>
      <c r="G1577" s="4" t="inlineStr">
        <is>
          <t>LIM</t>
        </is>
      </c>
      <c r="H1577" s="4" t="inlineStr">
        <is>
          <t>13:45:00</t>
        </is>
      </c>
      <c r="I1577" s="4" t="inlineStr">
        <is>
          <t>14:55:00</t>
        </is>
      </c>
      <c r="J1577" s="4" t="n">
        <v>319</v>
      </c>
      <c r="K1577">
        <f>TEXT(TIMEVALUE(H1577)-TIMEVALUE(I1576)+(TIMEVALUE(H1577)&lt;TIMEVALUE(I1576)),"[h]:mm")</f>
        <v/>
      </c>
      <c r="L1577" s="4" t="inlineStr">
        <is>
          <t>01:10:00</t>
        </is>
      </c>
      <c r="O1577">
        <f>"LIM-"&amp;G1576&amp;"-LIM   LA "&amp;E1576&amp;" ("&amp;LEFT(H1576,5)&amp;"-"&amp;LEFT(I1576,5)&amp;" hrs)  /  LA "&amp;E1577&amp;" ("&amp;LEFT(H1577,5)&amp;"-"&amp;LEFT(I1577,5)&amp;" hrs)"</f>
        <v/>
      </c>
    </row>
    <row r="1578">
      <c r="B1578" s="4" t="n">
        <v>1611</v>
      </c>
      <c r="C1578" s="4" t="inlineStr">
        <is>
          <t>18/09/2026</t>
        </is>
      </c>
      <c r="D1578" s="4" t="inlineStr">
        <is>
          <t>viernes</t>
        </is>
      </c>
      <c r="E1578" s="4" t="n">
        <v>2127</v>
      </c>
      <c r="F1578" s="4" t="inlineStr">
        <is>
          <t>LIM</t>
        </is>
      </c>
      <c r="G1578" s="4" t="inlineStr">
        <is>
          <t>CUZ</t>
        </is>
      </c>
      <c r="H1578" s="4" t="inlineStr">
        <is>
          <t>16:10:00</t>
        </is>
      </c>
      <c r="I1578" s="4" t="inlineStr">
        <is>
          <t>17:30:00</t>
        </is>
      </c>
      <c r="J1578" s="4" t="n">
        <v>320</v>
      </c>
      <c r="K1578" s="7">
        <f>TEXT(TIMEVALUE(H1578)-TIMEVALUE(I1577)+(TIMEVALUE(H1578)&lt;TIMEVALUE(I1577)),"[h]:mm")</f>
        <v/>
      </c>
      <c r="L1578" s="4" t="inlineStr">
        <is>
          <t>01:20:00</t>
        </is>
      </c>
      <c r="M1578">
        <f>IF($M$1576="","",$M$1576)</f>
        <v/>
      </c>
      <c r="O1578">
        <f>IF($O$1576="","",$O$1576)</f>
        <v/>
      </c>
      <c r="Q1578" s="4">
        <f>B1578</f>
        <v/>
      </c>
      <c r="R1578" s="4">
        <f>C1578</f>
        <v/>
      </c>
      <c r="S1578" s="4">
        <f>D1578</f>
        <v/>
      </c>
      <c r="T1578" s="4">
        <f>E1578&amp;"/"&amp;E1579</f>
        <v/>
      </c>
      <c r="U1578" s="4">
        <f>F1578&amp;"-"&amp;G1578&amp;"-"&amp;F1578</f>
        <v/>
      </c>
      <c r="V1578" s="4">
        <f>IF($M$1576="","",$M$1576)</f>
        <v/>
      </c>
      <c r="W1578" s="4">
        <f>IF($O$1576="","",$O$1576)</f>
        <v/>
      </c>
      <c r="X1578" s="4">
        <f>J1578</f>
        <v/>
      </c>
    </row>
    <row r="1579">
      <c r="B1579" s="4" t="n">
        <v>1611</v>
      </c>
      <c r="C1579" s="4" t="inlineStr">
        <is>
          <t>18/09/2026</t>
        </is>
      </c>
      <c r="D1579" s="4" t="inlineStr">
        <is>
          <t>viernes</t>
        </is>
      </c>
      <c r="E1579" s="4" t="n">
        <v>2026</v>
      </c>
      <c r="F1579" s="4" t="inlineStr">
        <is>
          <t>CUZ</t>
        </is>
      </c>
      <c r="G1579" s="4" t="inlineStr">
        <is>
          <t>LIM</t>
        </is>
      </c>
      <c r="H1579" s="4" t="inlineStr">
        <is>
          <t>18:10:00</t>
        </is>
      </c>
      <c r="I1579" s="4" t="inlineStr">
        <is>
          <t>19:50:00</t>
        </is>
      </c>
      <c r="J1579" s="4" t="n">
        <v>320</v>
      </c>
      <c r="K1579">
        <f>TEXT(TIMEVALUE(H1579)-TIMEVALUE(I1578)+(TIMEVALUE(H1579)&lt;TIMEVALUE(I1578)),"[h]:mm")</f>
        <v/>
      </c>
      <c r="L1579" s="4" t="inlineStr">
        <is>
          <t>01:40:00</t>
        </is>
      </c>
      <c r="O1579">
        <f>"LIM-"&amp;G1578&amp;"-LIM   LA "&amp;E1578&amp;" ("&amp;LEFT(H1578,5)&amp;"-"&amp;LEFT(I1578,5)&amp;" hrs)  /  LA "&amp;E1579&amp;" ("&amp;LEFT(H1579,5)&amp;"-"&amp;LEFT(I1579,5)&amp;" hrs)"</f>
        <v/>
      </c>
    </row>
    <row r="1580">
      <c r="J1580" s="8" t="inlineStr">
        <is>
          <t>PSV total:</t>
        </is>
      </c>
      <c r="K1580" s="9">
        <f>TEXT(TIMEVALUE(I1579)-TIMEVALUE(H1576)+(I1579&lt;H1576),"[h]:mm")</f>
        <v/>
      </c>
    </row>
    <row r="1582">
      <c r="B1582" s="3" t="inlineStr">
        <is>
          <t>Pairing ID</t>
        </is>
      </c>
      <c r="C1582" s="3" t="inlineStr">
        <is>
          <t>FECHA REAL</t>
        </is>
      </c>
      <c r="D1582" s="3" t="inlineStr">
        <is>
          <t>Day of Week</t>
        </is>
      </c>
      <c r="E1582" s="3" t="inlineStr">
        <is>
          <t>Flight No</t>
        </is>
      </c>
      <c r="F1582" s="3" t="inlineStr">
        <is>
          <t>Dep Stn</t>
        </is>
      </c>
      <c r="G1582" s="3" t="inlineStr">
        <is>
          <t>Arr Stn</t>
        </is>
      </c>
      <c r="H1582" s="3" t="inlineStr">
        <is>
          <t>STD</t>
        </is>
      </c>
      <c r="I1582" s="3" t="inlineStr">
        <is>
          <t>STA</t>
        </is>
      </c>
      <c r="J1582" s="3" t="inlineStr">
        <is>
          <t>subflota</t>
        </is>
      </c>
      <c r="K1582" s="3" t="inlineStr">
        <is>
          <t>Conexion</t>
        </is>
      </c>
      <c r="L1582" s="3" t="inlineStr">
        <is>
          <t>HBT</t>
        </is>
      </c>
    </row>
    <row r="1583">
      <c r="B1583" s="4" t="n">
        <v>1582</v>
      </c>
      <c r="C1583" s="4" t="inlineStr">
        <is>
          <t>18/09/2026</t>
        </is>
      </c>
      <c r="D1583" s="4" t="inlineStr">
        <is>
          <t>viernes</t>
        </is>
      </c>
      <c r="E1583" s="4" t="n">
        <v>2111</v>
      </c>
      <c r="F1583" s="4" t="inlineStr">
        <is>
          <t>LIM</t>
        </is>
      </c>
      <c r="G1583" s="4" t="inlineStr">
        <is>
          <t>AQP</t>
        </is>
      </c>
      <c r="H1583" s="4" t="inlineStr">
        <is>
          <t>11:40:00</t>
        </is>
      </c>
      <c r="I1583" s="4" t="inlineStr">
        <is>
          <t>13:10:00</t>
        </is>
      </c>
      <c r="J1583" s="4" t="n">
        <v>320</v>
      </c>
      <c r="L1583" s="4" t="inlineStr">
        <is>
          <t>01:30:00</t>
        </is>
      </c>
      <c r="M1583" s="5" t="n"/>
      <c r="N1583" s="6" t="n"/>
      <c r="O1583" s="5" t="n"/>
      <c r="Q1583" s="4">
        <f>B1583</f>
        <v/>
      </c>
      <c r="R1583" s="4">
        <f>C1583</f>
        <v/>
      </c>
      <c r="S1583" s="4">
        <f>D1583</f>
        <v/>
      </c>
      <c r="T1583" s="4">
        <f>E1583&amp;"/"&amp;E1584</f>
        <v/>
      </c>
      <c r="U1583" s="4">
        <f>F1583&amp;"-"&amp;G1583&amp;"-"&amp;F1583</f>
        <v/>
      </c>
      <c r="V1583" s="4">
        <f>IF($M$1583="","",$M$1583)</f>
        <v/>
      </c>
      <c r="W1583" s="4">
        <f>IF($O$1583="","",$O$1583)</f>
        <v/>
      </c>
      <c r="X1583" s="4">
        <f>J1583</f>
        <v/>
      </c>
    </row>
    <row r="1584">
      <c r="B1584" s="4" t="n">
        <v>1582</v>
      </c>
      <c r="C1584" s="4" t="inlineStr">
        <is>
          <t>18/09/2026</t>
        </is>
      </c>
      <c r="D1584" s="4" t="inlineStr">
        <is>
          <t>viernes</t>
        </is>
      </c>
      <c r="E1584" s="4" t="n">
        <v>2110</v>
      </c>
      <c r="F1584" s="4" t="inlineStr">
        <is>
          <t>AQP</t>
        </is>
      </c>
      <c r="G1584" s="4" t="inlineStr">
        <is>
          <t>LIM</t>
        </is>
      </c>
      <c r="H1584" s="4" t="inlineStr">
        <is>
          <t>17:50:00</t>
        </is>
      </c>
      <c r="I1584" s="4" t="inlineStr">
        <is>
          <t>19:30:00</t>
        </is>
      </c>
      <c r="J1584" s="4" t="n">
        <v>320</v>
      </c>
      <c r="K1584">
        <f>TEXT(TIMEVALUE(H1584)-TIMEVALUE(I1583)+(TIMEVALUE(H1584)&lt;TIMEVALUE(I1583)),"[h]:mm")</f>
        <v/>
      </c>
      <c r="L1584" s="4" t="inlineStr">
        <is>
          <t>01:40:00</t>
        </is>
      </c>
      <c r="O1584">
        <f>"LIM-"&amp;G1583&amp;"-LIM   LA "&amp;E1583&amp;" ("&amp;LEFT(H1583,5)&amp;"-"&amp;LEFT(I1583,5)&amp;" hrs)  /  LA "&amp;E1584&amp;" ("&amp;LEFT(H1584,5)&amp;"-"&amp;LEFT(I1584,5)&amp;" hrs)"</f>
        <v/>
      </c>
    </row>
    <row r="1585">
      <c r="J1585" s="8" t="inlineStr">
        <is>
          <t>PSV total:</t>
        </is>
      </c>
      <c r="K1585" s="9">
        <f>TEXT(TIMEVALUE(I1584)-TIMEVALUE(H1583)+(I1584&lt;H1583),"[h]:mm")</f>
        <v/>
      </c>
    </row>
    <row r="1587">
      <c r="B1587" s="3" t="inlineStr">
        <is>
          <t>Pairing ID</t>
        </is>
      </c>
      <c r="C1587" s="3" t="inlineStr">
        <is>
          <t>FECHA REAL</t>
        </is>
      </c>
      <c r="D1587" s="3" t="inlineStr">
        <is>
          <t>Day of Week</t>
        </is>
      </c>
      <c r="E1587" s="3" t="inlineStr">
        <is>
          <t>Flight No</t>
        </is>
      </c>
      <c r="F1587" s="3" t="inlineStr">
        <is>
          <t>Dep Stn</t>
        </is>
      </c>
      <c r="G1587" s="3" t="inlineStr">
        <is>
          <t>Arr Stn</t>
        </is>
      </c>
      <c r="H1587" s="3" t="inlineStr">
        <is>
          <t>STD</t>
        </is>
      </c>
      <c r="I1587" s="3" t="inlineStr">
        <is>
          <t>STA</t>
        </is>
      </c>
      <c r="J1587" s="3" t="inlineStr">
        <is>
          <t>subflota</t>
        </is>
      </c>
      <c r="K1587" s="3" t="inlineStr">
        <is>
          <t>Conexion</t>
        </is>
      </c>
      <c r="L1587" s="3" t="inlineStr">
        <is>
          <t>HBT</t>
        </is>
      </c>
    </row>
    <row r="1588">
      <c r="B1588" s="4" t="n">
        <v>1583</v>
      </c>
      <c r="C1588" s="4" t="inlineStr">
        <is>
          <t>18/09/2026</t>
        </is>
      </c>
      <c r="D1588" s="4" t="inlineStr">
        <is>
          <t>viernes</t>
        </is>
      </c>
      <c r="E1588" s="4" t="n">
        <v>2316</v>
      </c>
      <c r="F1588" s="4" t="inlineStr">
        <is>
          <t>LIM</t>
        </is>
      </c>
      <c r="G1588" s="4" t="inlineStr">
        <is>
          <t>PIU</t>
        </is>
      </c>
      <c r="H1588" s="4" t="inlineStr">
        <is>
          <t>11:40:00</t>
        </is>
      </c>
      <c r="I1588" s="4" t="inlineStr">
        <is>
          <t>13:25:00</t>
        </is>
      </c>
      <c r="J1588" s="4" t="n">
        <v>319</v>
      </c>
      <c r="L1588" s="4" t="inlineStr">
        <is>
          <t>01:45:00</t>
        </is>
      </c>
      <c r="M1588" s="5" t="n"/>
      <c r="N1588" s="6" t="n"/>
      <c r="O1588" s="5" t="n"/>
      <c r="Q1588" s="4">
        <f>B1588</f>
        <v/>
      </c>
      <c r="R1588" s="4">
        <f>C1588</f>
        <v/>
      </c>
      <c r="S1588" s="4">
        <f>D1588</f>
        <v/>
      </c>
      <c r="T1588" s="4">
        <f>E1588&amp;"/"&amp;E1589</f>
        <v/>
      </c>
      <c r="U1588" s="4">
        <f>F1588&amp;"-"&amp;G1588&amp;"-"&amp;F1588</f>
        <v/>
      </c>
      <c r="V1588" s="4">
        <f>IF($M$1588="","",$M$1588)</f>
        <v/>
      </c>
      <c r="W1588" s="4">
        <f>IF($O$1588="","",$O$1588)</f>
        <v/>
      </c>
      <c r="X1588" s="4">
        <f>J1588</f>
        <v/>
      </c>
    </row>
    <row r="1589">
      <c r="B1589" s="4" t="n">
        <v>1583</v>
      </c>
      <c r="C1589" s="4" t="inlineStr">
        <is>
          <t>18/09/2026</t>
        </is>
      </c>
      <c r="D1589" s="4" t="inlineStr">
        <is>
          <t>viernes</t>
        </is>
      </c>
      <c r="E1589" s="4" t="n">
        <v>2317</v>
      </c>
      <c r="F1589" s="4" t="inlineStr">
        <is>
          <t>PIU</t>
        </is>
      </c>
      <c r="G1589" s="4" t="inlineStr">
        <is>
          <t>LIM</t>
        </is>
      </c>
      <c r="H1589" s="4" t="inlineStr">
        <is>
          <t>14:05:00</t>
        </is>
      </c>
      <c r="I1589" s="4" t="inlineStr">
        <is>
          <t>15:40:00</t>
        </is>
      </c>
      <c r="J1589" s="4" t="n">
        <v>319</v>
      </c>
      <c r="K1589">
        <f>TEXT(TIMEVALUE(H1589)-TIMEVALUE(I1588)+(TIMEVALUE(H1589)&lt;TIMEVALUE(I1588)),"[h]:mm")</f>
        <v/>
      </c>
      <c r="L1589" s="4" t="inlineStr">
        <is>
          <t>01:35:00</t>
        </is>
      </c>
      <c r="O1589">
        <f>"LIM-"&amp;G1588&amp;"-LIM   LA "&amp;E1588&amp;" ("&amp;LEFT(H1588,5)&amp;"-"&amp;LEFT(I1588,5)&amp;" hrs)  /  LA "&amp;E1589&amp;" ("&amp;LEFT(H1589,5)&amp;"-"&amp;LEFT(I1589,5)&amp;" hrs)"</f>
        <v/>
      </c>
    </row>
    <row r="1590">
      <c r="B1590" s="4" t="n">
        <v>1614</v>
      </c>
      <c r="C1590" s="4" t="inlineStr">
        <is>
          <t>18/09/2026</t>
        </is>
      </c>
      <c r="D1590" s="4" t="inlineStr">
        <is>
          <t>viernes</t>
        </is>
      </c>
      <c r="E1590" s="4" t="n">
        <v>2276</v>
      </c>
      <c r="F1590" s="4" t="inlineStr">
        <is>
          <t>LIM</t>
        </is>
      </c>
      <c r="G1590" s="4" t="inlineStr">
        <is>
          <t>CUZ</t>
        </is>
      </c>
      <c r="H1590" s="4" t="inlineStr">
        <is>
          <t>16:35:00</t>
        </is>
      </c>
      <c r="I1590" s="4" t="inlineStr">
        <is>
          <t>17:55:00</t>
        </is>
      </c>
      <c r="J1590" s="4" t="n">
        <v>320</v>
      </c>
      <c r="K1590" s="7">
        <f>TEXT(TIMEVALUE(H1590)-TIMEVALUE(I1589)+(TIMEVALUE(H1590)&lt;TIMEVALUE(I1589)),"[h]:mm")</f>
        <v/>
      </c>
      <c r="L1590" s="4" t="inlineStr">
        <is>
          <t>01:20:00</t>
        </is>
      </c>
      <c r="M1590">
        <f>IF($M$1588="","",$M$1588)</f>
        <v/>
      </c>
      <c r="O1590">
        <f>IF($O$1588="","",$O$1588)</f>
        <v/>
      </c>
      <c r="Q1590" s="4">
        <f>B1590</f>
        <v/>
      </c>
      <c r="R1590" s="4">
        <f>C1590</f>
        <v/>
      </c>
      <c r="S1590" s="4">
        <f>D1590</f>
        <v/>
      </c>
      <c r="T1590" s="4">
        <f>E1590&amp;"/"&amp;E1591</f>
        <v/>
      </c>
      <c r="U1590" s="4">
        <f>F1590&amp;"-"&amp;G1590&amp;"-"&amp;F1590</f>
        <v/>
      </c>
      <c r="V1590" s="4">
        <f>IF($M$1588="","",$M$1588)</f>
        <v/>
      </c>
      <c r="W1590" s="4">
        <f>IF($O$1588="","",$O$1588)</f>
        <v/>
      </c>
      <c r="X1590" s="4">
        <f>J1590</f>
        <v/>
      </c>
    </row>
    <row r="1591">
      <c r="B1591" s="4" t="n">
        <v>1614</v>
      </c>
      <c r="C1591" s="4" t="inlineStr">
        <is>
          <t>18/09/2026</t>
        </is>
      </c>
      <c r="D1591" s="4" t="inlineStr">
        <is>
          <t>viernes</t>
        </is>
      </c>
      <c r="E1591" s="4" t="n">
        <v>2277</v>
      </c>
      <c r="F1591" s="4" t="inlineStr">
        <is>
          <t>CUZ</t>
        </is>
      </c>
      <c r="G1591" s="4" t="inlineStr">
        <is>
          <t>LIM</t>
        </is>
      </c>
      <c r="H1591" s="4" t="inlineStr">
        <is>
          <t>18:50:00</t>
        </is>
      </c>
      <c r="I1591" s="4" t="inlineStr">
        <is>
          <t>20:25:00</t>
        </is>
      </c>
      <c r="J1591" s="4" t="n">
        <v>320</v>
      </c>
      <c r="K1591">
        <f>TEXT(TIMEVALUE(H1591)-TIMEVALUE(I1590)+(TIMEVALUE(H1591)&lt;TIMEVALUE(I1590)),"[h]:mm")</f>
        <v/>
      </c>
      <c r="L1591" s="4" t="inlineStr">
        <is>
          <t>01:35:00</t>
        </is>
      </c>
      <c r="O1591">
        <f>"LIM-"&amp;G1590&amp;"-LIM   LA "&amp;E1590&amp;" ("&amp;LEFT(H1590,5)&amp;"-"&amp;LEFT(I1590,5)&amp;" hrs)  /  LA "&amp;E1591&amp;" ("&amp;LEFT(H1591,5)&amp;"-"&amp;LEFT(I1591,5)&amp;" hrs)"</f>
        <v/>
      </c>
    </row>
    <row r="1592">
      <c r="J1592" s="8" t="inlineStr">
        <is>
          <t>PSV total:</t>
        </is>
      </c>
      <c r="K1592" s="9">
        <f>TEXT(TIMEVALUE(I1591)-TIMEVALUE(H1588)+(I1591&lt;H1588),"[h]:mm")</f>
        <v/>
      </c>
    </row>
    <row r="1594">
      <c r="B1594" s="3" t="inlineStr">
        <is>
          <t>Pairing ID</t>
        </is>
      </c>
      <c r="C1594" s="3" t="inlineStr">
        <is>
          <t>FECHA REAL</t>
        </is>
      </c>
      <c r="D1594" s="3" t="inlineStr">
        <is>
          <t>Day of Week</t>
        </is>
      </c>
      <c r="E1594" s="3" t="inlineStr">
        <is>
          <t>Flight No</t>
        </is>
      </c>
      <c r="F1594" s="3" t="inlineStr">
        <is>
          <t>Dep Stn</t>
        </is>
      </c>
      <c r="G1594" s="3" t="inlineStr">
        <is>
          <t>Arr Stn</t>
        </is>
      </c>
      <c r="H1594" s="3" t="inlineStr">
        <is>
          <t>STD</t>
        </is>
      </c>
      <c r="I1594" s="3" t="inlineStr">
        <is>
          <t>STA</t>
        </is>
      </c>
      <c r="J1594" s="3" t="inlineStr">
        <is>
          <t>subflota</t>
        </is>
      </c>
      <c r="K1594" s="3" t="inlineStr">
        <is>
          <t>Conexion</t>
        </is>
      </c>
      <c r="L1594" s="3" t="inlineStr">
        <is>
          <t>HBT</t>
        </is>
      </c>
    </row>
    <row r="1595">
      <c r="B1595" s="4" t="n">
        <v>1590</v>
      </c>
      <c r="C1595" s="4" t="inlineStr">
        <is>
          <t>18/09/2026</t>
        </is>
      </c>
      <c r="D1595" s="4" t="inlineStr">
        <is>
          <t>viernes</t>
        </is>
      </c>
      <c r="E1595" s="4" t="n">
        <v>2270</v>
      </c>
      <c r="F1595" s="4" t="inlineStr">
        <is>
          <t>LIM</t>
        </is>
      </c>
      <c r="G1595" s="4" t="inlineStr">
        <is>
          <t>CIX</t>
        </is>
      </c>
      <c r="H1595" s="4" t="inlineStr">
        <is>
          <t>13:00:00</t>
        </is>
      </c>
      <c r="I1595" s="4" t="inlineStr">
        <is>
          <t>14:30:00</t>
        </is>
      </c>
      <c r="J1595" s="4" t="n">
        <v>319</v>
      </c>
      <c r="L1595" s="4" t="inlineStr">
        <is>
          <t>01:30:00</t>
        </is>
      </c>
      <c r="M1595" s="5" t="n"/>
      <c r="N1595" s="6" t="n"/>
      <c r="O1595" s="5" t="n"/>
      <c r="Q1595" s="4">
        <f>B1595</f>
        <v/>
      </c>
      <c r="R1595" s="4">
        <f>C1595</f>
        <v/>
      </c>
      <c r="S1595" s="4">
        <f>D1595</f>
        <v/>
      </c>
      <c r="T1595" s="4">
        <f>E1595&amp;"/"&amp;E1596</f>
        <v/>
      </c>
      <c r="U1595" s="4">
        <f>F1595&amp;"-"&amp;G1595&amp;"-"&amp;F1595</f>
        <v/>
      </c>
      <c r="V1595" s="4">
        <f>IF($M$1595="","",$M$1595)</f>
        <v/>
      </c>
      <c r="W1595" s="4">
        <f>IF($O$1595="","",$O$1595)</f>
        <v/>
      </c>
      <c r="X1595" s="4">
        <f>J1595</f>
        <v/>
      </c>
    </row>
    <row r="1596">
      <c r="B1596" s="4" t="n">
        <v>1590</v>
      </c>
      <c r="C1596" s="4" t="inlineStr">
        <is>
          <t>18/09/2026</t>
        </is>
      </c>
      <c r="D1596" s="4" t="inlineStr">
        <is>
          <t>viernes</t>
        </is>
      </c>
      <c r="E1596" s="4" t="n">
        <v>2271</v>
      </c>
      <c r="F1596" s="4" t="inlineStr">
        <is>
          <t>CIX</t>
        </is>
      </c>
      <c r="G1596" s="4" t="inlineStr">
        <is>
          <t>LIM</t>
        </is>
      </c>
      <c r="H1596" s="4" t="inlineStr">
        <is>
          <t>15:05:00</t>
        </is>
      </c>
      <c r="I1596" s="4" t="inlineStr">
        <is>
          <t>16:20:00</t>
        </is>
      </c>
      <c r="J1596" s="4" t="n">
        <v>319</v>
      </c>
      <c r="K1596">
        <f>TEXT(TIMEVALUE(H1596)-TIMEVALUE(I1595)+(TIMEVALUE(H1596)&lt;TIMEVALUE(I1595)),"[h]:mm")</f>
        <v/>
      </c>
      <c r="L1596" s="4" t="inlineStr">
        <is>
          <t>01:15:00</t>
        </is>
      </c>
      <c r="O1596">
        <f>"LIM-"&amp;G1595&amp;"-LIM   LA "&amp;E1595&amp;" ("&amp;LEFT(H1595,5)&amp;"-"&amp;LEFT(I1595,5)&amp;" hrs)  /  LA "&amp;E1596&amp;" ("&amp;LEFT(H1596,5)&amp;"-"&amp;LEFT(I1596,5)&amp;" hrs)"</f>
        <v/>
      </c>
    </row>
    <row r="1597">
      <c r="B1597" s="4" t="n">
        <v>1616</v>
      </c>
      <c r="C1597" s="4" t="inlineStr">
        <is>
          <t>18/09/2026</t>
        </is>
      </c>
      <c r="D1597" s="4" t="inlineStr">
        <is>
          <t>viernes</t>
        </is>
      </c>
      <c r="E1597" s="4" t="n">
        <v>2115</v>
      </c>
      <c r="F1597" s="4" t="inlineStr">
        <is>
          <t>LIM</t>
        </is>
      </c>
      <c r="G1597" s="4" t="inlineStr">
        <is>
          <t>AQP</t>
        </is>
      </c>
      <c r="H1597" s="4" t="inlineStr">
        <is>
          <t>17:15:00</t>
        </is>
      </c>
      <c r="I1597" s="4" t="inlineStr">
        <is>
          <t>18:45:00</t>
        </is>
      </c>
      <c r="J1597" s="4" t="n">
        <v>320</v>
      </c>
      <c r="K1597" s="7">
        <f>TEXT(TIMEVALUE(H1597)-TIMEVALUE(I1596)+(TIMEVALUE(H1597)&lt;TIMEVALUE(I1596)),"[h]:mm")</f>
        <v/>
      </c>
      <c r="L1597" s="4" t="inlineStr">
        <is>
          <t>01:30:00</t>
        </is>
      </c>
      <c r="M1597">
        <f>IF($M$1595="","",$M$1595)</f>
        <v/>
      </c>
      <c r="O1597">
        <f>IF($O$1595="","",$O$1595)</f>
        <v/>
      </c>
      <c r="Q1597" s="4">
        <f>B1597</f>
        <v/>
      </c>
      <c r="R1597" s="4">
        <f>C1597</f>
        <v/>
      </c>
      <c r="S1597" s="4">
        <f>D1597</f>
        <v/>
      </c>
      <c r="T1597" s="4">
        <f>E1597&amp;"/"&amp;E1598</f>
        <v/>
      </c>
      <c r="U1597" s="4">
        <f>F1597&amp;"-"&amp;G1597&amp;"-"&amp;F1597</f>
        <v/>
      </c>
      <c r="V1597" s="4">
        <f>IF($M$1595="","",$M$1595)</f>
        <v/>
      </c>
      <c r="W1597" s="4">
        <f>IF($O$1595="","",$O$1595)</f>
        <v/>
      </c>
      <c r="X1597" s="4">
        <f>J1597</f>
        <v/>
      </c>
    </row>
    <row r="1598">
      <c r="B1598" s="4" t="n">
        <v>1616</v>
      </c>
      <c r="C1598" s="4" t="inlineStr">
        <is>
          <t>18/09/2026</t>
        </is>
      </c>
      <c r="D1598" s="4" t="inlineStr">
        <is>
          <t>viernes</t>
        </is>
      </c>
      <c r="E1598" s="4" t="n">
        <v>2114</v>
      </c>
      <c r="F1598" s="4" t="inlineStr">
        <is>
          <t>AQP</t>
        </is>
      </c>
      <c r="G1598" s="4" t="inlineStr">
        <is>
          <t>LIM</t>
        </is>
      </c>
      <c r="H1598" s="4" t="inlineStr">
        <is>
          <t>19:20:00</t>
        </is>
      </c>
      <c r="I1598" s="4" t="inlineStr">
        <is>
          <t>20:55:00</t>
        </is>
      </c>
      <c r="J1598" s="4" t="n">
        <v>320</v>
      </c>
      <c r="K1598">
        <f>TEXT(TIMEVALUE(H1598)-TIMEVALUE(I1597)+(TIMEVALUE(H1598)&lt;TIMEVALUE(I1597)),"[h]:mm")</f>
        <v/>
      </c>
      <c r="L1598" s="4" t="inlineStr">
        <is>
          <t>01:35:00</t>
        </is>
      </c>
      <c r="O1598">
        <f>"LIM-"&amp;G1597&amp;"-LIM   LA "&amp;E1597&amp;" ("&amp;LEFT(H1597,5)&amp;"-"&amp;LEFT(I1597,5)&amp;" hrs)  /  LA "&amp;E1598&amp;" ("&amp;LEFT(H1598,5)&amp;"-"&amp;LEFT(I1598,5)&amp;" hrs)"</f>
        <v/>
      </c>
    </row>
    <row r="1599">
      <c r="J1599" s="8" t="inlineStr">
        <is>
          <t>PSV total:</t>
        </is>
      </c>
      <c r="K1599" s="9">
        <f>TEXT(TIMEVALUE(I1598)-TIMEVALUE(H1595)+(I1598&lt;H1595),"[h]:mm")</f>
        <v/>
      </c>
    </row>
    <row r="1601">
      <c r="B1601" s="3" t="inlineStr">
        <is>
          <t>Pairing ID</t>
        </is>
      </c>
      <c r="C1601" s="3" t="inlineStr">
        <is>
          <t>FECHA REAL</t>
        </is>
      </c>
      <c r="D1601" s="3" t="inlineStr">
        <is>
          <t>Day of Week</t>
        </is>
      </c>
      <c r="E1601" s="3" t="inlineStr">
        <is>
          <t>Flight No</t>
        </is>
      </c>
      <c r="F1601" s="3" t="inlineStr">
        <is>
          <t>Dep Stn</t>
        </is>
      </c>
      <c r="G1601" s="3" t="inlineStr">
        <is>
          <t>Arr Stn</t>
        </is>
      </c>
      <c r="H1601" s="3" t="inlineStr">
        <is>
          <t>STD</t>
        </is>
      </c>
      <c r="I1601" s="3" t="inlineStr">
        <is>
          <t>STA</t>
        </is>
      </c>
      <c r="J1601" s="3" t="inlineStr">
        <is>
          <t>subflota</t>
        </is>
      </c>
      <c r="K1601" s="3" t="inlineStr">
        <is>
          <t>Conexion</t>
        </is>
      </c>
      <c r="L1601" s="3" t="inlineStr">
        <is>
          <t>HBT</t>
        </is>
      </c>
    </row>
    <row r="1602">
      <c r="B1602" s="4" t="n">
        <v>1595</v>
      </c>
      <c r="C1602" s="4" t="inlineStr">
        <is>
          <t>18/09/2026</t>
        </is>
      </c>
      <c r="D1602" s="4" t="inlineStr">
        <is>
          <t>viernes</t>
        </is>
      </c>
      <c r="E1602" s="4" t="n">
        <v>2295</v>
      </c>
      <c r="F1602" s="4" t="inlineStr">
        <is>
          <t>LIM</t>
        </is>
      </c>
      <c r="G1602" s="4" t="inlineStr">
        <is>
          <t>CJA</t>
        </is>
      </c>
      <c r="H1602" s="4" t="inlineStr">
        <is>
          <t>14:10:00</t>
        </is>
      </c>
      <c r="I1602" s="4" t="inlineStr">
        <is>
          <t>15:30:00</t>
        </is>
      </c>
      <c r="J1602" s="4" t="n">
        <v>320</v>
      </c>
      <c r="L1602" s="4" t="inlineStr">
        <is>
          <t>01:20:00</t>
        </is>
      </c>
      <c r="M1602" s="5" t="n"/>
      <c r="N1602" s="6" t="n"/>
      <c r="O1602" s="5" t="n"/>
      <c r="Q1602" s="4">
        <f>B1602</f>
        <v/>
      </c>
      <c r="R1602" s="4">
        <f>C1602</f>
        <v/>
      </c>
      <c r="S1602" s="4">
        <f>D1602</f>
        <v/>
      </c>
      <c r="T1602" s="4">
        <f>E1602&amp;"/"&amp;E1603</f>
        <v/>
      </c>
      <c r="U1602" s="4">
        <f>F1602&amp;"-"&amp;G1602&amp;"-"&amp;F1602</f>
        <v/>
      </c>
      <c r="V1602" s="4">
        <f>IF($M$1602="","",$M$1602)</f>
        <v/>
      </c>
      <c r="W1602" s="4">
        <f>IF($O$1602="","",$O$1602)</f>
        <v/>
      </c>
      <c r="X1602" s="4">
        <f>J1602</f>
        <v/>
      </c>
    </row>
    <row r="1603">
      <c r="B1603" s="4" t="n">
        <v>1595</v>
      </c>
      <c r="C1603" s="4" t="inlineStr">
        <is>
          <t>18/09/2026</t>
        </is>
      </c>
      <c r="D1603" s="4" t="inlineStr">
        <is>
          <t>viernes</t>
        </is>
      </c>
      <c r="E1603" s="4" t="n">
        <v>2294</v>
      </c>
      <c r="F1603" s="4" t="inlineStr">
        <is>
          <t>CJA</t>
        </is>
      </c>
      <c r="G1603" s="4" t="inlineStr">
        <is>
          <t>LIM</t>
        </is>
      </c>
      <c r="H1603" s="4" t="inlineStr">
        <is>
          <t>16:10:00</t>
        </is>
      </c>
      <c r="I1603" s="4" t="inlineStr">
        <is>
          <t>17:15:00</t>
        </is>
      </c>
      <c r="J1603" s="4" t="n">
        <v>320</v>
      </c>
      <c r="K1603">
        <f>TEXT(TIMEVALUE(H1603)-TIMEVALUE(I1602)+(TIMEVALUE(H1603)&lt;TIMEVALUE(I1602)),"[h]:mm")</f>
        <v/>
      </c>
      <c r="L1603" s="4" t="inlineStr">
        <is>
          <t>01:05:00</t>
        </is>
      </c>
      <c r="O1603">
        <f>"LIM-"&amp;G1602&amp;"-LIM   LA "&amp;E1602&amp;" ("&amp;LEFT(H1602,5)&amp;"-"&amp;LEFT(I1602,5)&amp;" hrs)  /  LA "&amp;E1603&amp;" ("&amp;LEFT(H1603,5)&amp;"-"&amp;LEFT(I1603,5)&amp;" hrs)"</f>
        <v/>
      </c>
    </row>
    <row r="1604">
      <c r="B1604" s="4" t="n">
        <v>1619</v>
      </c>
      <c r="C1604" s="4" t="inlineStr">
        <is>
          <t>18/09/2026</t>
        </is>
      </c>
      <c r="D1604" s="4" t="inlineStr">
        <is>
          <t>viernes</t>
        </is>
      </c>
      <c r="E1604" s="4" t="n">
        <v>2310</v>
      </c>
      <c r="F1604" s="4" t="inlineStr">
        <is>
          <t>LIM</t>
        </is>
      </c>
      <c r="G1604" s="4" t="inlineStr">
        <is>
          <t>CIX</t>
        </is>
      </c>
      <c r="H1604" s="4" t="inlineStr">
        <is>
          <t>18:20:00</t>
        </is>
      </c>
      <c r="I1604" s="4" t="inlineStr">
        <is>
          <t>19:45:00</t>
        </is>
      </c>
      <c r="J1604" s="4" t="n">
        <v>320</v>
      </c>
      <c r="K1604" s="7">
        <f>TEXT(TIMEVALUE(H1604)-TIMEVALUE(I1603)+(TIMEVALUE(H1604)&lt;TIMEVALUE(I1603)),"[h]:mm")</f>
        <v/>
      </c>
      <c r="L1604" s="4" t="inlineStr">
        <is>
          <t>01:25:00</t>
        </is>
      </c>
      <c r="M1604">
        <f>IF($M$1602="","",$M$1602)</f>
        <v/>
      </c>
      <c r="O1604">
        <f>IF($O$1602="","",$O$1602)</f>
        <v/>
      </c>
      <c r="Q1604" s="4">
        <f>B1604</f>
        <v/>
      </c>
      <c r="R1604" s="4">
        <f>C1604</f>
        <v/>
      </c>
      <c r="S1604" s="4">
        <f>D1604</f>
        <v/>
      </c>
      <c r="T1604" s="4">
        <f>E1604&amp;"/"&amp;E1605</f>
        <v/>
      </c>
      <c r="U1604" s="4">
        <f>F1604&amp;"-"&amp;G1604&amp;"-"&amp;F1604</f>
        <v/>
      </c>
      <c r="V1604" s="4">
        <f>IF($M$1602="","",$M$1602)</f>
        <v/>
      </c>
      <c r="W1604" s="4">
        <f>IF($O$1602="","",$O$1602)</f>
        <v/>
      </c>
      <c r="X1604" s="4">
        <f>J1604</f>
        <v/>
      </c>
    </row>
    <row r="1605">
      <c r="B1605" s="4" t="n">
        <v>1619</v>
      </c>
      <c r="C1605" s="4" t="inlineStr">
        <is>
          <t>18/09/2026</t>
        </is>
      </c>
      <c r="D1605" s="4" t="inlineStr">
        <is>
          <t>viernes</t>
        </is>
      </c>
      <c r="E1605" s="4" t="n">
        <v>2311</v>
      </c>
      <c r="F1605" s="4" t="inlineStr">
        <is>
          <t>CIX</t>
        </is>
      </c>
      <c r="G1605" s="4" t="inlineStr">
        <is>
          <t>LIM</t>
        </is>
      </c>
      <c r="H1605" s="4" t="inlineStr">
        <is>
          <t>20:20:00</t>
        </is>
      </c>
      <c r="I1605" s="4" t="inlineStr">
        <is>
          <t>21:35:00</t>
        </is>
      </c>
      <c r="J1605" s="4" t="n">
        <v>320</v>
      </c>
      <c r="K1605">
        <f>TEXT(TIMEVALUE(H1605)-TIMEVALUE(I1604)+(TIMEVALUE(H1605)&lt;TIMEVALUE(I1604)),"[h]:mm")</f>
        <v/>
      </c>
      <c r="L1605" s="4" t="inlineStr">
        <is>
          <t>01:15:00</t>
        </is>
      </c>
      <c r="O1605">
        <f>"LIM-"&amp;G1604&amp;"-LIM   LA "&amp;E1604&amp;" ("&amp;LEFT(H1604,5)&amp;"-"&amp;LEFT(I1604,5)&amp;" hrs)  /  LA "&amp;E1605&amp;" ("&amp;LEFT(H1605,5)&amp;"-"&amp;LEFT(I1605,5)&amp;" hrs)"</f>
        <v/>
      </c>
    </row>
    <row r="1606">
      <c r="J1606" s="8" t="inlineStr">
        <is>
          <t>PSV total:</t>
        </is>
      </c>
      <c r="K1606" s="9">
        <f>TEXT(TIMEVALUE(I1605)-TIMEVALUE(H1602)+(I1605&lt;H1602),"[h]:mm")</f>
        <v/>
      </c>
    </row>
    <row r="1608">
      <c r="B1608" s="3" t="inlineStr">
        <is>
          <t>Pairing ID</t>
        </is>
      </c>
      <c r="C1608" s="3" t="inlineStr">
        <is>
          <t>FECHA REAL</t>
        </is>
      </c>
      <c r="D1608" s="3" t="inlineStr">
        <is>
          <t>Day of Week</t>
        </is>
      </c>
      <c r="E1608" s="3" t="inlineStr">
        <is>
          <t>Flight No</t>
        </is>
      </c>
      <c r="F1608" s="3" t="inlineStr">
        <is>
          <t>Dep Stn</t>
        </is>
      </c>
      <c r="G1608" s="3" t="inlineStr">
        <is>
          <t>Arr Stn</t>
        </is>
      </c>
      <c r="H1608" s="3" t="inlineStr">
        <is>
          <t>STD</t>
        </is>
      </c>
      <c r="I1608" s="3" t="inlineStr">
        <is>
          <t>STA</t>
        </is>
      </c>
      <c r="J1608" s="3" t="inlineStr">
        <is>
          <t>subflota</t>
        </is>
      </c>
      <c r="K1608" s="3" t="inlineStr">
        <is>
          <t>Conexion</t>
        </is>
      </c>
      <c r="L1608" s="3" t="inlineStr">
        <is>
          <t>HBT</t>
        </is>
      </c>
    </row>
    <row r="1609">
      <c r="B1609" s="4" t="n">
        <v>1598</v>
      </c>
      <c r="C1609" s="4" t="inlineStr">
        <is>
          <t>18/09/2026</t>
        </is>
      </c>
      <c r="D1609" s="4" t="inlineStr">
        <is>
          <t>viernes</t>
        </is>
      </c>
      <c r="E1609" s="4" t="n">
        <v>2338</v>
      </c>
      <c r="F1609" s="4" t="inlineStr">
        <is>
          <t>LIM</t>
        </is>
      </c>
      <c r="G1609" s="4" t="inlineStr">
        <is>
          <t>PIU</t>
        </is>
      </c>
      <c r="H1609" s="4" t="inlineStr">
        <is>
          <t>14:55:00</t>
        </is>
      </c>
      <c r="I1609" s="4" t="inlineStr">
        <is>
          <t>16:45:00</t>
        </is>
      </c>
      <c r="J1609" s="4" t="n">
        <v>320</v>
      </c>
      <c r="L1609" s="4" t="inlineStr">
        <is>
          <t>01:50:00</t>
        </is>
      </c>
      <c r="M1609" s="5" t="n"/>
      <c r="N1609" s="6" t="n"/>
      <c r="O1609" s="5" t="n"/>
      <c r="Q1609" s="4">
        <f>B1609</f>
        <v/>
      </c>
      <c r="R1609" s="4">
        <f>C1609</f>
        <v/>
      </c>
      <c r="S1609" s="4">
        <f>D1609</f>
        <v/>
      </c>
      <c r="T1609" s="4">
        <f>E1609&amp;"/"&amp;E1610</f>
        <v/>
      </c>
      <c r="U1609" s="4">
        <f>F1609&amp;"-"&amp;G1609&amp;"-"&amp;F1609</f>
        <v/>
      </c>
      <c r="V1609" s="4">
        <f>IF($M$1609="","",$M$1609)</f>
        <v/>
      </c>
      <c r="W1609" s="4">
        <f>IF($O$1609="","",$O$1609)</f>
        <v/>
      </c>
      <c r="X1609" s="4">
        <f>J1609</f>
        <v/>
      </c>
    </row>
    <row r="1610">
      <c r="B1610" s="4" t="n">
        <v>1598</v>
      </c>
      <c r="C1610" s="4" t="inlineStr">
        <is>
          <t>18/09/2026</t>
        </is>
      </c>
      <c r="D1610" s="4" t="inlineStr">
        <is>
          <t>viernes</t>
        </is>
      </c>
      <c r="E1610" s="4" t="n">
        <v>2339</v>
      </c>
      <c r="F1610" s="4" t="inlineStr">
        <is>
          <t>PIU</t>
        </is>
      </c>
      <c r="G1610" s="4" t="inlineStr">
        <is>
          <t>LIM</t>
        </is>
      </c>
      <c r="H1610" s="4" t="inlineStr">
        <is>
          <t>17:20:00</t>
        </is>
      </c>
      <c r="I1610" s="4" t="inlineStr">
        <is>
          <t>18:50:00</t>
        </is>
      </c>
      <c r="J1610" s="4" t="n">
        <v>320</v>
      </c>
      <c r="K1610">
        <f>TEXT(TIMEVALUE(H1610)-TIMEVALUE(I1609)+(TIMEVALUE(H1610)&lt;TIMEVALUE(I1609)),"[h]:mm")</f>
        <v/>
      </c>
      <c r="L1610" s="4" t="inlineStr">
        <is>
          <t>01:30:00</t>
        </is>
      </c>
      <c r="O1610">
        <f>"LIM-"&amp;G1609&amp;"-LIM   LA "&amp;E1609&amp;" ("&amp;LEFT(H1609,5)&amp;"-"&amp;LEFT(I1609,5)&amp;" hrs)  /  LA "&amp;E1610&amp;" ("&amp;LEFT(H1610,5)&amp;"-"&amp;LEFT(I1610,5)&amp;" hrs)"</f>
        <v/>
      </c>
    </row>
    <row r="1611">
      <c r="J1611" s="8" t="inlineStr">
        <is>
          <t>PSV total:</t>
        </is>
      </c>
      <c r="K1611" s="9">
        <f>TEXT(TIMEVALUE(I1610)-TIMEVALUE(H1609)+(I1610&lt;H1609),"[h]:mm")</f>
        <v/>
      </c>
    </row>
    <row r="1613">
      <c r="B1613" s="3" t="inlineStr">
        <is>
          <t>Pairing ID</t>
        </is>
      </c>
      <c r="C1613" s="3" t="inlineStr">
        <is>
          <t>FECHA REAL</t>
        </is>
      </c>
      <c r="D1613" s="3" t="inlineStr">
        <is>
          <t>Day of Week</t>
        </is>
      </c>
      <c r="E1613" s="3" t="inlineStr">
        <is>
          <t>Flight No</t>
        </is>
      </c>
      <c r="F1613" s="3" t="inlineStr">
        <is>
          <t>Dep Stn</t>
        </is>
      </c>
      <c r="G1613" s="3" t="inlineStr">
        <is>
          <t>Arr Stn</t>
        </is>
      </c>
      <c r="H1613" s="3" t="inlineStr">
        <is>
          <t>STD</t>
        </is>
      </c>
      <c r="I1613" s="3" t="inlineStr">
        <is>
          <t>STA</t>
        </is>
      </c>
      <c r="J1613" s="3" t="inlineStr">
        <is>
          <t>subflota</t>
        </is>
      </c>
      <c r="K1613" s="3" t="inlineStr">
        <is>
          <t>Conexion</t>
        </is>
      </c>
      <c r="L1613" s="3" t="inlineStr">
        <is>
          <t>HBT</t>
        </is>
      </c>
    </row>
    <row r="1614">
      <c r="B1614" s="4" t="n">
        <v>1599</v>
      </c>
      <c r="C1614" s="4" t="inlineStr">
        <is>
          <t>18/09/2026</t>
        </is>
      </c>
      <c r="D1614" s="4" t="inlineStr">
        <is>
          <t>viernes</t>
        </is>
      </c>
      <c r="E1614" s="4" t="n">
        <v>2248</v>
      </c>
      <c r="F1614" s="4" t="inlineStr">
        <is>
          <t>LIM</t>
        </is>
      </c>
      <c r="G1614" s="4" t="inlineStr">
        <is>
          <t>CUZ</t>
        </is>
      </c>
      <c r="H1614" s="4" t="inlineStr">
        <is>
          <t>15:00:00</t>
        </is>
      </c>
      <c r="I1614" s="4" t="inlineStr">
        <is>
          <t>16:20:00</t>
        </is>
      </c>
      <c r="J1614" s="4" t="n">
        <v>320</v>
      </c>
      <c r="L1614" s="4" t="inlineStr">
        <is>
          <t>01:20:00</t>
        </is>
      </c>
      <c r="M1614" s="5" t="n"/>
      <c r="N1614" s="6" t="n"/>
      <c r="O1614" s="5" t="n"/>
      <c r="Q1614" s="4">
        <f>B1614</f>
        <v/>
      </c>
      <c r="R1614" s="4">
        <f>C1614</f>
        <v/>
      </c>
      <c r="S1614" s="4">
        <f>D1614</f>
        <v/>
      </c>
      <c r="T1614" s="4">
        <f>E1614&amp;"/"&amp;E1615</f>
        <v/>
      </c>
      <c r="U1614" s="4">
        <f>F1614&amp;"-"&amp;G1614&amp;"-"&amp;F1614</f>
        <v/>
      </c>
      <c r="V1614" s="4">
        <f>IF($M$1614="","",$M$1614)</f>
        <v/>
      </c>
      <c r="W1614" s="4">
        <f>IF($O$1614="","",$O$1614)</f>
        <v/>
      </c>
      <c r="X1614" s="4">
        <f>J1614</f>
        <v/>
      </c>
    </row>
    <row r="1615">
      <c r="B1615" s="4" t="n">
        <v>1599</v>
      </c>
      <c r="C1615" s="4" t="inlineStr">
        <is>
          <t>18/09/2026</t>
        </is>
      </c>
      <c r="D1615" s="4" t="inlineStr">
        <is>
          <t>viernes</t>
        </is>
      </c>
      <c r="E1615" s="4" t="n">
        <v>2249</v>
      </c>
      <c r="F1615" s="4" t="inlineStr">
        <is>
          <t>CUZ</t>
        </is>
      </c>
      <c r="G1615" s="4" t="inlineStr">
        <is>
          <t>LIM</t>
        </is>
      </c>
      <c r="H1615" s="4" t="inlineStr">
        <is>
          <t>17:00:00</t>
        </is>
      </c>
      <c r="I1615" s="4" t="inlineStr">
        <is>
          <t>18:35:00</t>
        </is>
      </c>
      <c r="J1615" s="4" t="n">
        <v>320</v>
      </c>
      <c r="K1615">
        <f>TEXT(TIMEVALUE(H1615)-TIMEVALUE(I1614)+(TIMEVALUE(H1615)&lt;TIMEVALUE(I1614)),"[h]:mm")</f>
        <v/>
      </c>
      <c r="L1615" s="4" t="inlineStr">
        <is>
          <t>01:35:00</t>
        </is>
      </c>
      <c r="O1615">
        <f>"LIM-"&amp;G1614&amp;"-LIM   LA "&amp;E1614&amp;" ("&amp;LEFT(H1614,5)&amp;"-"&amp;LEFT(I1614,5)&amp;" hrs)  /  LA "&amp;E1615&amp;" ("&amp;LEFT(H1615,5)&amp;"-"&amp;LEFT(I1615,5)&amp;" hrs)"</f>
        <v/>
      </c>
    </row>
    <row r="1616">
      <c r="J1616" s="8" t="inlineStr">
        <is>
          <t>PSV total:</t>
        </is>
      </c>
      <c r="K1616" s="9">
        <f>TEXT(TIMEVALUE(I1615)-TIMEVALUE(H1614)+(I1615&lt;H1614),"[h]:mm")</f>
        <v/>
      </c>
    </row>
    <row r="1618">
      <c r="B1618" s="3" t="inlineStr">
        <is>
          <t>Pairing ID</t>
        </is>
      </c>
      <c r="C1618" s="3" t="inlineStr">
        <is>
          <t>FECHA REAL</t>
        </is>
      </c>
      <c r="D1618" s="3" t="inlineStr">
        <is>
          <t>Day of Week</t>
        </is>
      </c>
      <c r="E1618" s="3" t="inlineStr">
        <is>
          <t>Flight No</t>
        </is>
      </c>
      <c r="F1618" s="3" t="inlineStr">
        <is>
          <t>Dep Stn</t>
        </is>
      </c>
      <c r="G1618" s="3" t="inlineStr">
        <is>
          <t>Arr Stn</t>
        </is>
      </c>
      <c r="H1618" s="3" t="inlineStr">
        <is>
          <t>STD</t>
        </is>
      </c>
      <c r="I1618" s="3" t="inlineStr">
        <is>
          <t>STA</t>
        </is>
      </c>
      <c r="J1618" s="3" t="inlineStr">
        <is>
          <t>subflota</t>
        </is>
      </c>
      <c r="K1618" s="3" t="inlineStr">
        <is>
          <t>Conexion</t>
        </is>
      </c>
      <c r="L1618" s="3" t="inlineStr">
        <is>
          <t>HBT</t>
        </is>
      </c>
    </row>
    <row r="1619">
      <c r="B1619" s="4" t="n">
        <v>1600</v>
      </c>
      <c r="C1619" s="4" t="inlineStr">
        <is>
          <t>18/09/2026</t>
        </is>
      </c>
      <c r="D1619" s="4" t="inlineStr">
        <is>
          <t>viernes</t>
        </is>
      </c>
      <c r="E1619" s="4" t="n">
        <v>2113</v>
      </c>
      <c r="F1619" s="4" t="inlineStr">
        <is>
          <t>LIM</t>
        </is>
      </c>
      <c r="G1619" s="4" t="inlineStr">
        <is>
          <t>AQP</t>
        </is>
      </c>
      <c r="H1619" s="4" t="inlineStr">
        <is>
          <t>15:05:00</t>
        </is>
      </c>
      <c r="I1619" s="4" t="inlineStr">
        <is>
          <t>16:35:00</t>
        </is>
      </c>
      <c r="J1619" s="4" t="n">
        <v>319</v>
      </c>
      <c r="L1619" s="4" t="inlineStr">
        <is>
          <t>01:30:00</t>
        </is>
      </c>
      <c r="M1619" s="5" t="n"/>
      <c r="N1619" s="6" t="n"/>
      <c r="O1619" s="5" t="n"/>
      <c r="Q1619" s="4">
        <f>B1619</f>
        <v/>
      </c>
      <c r="R1619" s="4">
        <f>C1619</f>
        <v/>
      </c>
      <c r="S1619" s="4">
        <f>D1619</f>
        <v/>
      </c>
      <c r="T1619" s="4">
        <f>E1619&amp;"/"&amp;E1620</f>
        <v/>
      </c>
      <c r="U1619" s="4">
        <f>F1619&amp;"-"&amp;G1619&amp;"-"&amp;F1619</f>
        <v/>
      </c>
      <c r="V1619" s="4">
        <f>IF($M$1619="","",$M$1619)</f>
        <v/>
      </c>
      <c r="W1619" s="4">
        <f>IF($O$1619="","",$O$1619)</f>
        <v/>
      </c>
      <c r="X1619" s="4">
        <f>J1619</f>
        <v/>
      </c>
    </row>
    <row r="1620">
      <c r="B1620" s="4" t="n">
        <v>1600</v>
      </c>
      <c r="C1620" s="4" t="inlineStr">
        <is>
          <t>18/09/2026</t>
        </is>
      </c>
      <c r="D1620" s="4" t="inlineStr">
        <is>
          <t>viernes</t>
        </is>
      </c>
      <c r="E1620" s="4" t="n">
        <v>2112</v>
      </c>
      <c r="F1620" s="4" t="inlineStr">
        <is>
          <t>AQP</t>
        </is>
      </c>
      <c r="G1620" s="4" t="inlineStr">
        <is>
          <t>LIM</t>
        </is>
      </c>
      <c r="H1620" s="4" t="inlineStr">
        <is>
          <t>17:15:00</t>
        </is>
      </c>
      <c r="I1620" s="4" t="inlineStr">
        <is>
          <t>18:55:00</t>
        </is>
      </c>
      <c r="J1620" s="4" t="n">
        <v>319</v>
      </c>
      <c r="K1620">
        <f>TEXT(TIMEVALUE(H1620)-TIMEVALUE(I1619)+(TIMEVALUE(H1620)&lt;TIMEVALUE(I1619)),"[h]:mm")</f>
        <v/>
      </c>
      <c r="L1620" s="4" t="inlineStr">
        <is>
          <t>01:40:00</t>
        </is>
      </c>
      <c r="O1620">
        <f>"LIM-"&amp;G1619&amp;"-LIM   LA "&amp;E1619&amp;" ("&amp;LEFT(H1619,5)&amp;"-"&amp;LEFT(I1619,5)&amp;" hrs)  /  LA "&amp;E1620&amp;" ("&amp;LEFT(H1620,5)&amp;"-"&amp;LEFT(I1620,5)&amp;" hrs)"</f>
        <v/>
      </c>
    </row>
    <row r="1621">
      <c r="J1621" s="8" t="inlineStr">
        <is>
          <t>PSV total:</t>
        </is>
      </c>
      <c r="K1621" s="9">
        <f>TEXT(TIMEVALUE(I1620)-TIMEVALUE(H1619)+(I1620&lt;H1619),"[h]:mm")</f>
        <v/>
      </c>
    </row>
    <row r="1623">
      <c r="B1623" s="3" t="inlineStr">
        <is>
          <t>Pairing ID</t>
        </is>
      </c>
      <c r="C1623" s="3" t="inlineStr">
        <is>
          <t>FECHA REAL</t>
        </is>
      </c>
      <c r="D1623" s="3" t="inlineStr">
        <is>
          <t>Day of Week</t>
        </is>
      </c>
      <c r="E1623" s="3" t="inlineStr">
        <is>
          <t>Flight No</t>
        </is>
      </c>
      <c r="F1623" s="3" t="inlineStr">
        <is>
          <t>Dep Stn</t>
        </is>
      </c>
      <c r="G1623" s="3" t="inlineStr">
        <is>
          <t>Arr Stn</t>
        </is>
      </c>
      <c r="H1623" s="3" t="inlineStr">
        <is>
          <t>STD</t>
        </is>
      </c>
      <c r="I1623" s="3" t="inlineStr">
        <is>
          <t>STA</t>
        </is>
      </c>
      <c r="J1623" s="3" t="inlineStr">
        <is>
          <t>subflota</t>
        </is>
      </c>
      <c r="K1623" s="3" t="inlineStr">
        <is>
          <t>Conexion</t>
        </is>
      </c>
      <c r="L1623" s="3" t="inlineStr">
        <is>
          <t>HBT</t>
        </is>
      </c>
    </row>
    <row r="1624">
      <c r="B1624" s="4" t="n">
        <v>1603</v>
      </c>
      <c r="C1624" s="4" t="inlineStr">
        <is>
          <t>18/09/2026</t>
        </is>
      </c>
      <c r="D1624" s="4" t="inlineStr">
        <is>
          <t>viernes</t>
        </is>
      </c>
      <c r="E1624" s="4" t="n">
        <v>2297</v>
      </c>
      <c r="F1624" s="4" t="inlineStr">
        <is>
          <t>LIM</t>
        </is>
      </c>
      <c r="G1624" s="4" t="inlineStr">
        <is>
          <t>CJA</t>
        </is>
      </c>
      <c r="H1624" s="4" t="inlineStr">
        <is>
          <t>15:15:00</t>
        </is>
      </c>
      <c r="I1624" s="4" t="inlineStr">
        <is>
          <t>16:35:00</t>
        </is>
      </c>
      <c r="J1624" s="4" t="n">
        <v>320</v>
      </c>
      <c r="L1624" s="4" t="inlineStr">
        <is>
          <t>01:20:00</t>
        </is>
      </c>
      <c r="M1624" s="5" t="n"/>
      <c r="N1624" s="6" t="n"/>
      <c r="O1624" s="5" t="n"/>
      <c r="Q1624" s="4">
        <f>B1624</f>
        <v/>
      </c>
      <c r="R1624" s="4">
        <f>C1624</f>
        <v/>
      </c>
      <c r="S1624" s="4">
        <f>D1624</f>
        <v/>
      </c>
      <c r="T1624" s="4">
        <f>E1624&amp;"/"&amp;E1625</f>
        <v/>
      </c>
      <c r="U1624" s="4">
        <f>F1624&amp;"-"&amp;G1624&amp;"-"&amp;F1624</f>
        <v/>
      </c>
      <c r="V1624" s="4">
        <f>IF($M$1624="","",$M$1624)</f>
        <v/>
      </c>
      <c r="W1624" s="4">
        <f>IF($O$1624="","",$O$1624)</f>
        <v/>
      </c>
      <c r="X1624" s="4">
        <f>J1624</f>
        <v/>
      </c>
    </row>
    <row r="1625">
      <c r="B1625" s="4" t="n">
        <v>1603</v>
      </c>
      <c r="C1625" s="4" t="inlineStr">
        <is>
          <t>18/09/2026</t>
        </is>
      </c>
      <c r="D1625" s="4" t="inlineStr">
        <is>
          <t>viernes</t>
        </is>
      </c>
      <c r="E1625" s="4" t="n">
        <v>2296</v>
      </c>
      <c r="F1625" s="4" t="inlineStr">
        <is>
          <t>CJA</t>
        </is>
      </c>
      <c r="G1625" s="4" t="inlineStr">
        <is>
          <t>LIM</t>
        </is>
      </c>
      <c r="H1625" s="4" t="inlineStr">
        <is>
          <t>17:20:00</t>
        </is>
      </c>
      <c r="I1625" s="4" t="inlineStr">
        <is>
          <t>18:25:00</t>
        </is>
      </c>
      <c r="J1625" s="4" t="n">
        <v>320</v>
      </c>
      <c r="K1625">
        <f>TEXT(TIMEVALUE(H1625)-TIMEVALUE(I1624)+(TIMEVALUE(H1625)&lt;TIMEVALUE(I1624)),"[h]:mm")</f>
        <v/>
      </c>
      <c r="L1625" s="4" t="inlineStr">
        <is>
          <t>01:05:00</t>
        </is>
      </c>
      <c r="O1625">
        <f>"LIM-"&amp;G1624&amp;"-LIM   LA "&amp;E1624&amp;" ("&amp;LEFT(H1624,5)&amp;"-"&amp;LEFT(I1624,5)&amp;" hrs)  /  LA "&amp;E1625&amp;" ("&amp;LEFT(H1625,5)&amp;"-"&amp;LEFT(I1625,5)&amp;" hrs)"</f>
        <v/>
      </c>
    </row>
    <row r="1626">
      <c r="J1626" s="8" t="inlineStr">
        <is>
          <t>PSV total:</t>
        </is>
      </c>
      <c r="K1626" s="9">
        <f>TEXT(TIMEVALUE(I1625)-TIMEVALUE(H1624)+(I1625&lt;H1624),"[h]:mm")</f>
        <v/>
      </c>
    </row>
    <row r="1628">
      <c r="B1628" s="3" t="inlineStr">
        <is>
          <t>Pairing ID</t>
        </is>
      </c>
      <c r="C1628" s="3" t="inlineStr">
        <is>
          <t>FECHA REAL</t>
        </is>
      </c>
      <c r="D1628" s="3" t="inlineStr">
        <is>
          <t>Day of Week</t>
        </is>
      </c>
      <c r="E1628" s="3" t="inlineStr">
        <is>
          <t>Flight No</t>
        </is>
      </c>
      <c r="F1628" s="3" t="inlineStr">
        <is>
          <t>Dep Stn</t>
        </is>
      </c>
      <c r="G1628" s="3" t="inlineStr">
        <is>
          <t>Arr Stn</t>
        </is>
      </c>
      <c r="H1628" s="3" t="inlineStr">
        <is>
          <t>STD</t>
        </is>
      </c>
      <c r="I1628" s="3" t="inlineStr">
        <is>
          <t>STA</t>
        </is>
      </c>
      <c r="J1628" s="3" t="inlineStr">
        <is>
          <t>subflota</t>
        </is>
      </c>
      <c r="K1628" s="3" t="inlineStr">
        <is>
          <t>Conexion</t>
        </is>
      </c>
      <c r="L1628" s="3" t="inlineStr">
        <is>
          <t>HBT</t>
        </is>
      </c>
    </row>
    <row r="1629">
      <c r="B1629" s="4" t="n">
        <v>1604</v>
      </c>
      <c r="C1629" s="4" t="inlineStr">
        <is>
          <t>18/09/2026</t>
        </is>
      </c>
      <c r="D1629" s="4" t="inlineStr">
        <is>
          <t>viernes</t>
        </is>
      </c>
      <c r="E1629" s="4" t="n">
        <v>2297</v>
      </c>
      <c r="F1629" s="4" t="inlineStr">
        <is>
          <t>LIM</t>
        </is>
      </c>
      <c r="G1629" s="4" t="inlineStr">
        <is>
          <t>CJA</t>
        </is>
      </c>
      <c r="H1629" s="4" t="inlineStr">
        <is>
          <t>15:15:00</t>
        </is>
      </c>
      <c r="I1629" s="4" t="inlineStr">
        <is>
          <t>16:35:00</t>
        </is>
      </c>
      <c r="J1629" s="4" t="n">
        <v>320</v>
      </c>
      <c r="L1629" s="4" t="inlineStr">
        <is>
          <t>01:20:00</t>
        </is>
      </c>
      <c r="M1629" s="5" t="n"/>
      <c r="N1629" s="6" t="n"/>
      <c r="O1629" s="5" t="n"/>
      <c r="Q1629" s="4">
        <f>B1629</f>
        <v/>
      </c>
      <c r="R1629" s="4">
        <f>C1629</f>
        <v/>
      </c>
      <c r="S1629" s="4">
        <f>D1629</f>
        <v/>
      </c>
      <c r="T1629" s="4">
        <f>E1629&amp;"/"&amp;E1630</f>
        <v/>
      </c>
      <c r="U1629" s="4">
        <f>F1629&amp;"-"&amp;G1629&amp;"-"&amp;F1629</f>
        <v/>
      </c>
      <c r="V1629" s="4">
        <f>IF($M$1629="","",$M$1629)</f>
        <v/>
      </c>
      <c r="W1629" s="4">
        <f>IF($O$1629="","",$O$1629)</f>
        <v/>
      </c>
      <c r="X1629" s="4">
        <f>J1629</f>
        <v/>
      </c>
    </row>
    <row r="1630">
      <c r="B1630" s="4" t="n">
        <v>1604</v>
      </c>
      <c r="C1630" s="4" t="inlineStr">
        <is>
          <t>18/09/2026</t>
        </is>
      </c>
      <c r="D1630" s="4" t="inlineStr">
        <is>
          <t>viernes</t>
        </is>
      </c>
      <c r="E1630" s="4" t="n">
        <v>2296</v>
      </c>
      <c r="F1630" s="4" t="inlineStr">
        <is>
          <t>CJA</t>
        </is>
      </c>
      <c r="G1630" s="4" t="inlineStr">
        <is>
          <t>LIM</t>
        </is>
      </c>
      <c r="H1630" s="4" t="inlineStr">
        <is>
          <t>17:20:00</t>
        </is>
      </c>
      <c r="I1630" s="4" t="inlineStr">
        <is>
          <t>18:25:00</t>
        </is>
      </c>
      <c r="J1630" s="4" t="n">
        <v>320</v>
      </c>
      <c r="K1630">
        <f>TEXT(TIMEVALUE(H1630)-TIMEVALUE(I1629)+(TIMEVALUE(H1630)&lt;TIMEVALUE(I1629)),"[h]:mm")</f>
        <v/>
      </c>
      <c r="L1630" s="4" t="inlineStr">
        <is>
          <t>01:05:00</t>
        </is>
      </c>
      <c r="O1630">
        <f>"LIM-"&amp;G1629&amp;"-LIM   LA "&amp;E1629&amp;" ("&amp;LEFT(H1629,5)&amp;"-"&amp;LEFT(I1629,5)&amp;" hrs)  /  LA "&amp;E1630&amp;" ("&amp;LEFT(H1630,5)&amp;"-"&amp;LEFT(I1630,5)&amp;" hrs)"</f>
        <v/>
      </c>
    </row>
    <row r="1631">
      <c r="J1631" s="8" t="inlineStr">
        <is>
          <t>PSV total:</t>
        </is>
      </c>
      <c r="K1631" s="9">
        <f>TEXT(TIMEVALUE(I1630)-TIMEVALUE(H1629)+(I1630&lt;H1629),"[h]:mm")</f>
        <v/>
      </c>
    </row>
    <row r="1633">
      <c r="B1633" s="3" t="inlineStr">
        <is>
          <t>Pairing ID</t>
        </is>
      </c>
      <c r="C1633" s="3" t="inlineStr">
        <is>
          <t>FECHA REAL</t>
        </is>
      </c>
      <c r="D1633" s="3" t="inlineStr">
        <is>
          <t>Day of Week</t>
        </is>
      </c>
      <c r="E1633" s="3" t="inlineStr">
        <is>
          <t>Flight No</t>
        </is>
      </c>
      <c r="F1633" s="3" t="inlineStr">
        <is>
          <t>Dep Stn</t>
        </is>
      </c>
      <c r="G1633" s="3" t="inlineStr">
        <is>
          <t>Arr Stn</t>
        </is>
      </c>
      <c r="H1633" s="3" t="inlineStr">
        <is>
          <t>STD</t>
        </is>
      </c>
      <c r="I1633" s="3" t="inlineStr">
        <is>
          <t>STA</t>
        </is>
      </c>
      <c r="J1633" s="3" t="inlineStr">
        <is>
          <t>subflota</t>
        </is>
      </c>
      <c r="K1633" s="3" t="inlineStr">
        <is>
          <t>Conexion</t>
        </is>
      </c>
      <c r="L1633" s="3" t="inlineStr">
        <is>
          <t>HBT</t>
        </is>
      </c>
    </row>
    <row r="1634">
      <c r="B1634" s="4" t="n">
        <v>1605</v>
      </c>
      <c r="C1634" s="4" t="inlineStr">
        <is>
          <t>18/09/2026</t>
        </is>
      </c>
      <c r="D1634" s="4" t="inlineStr">
        <is>
          <t>viernes</t>
        </is>
      </c>
      <c r="E1634" s="4" t="n">
        <v>2360</v>
      </c>
      <c r="F1634" s="4" t="inlineStr">
        <is>
          <t>LIM</t>
        </is>
      </c>
      <c r="G1634" s="4" t="inlineStr">
        <is>
          <t>PCL</t>
        </is>
      </c>
      <c r="H1634" s="4" t="inlineStr">
        <is>
          <t>15:25:00</t>
        </is>
      </c>
      <c r="I1634" s="4" t="inlineStr">
        <is>
          <t>16:40:00</t>
        </is>
      </c>
      <c r="J1634" s="4" t="n">
        <v>320</v>
      </c>
      <c r="L1634" s="4" t="inlineStr">
        <is>
          <t>01:15:00</t>
        </is>
      </c>
      <c r="M1634" s="5" t="n"/>
      <c r="N1634" s="6" t="n"/>
      <c r="O1634" s="5" t="n"/>
      <c r="Q1634" s="4">
        <f>B1634</f>
        <v/>
      </c>
      <c r="R1634" s="4">
        <f>C1634</f>
        <v/>
      </c>
      <c r="S1634" s="4">
        <f>D1634</f>
        <v/>
      </c>
      <c r="T1634" s="4">
        <f>E1634&amp;"/"&amp;E1635</f>
        <v/>
      </c>
      <c r="U1634" s="4">
        <f>F1634&amp;"-"&amp;G1634&amp;"-"&amp;F1634</f>
        <v/>
      </c>
      <c r="V1634" s="4">
        <f>IF($M$1634="","",$M$1634)</f>
        <v/>
      </c>
      <c r="W1634" s="4">
        <f>IF($O$1634="","",$O$1634)</f>
        <v/>
      </c>
      <c r="X1634" s="4">
        <f>J1634</f>
        <v/>
      </c>
    </row>
    <row r="1635">
      <c r="B1635" s="4" t="n">
        <v>1605</v>
      </c>
      <c r="C1635" s="4" t="inlineStr">
        <is>
          <t>18/09/2026</t>
        </is>
      </c>
      <c r="D1635" s="4" t="inlineStr">
        <is>
          <t>viernes</t>
        </is>
      </c>
      <c r="E1635" s="4" t="n">
        <v>2361</v>
      </c>
      <c r="F1635" s="4" t="inlineStr">
        <is>
          <t>PCL</t>
        </is>
      </c>
      <c r="G1635" s="4" t="inlineStr">
        <is>
          <t>LIM</t>
        </is>
      </c>
      <c r="H1635" s="4" t="inlineStr">
        <is>
          <t>17:20:00</t>
        </is>
      </c>
      <c r="I1635" s="4" t="inlineStr">
        <is>
          <t>18:35:00</t>
        </is>
      </c>
      <c r="J1635" s="4" t="n">
        <v>320</v>
      </c>
      <c r="K1635">
        <f>TEXT(TIMEVALUE(H1635)-TIMEVALUE(I1634)+(TIMEVALUE(H1635)&lt;TIMEVALUE(I1634)),"[h]:mm")</f>
        <v/>
      </c>
      <c r="L1635" s="4" t="inlineStr">
        <is>
          <t>01:15:00</t>
        </is>
      </c>
      <c r="O1635">
        <f>"LIM-"&amp;G1634&amp;"-LIM   LA "&amp;E1634&amp;" ("&amp;LEFT(H1634,5)&amp;"-"&amp;LEFT(I1634,5)&amp;" hrs)  /  LA "&amp;E1635&amp;" ("&amp;LEFT(H1635,5)&amp;"-"&amp;LEFT(I1635,5)&amp;" hrs)"</f>
        <v/>
      </c>
    </row>
    <row r="1636">
      <c r="J1636" s="8" t="inlineStr">
        <is>
          <t>PSV total:</t>
        </is>
      </c>
      <c r="K1636" s="9">
        <f>TEXT(TIMEVALUE(I1635)-TIMEVALUE(H1634)+(I1635&lt;H1634),"[h]:mm")</f>
        <v/>
      </c>
    </row>
    <row r="1638">
      <c r="B1638" s="3" t="inlineStr">
        <is>
          <t>Pairing ID</t>
        </is>
      </c>
      <c r="C1638" s="3" t="inlineStr">
        <is>
          <t>FECHA REAL</t>
        </is>
      </c>
      <c r="D1638" s="3" t="inlineStr">
        <is>
          <t>Day of Week</t>
        </is>
      </c>
      <c r="E1638" s="3" t="inlineStr">
        <is>
          <t>Flight No</t>
        </is>
      </c>
      <c r="F1638" s="3" t="inlineStr">
        <is>
          <t>Dep Stn</t>
        </is>
      </c>
      <c r="G1638" s="3" t="inlineStr">
        <is>
          <t>Arr Stn</t>
        </is>
      </c>
      <c r="H1638" s="3" t="inlineStr">
        <is>
          <t>STD</t>
        </is>
      </c>
      <c r="I1638" s="3" t="inlineStr">
        <is>
          <t>STA</t>
        </is>
      </c>
      <c r="J1638" s="3" t="inlineStr">
        <is>
          <t>subflota</t>
        </is>
      </c>
      <c r="K1638" s="3" t="inlineStr">
        <is>
          <t>Conexion</t>
        </is>
      </c>
      <c r="L1638" s="3" t="inlineStr">
        <is>
          <t>HBT</t>
        </is>
      </c>
    </row>
    <row r="1639">
      <c r="B1639" s="4" t="n">
        <v>1606</v>
      </c>
      <c r="C1639" s="4" t="inlineStr">
        <is>
          <t>18/09/2026</t>
        </is>
      </c>
      <c r="D1639" s="4" t="inlineStr">
        <is>
          <t>viernes</t>
        </is>
      </c>
      <c r="E1639" s="4" t="n">
        <v>2312</v>
      </c>
      <c r="F1639" s="4" t="inlineStr">
        <is>
          <t>LIM</t>
        </is>
      </c>
      <c r="G1639" s="4" t="inlineStr">
        <is>
          <t>CIX</t>
        </is>
      </c>
      <c r="H1639" s="4" t="inlineStr">
        <is>
          <t>15:35:00</t>
        </is>
      </c>
      <c r="I1639" s="4" t="inlineStr">
        <is>
          <t>17:05:00</t>
        </is>
      </c>
      <c r="J1639" s="4" t="n">
        <v>320</v>
      </c>
      <c r="L1639" s="4" t="inlineStr">
        <is>
          <t>01:30:00</t>
        </is>
      </c>
      <c r="M1639" s="5" t="n"/>
      <c r="N1639" s="6" t="n"/>
      <c r="O1639" s="5" t="n"/>
      <c r="Q1639" s="4">
        <f>B1639</f>
        <v/>
      </c>
      <c r="R1639" s="4">
        <f>C1639</f>
        <v/>
      </c>
      <c r="S1639" s="4">
        <f>D1639</f>
        <v/>
      </c>
      <c r="T1639" s="4">
        <f>E1639&amp;"/"&amp;E1640</f>
        <v/>
      </c>
      <c r="U1639" s="4">
        <f>F1639&amp;"-"&amp;G1639&amp;"-"&amp;F1639</f>
        <v/>
      </c>
      <c r="V1639" s="4">
        <f>IF($M$1639="","",$M$1639)</f>
        <v/>
      </c>
      <c r="W1639" s="4">
        <f>IF($O$1639="","",$O$1639)</f>
        <v/>
      </c>
      <c r="X1639" s="4">
        <f>J1639</f>
        <v/>
      </c>
    </row>
    <row r="1640">
      <c r="B1640" s="4" t="n">
        <v>1606</v>
      </c>
      <c r="C1640" s="4" t="inlineStr">
        <is>
          <t>18/09/2026</t>
        </is>
      </c>
      <c r="D1640" s="4" t="inlineStr">
        <is>
          <t>viernes</t>
        </is>
      </c>
      <c r="E1640" s="4" t="n">
        <v>2313</v>
      </c>
      <c r="F1640" s="4" t="inlineStr">
        <is>
          <t>CIX</t>
        </is>
      </c>
      <c r="G1640" s="4" t="inlineStr">
        <is>
          <t>LIM</t>
        </is>
      </c>
      <c r="H1640" s="4" t="inlineStr">
        <is>
          <t>17:50:00</t>
        </is>
      </c>
      <c r="I1640" s="4" t="inlineStr">
        <is>
          <t>19:10:00</t>
        </is>
      </c>
      <c r="J1640" s="4" t="n">
        <v>320</v>
      </c>
      <c r="K1640">
        <f>TEXT(TIMEVALUE(H1640)-TIMEVALUE(I1639)+(TIMEVALUE(H1640)&lt;TIMEVALUE(I1639)),"[h]:mm")</f>
        <v/>
      </c>
      <c r="L1640" s="4" t="inlineStr">
        <is>
          <t>01:20:00</t>
        </is>
      </c>
      <c r="O1640">
        <f>"LIM-"&amp;G1639&amp;"-LIM   LA "&amp;E1639&amp;" ("&amp;LEFT(H1639,5)&amp;"-"&amp;LEFT(I1639,5)&amp;" hrs)  /  LA "&amp;E1640&amp;" ("&amp;LEFT(H1640,5)&amp;"-"&amp;LEFT(I1640,5)&amp;" hrs)"</f>
        <v/>
      </c>
    </row>
    <row r="1641">
      <c r="J1641" s="8" t="inlineStr">
        <is>
          <t>PSV total:</t>
        </is>
      </c>
      <c r="K1641" s="9">
        <f>TEXT(TIMEVALUE(I1640)-TIMEVALUE(H1639)+(I1640&lt;H1639),"[h]:mm")</f>
        <v/>
      </c>
    </row>
    <row r="1643">
      <c r="B1643" s="3" t="inlineStr">
        <is>
          <t>Pairing ID</t>
        </is>
      </c>
      <c r="C1643" s="3" t="inlineStr">
        <is>
          <t>FECHA REAL</t>
        </is>
      </c>
      <c r="D1643" s="3" t="inlineStr">
        <is>
          <t>Day of Week</t>
        </is>
      </c>
      <c r="E1643" s="3" t="inlineStr">
        <is>
          <t>Flight No</t>
        </is>
      </c>
      <c r="F1643" s="3" t="inlineStr">
        <is>
          <t>Dep Stn</t>
        </is>
      </c>
      <c r="G1643" s="3" t="inlineStr">
        <is>
          <t>Arr Stn</t>
        </is>
      </c>
      <c r="H1643" s="3" t="inlineStr">
        <is>
          <t>STD</t>
        </is>
      </c>
      <c r="I1643" s="3" t="inlineStr">
        <is>
          <t>STA</t>
        </is>
      </c>
      <c r="J1643" s="3" t="inlineStr">
        <is>
          <t>subflota</t>
        </is>
      </c>
      <c r="K1643" s="3" t="inlineStr">
        <is>
          <t>Conexion</t>
        </is>
      </c>
      <c r="L1643" s="3" t="inlineStr">
        <is>
          <t>HBT</t>
        </is>
      </c>
    </row>
    <row r="1644">
      <c r="B1644" s="4" t="n">
        <v>1607</v>
      </c>
      <c r="C1644" s="4" t="inlineStr">
        <is>
          <t>18/09/2026</t>
        </is>
      </c>
      <c r="D1644" s="4" t="inlineStr">
        <is>
          <t>viernes</t>
        </is>
      </c>
      <c r="E1644" s="4" t="n">
        <v>2312</v>
      </c>
      <c r="F1644" s="4" t="inlineStr">
        <is>
          <t>LIM</t>
        </is>
      </c>
      <c r="G1644" s="4" t="inlineStr">
        <is>
          <t>CIX</t>
        </is>
      </c>
      <c r="H1644" s="4" t="inlineStr">
        <is>
          <t>15:35:00</t>
        </is>
      </c>
      <c r="I1644" s="4" t="inlineStr">
        <is>
          <t>17:05:00</t>
        </is>
      </c>
      <c r="J1644" s="4" t="n">
        <v>320</v>
      </c>
      <c r="L1644" s="4" t="inlineStr">
        <is>
          <t>01:30:00</t>
        </is>
      </c>
      <c r="M1644" s="5" t="n"/>
      <c r="N1644" s="6" t="n"/>
      <c r="O1644" s="5" t="n"/>
      <c r="Q1644" s="4">
        <f>B1644</f>
        <v/>
      </c>
      <c r="R1644" s="4">
        <f>C1644</f>
        <v/>
      </c>
      <c r="S1644" s="4">
        <f>D1644</f>
        <v/>
      </c>
      <c r="T1644" s="4">
        <f>E1644&amp;"/"&amp;E1645</f>
        <v/>
      </c>
      <c r="U1644" s="4">
        <f>F1644&amp;"-"&amp;G1644&amp;"-"&amp;F1644</f>
        <v/>
      </c>
      <c r="V1644" s="4">
        <f>IF($M$1644="","",$M$1644)</f>
        <v/>
      </c>
      <c r="W1644" s="4">
        <f>IF($O$1644="","",$O$1644)</f>
        <v/>
      </c>
      <c r="X1644" s="4">
        <f>J1644</f>
        <v/>
      </c>
    </row>
    <row r="1645">
      <c r="B1645" s="4" t="n">
        <v>1607</v>
      </c>
      <c r="C1645" s="4" t="inlineStr">
        <is>
          <t>18/09/2026</t>
        </is>
      </c>
      <c r="D1645" s="4" t="inlineStr">
        <is>
          <t>viernes</t>
        </is>
      </c>
      <c r="E1645" s="4" t="n">
        <v>2313</v>
      </c>
      <c r="F1645" s="4" t="inlineStr">
        <is>
          <t>CIX</t>
        </is>
      </c>
      <c r="G1645" s="4" t="inlineStr">
        <is>
          <t>LIM</t>
        </is>
      </c>
      <c r="H1645" s="4" t="inlineStr">
        <is>
          <t>17:50:00</t>
        </is>
      </c>
      <c r="I1645" s="4" t="inlineStr">
        <is>
          <t>19:10:00</t>
        </is>
      </c>
      <c r="J1645" s="4" t="n">
        <v>320</v>
      </c>
      <c r="K1645">
        <f>TEXT(TIMEVALUE(H1645)-TIMEVALUE(I1644)+(TIMEVALUE(H1645)&lt;TIMEVALUE(I1644)),"[h]:mm")</f>
        <v/>
      </c>
      <c r="L1645" s="4" t="inlineStr">
        <is>
          <t>01:20:00</t>
        </is>
      </c>
      <c r="O1645">
        <f>"LIM-"&amp;G1644&amp;"-LIM   LA "&amp;E1644&amp;" ("&amp;LEFT(H1644,5)&amp;"-"&amp;LEFT(I1644,5)&amp;" hrs)  /  LA "&amp;E1645&amp;" ("&amp;LEFT(H1645,5)&amp;"-"&amp;LEFT(I1645,5)&amp;" hrs)"</f>
        <v/>
      </c>
    </row>
    <row r="1646">
      <c r="J1646" s="8" t="inlineStr">
        <is>
          <t>PSV total:</t>
        </is>
      </c>
      <c r="K1646" s="9">
        <f>TEXT(TIMEVALUE(I1645)-TIMEVALUE(H1644)+(I1645&lt;H1644),"[h]:mm")</f>
        <v/>
      </c>
    </row>
    <row r="1648">
      <c r="B1648" s="3" t="inlineStr">
        <is>
          <t>Pairing ID</t>
        </is>
      </c>
      <c r="C1648" s="3" t="inlineStr">
        <is>
          <t>FECHA REAL</t>
        </is>
      </c>
      <c r="D1648" s="3" t="inlineStr">
        <is>
          <t>Day of Week</t>
        </is>
      </c>
      <c r="E1648" s="3" t="inlineStr">
        <is>
          <t>Flight No</t>
        </is>
      </c>
      <c r="F1648" s="3" t="inlineStr">
        <is>
          <t>Dep Stn</t>
        </is>
      </c>
      <c r="G1648" s="3" t="inlineStr">
        <is>
          <t>Arr Stn</t>
        </is>
      </c>
      <c r="H1648" s="3" t="inlineStr">
        <is>
          <t>STD</t>
        </is>
      </c>
      <c r="I1648" s="3" t="inlineStr">
        <is>
          <t>STA</t>
        </is>
      </c>
      <c r="J1648" s="3" t="inlineStr">
        <is>
          <t>subflota</t>
        </is>
      </c>
      <c r="K1648" s="3" t="inlineStr">
        <is>
          <t>Conexion</t>
        </is>
      </c>
      <c r="L1648" s="3" t="inlineStr">
        <is>
          <t>HBT</t>
        </is>
      </c>
    </row>
    <row r="1649">
      <c r="B1649" s="4" t="n">
        <v>1615</v>
      </c>
      <c r="C1649" s="4" t="inlineStr">
        <is>
          <t>18/09/2026</t>
        </is>
      </c>
      <c r="D1649" s="4" t="inlineStr">
        <is>
          <t>viernes</t>
        </is>
      </c>
      <c r="E1649" s="4" t="n">
        <v>2276</v>
      </c>
      <c r="F1649" s="4" t="inlineStr">
        <is>
          <t>LIM</t>
        </is>
      </c>
      <c r="G1649" s="4" t="inlineStr">
        <is>
          <t>CUZ</t>
        </is>
      </c>
      <c r="H1649" s="4" t="inlineStr">
        <is>
          <t>16:35:00</t>
        </is>
      </c>
      <c r="I1649" s="4" t="inlineStr">
        <is>
          <t>17:55:00</t>
        </is>
      </c>
      <c r="J1649" s="4" t="n">
        <v>320</v>
      </c>
      <c r="L1649" s="4" t="inlineStr">
        <is>
          <t>01:20:00</t>
        </is>
      </c>
      <c r="M1649" s="5" t="n"/>
      <c r="N1649" s="6" t="n"/>
      <c r="O1649" s="5" t="n"/>
      <c r="Q1649" s="4">
        <f>B1649</f>
        <v/>
      </c>
      <c r="R1649" s="4">
        <f>C1649</f>
        <v/>
      </c>
      <c r="S1649" s="4">
        <f>D1649</f>
        <v/>
      </c>
      <c r="T1649" s="4">
        <f>E1649&amp;"/"&amp;E1650</f>
        <v/>
      </c>
      <c r="U1649" s="4">
        <f>F1649&amp;"-"&amp;G1649&amp;"-"&amp;F1649</f>
        <v/>
      </c>
      <c r="V1649" s="4">
        <f>IF($M$1649="","",$M$1649)</f>
        <v/>
      </c>
      <c r="W1649" s="4">
        <f>IF($O$1649="","",$O$1649)</f>
        <v/>
      </c>
      <c r="X1649" s="4">
        <f>J1649</f>
        <v/>
      </c>
    </row>
    <row r="1650">
      <c r="B1650" s="4" t="n">
        <v>1615</v>
      </c>
      <c r="C1650" s="4" t="inlineStr">
        <is>
          <t>18/09/2026</t>
        </is>
      </c>
      <c r="D1650" s="4" t="inlineStr">
        <is>
          <t>viernes</t>
        </is>
      </c>
      <c r="E1650" s="4" t="n">
        <v>2277</v>
      </c>
      <c r="F1650" s="4" t="inlineStr">
        <is>
          <t>CUZ</t>
        </is>
      </c>
      <c r="G1650" s="4" t="inlineStr">
        <is>
          <t>LIM</t>
        </is>
      </c>
      <c r="H1650" s="4" t="inlineStr">
        <is>
          <t>18:50:00</t>
        </is>
      </c>
      <c r="I1650" s="4" t="inlineStr">
        <is>
          <t>20:25:00</t>
        </is>
      </c>
      <c r="J1650" s="4" t="n">
        <v>320</v>
      </c>
      <c r="K1650">
        <f>TEXT(TIMEVALUE(H1650)-TIMEVALUE(I1649)+(TIMEVALUE(H1650)&lt;TIMEVALUE(I1649)),"[h]:mm")</f>
        <v/>
      </c>
      <c r="L1650" s="4" t="inlineStr">
        <is>
          <t>01:35:00</t>
        </is>
      </c>
      <c r="O1650">
        <f>"LIM-"&amp;G1649&amp;"-LIM   LA "&amp;E1649&amp;" ("&amp;LEFT(H1649,5)&amp;"-"&amp;LEFT(I1649,5)&amp;" hrs)  /  LA "&amp;E1650&amp;" ("&amp;LEFT(H1650,5)&amp;"-"&amp;LEFT(I1650,5)&amp;" hrs)"</f>
        <v/>
      </c>
    </row>
    <row r="1651">
      <c r="J1651" s="8" t="inlineStr">
        <is>
          <t>PSV total:</t>
        </is>
      </c>
      <c r="K1651" s="9">
        <f>TEXT(TIMEVALUE(I1650)-TIMEVALUE(H1649)+(I1650&lt;H1649),"[h]:mm")</f>
        <v/>
      </c>
    </row>
    <row r="1653">
      <c r="B1653" s="3" t="inlineStr">
        <is>
          <t>Pairing ID</t>
        </is>
      </c>
      <c r="C1653" s="3" t="inlineStr">
        <is>
          <t>FECHA REAL</t>
        </is>
      </c>
      <c r="D1653" s="3" t="inlineStr">
        <is>
          <t>Day of Week</t>
        </is>
      </c>
      <c r="E1653" s="3" t="inlineStr">
        <is>
          <t>Flight No</t>
        </is>
      </c>
      <c r="F1653" s="3" t="inlineStr">
        <is>
          <t>Dep Stn</t>
        </is>
      </c>
      <c r="G1653" s="3" t="inlineStr">
        <is>
          <t>Arr Stn</t>
        </is>
      </c>
      <c r="H1653" s="3" t="inlineStr">
        <is>
          <t>STD</t>
        </is>
      </c>
      <c r="I1653" s="3" t="inlineStr">
        <is>
          <t>STA</t>
        </is>
      </c>
      <c r="J1653" s="3" t="inlineStr">
        <is>
          <t>subflota</t>
        </is>
      </c>
      <c r="K1653" s="3" t="inlineStr">
        <is>
          <t>Conexion</t>
        </is>
      </c>
      <c r="L1653" s="3" t="inlineStr">
        <is>
          <t>HBT</t>
        </is>
      </c>
    </row>
    <row r="1654">
      <c r="B1654" s="4" t="n">
        <v>1617</v>
      </c>
      <c r="C1654" s="4" t="inlineStr">
        <is>
          <t>18/09/2026</t>
        </is>
      </c>
      <c r="D1654" s="4" t="inlineStr">
        <is>
          <t>viernes</t>
        </is>
      </c>
      <c r="E1654" s="4" t="n">
        <v>2115</v>
      </c>
      <c r="F1654" s="4" t="inlineStr">
        <is>
          <t>LIM</t>
        </is>
      </c>
      <c r="G1654" s="4" t="inlineStr">
        <is>
          <t>AQP</t>
        </is>
      </c>
      <c r="H1654" s="4" t="inlineStr">
        <is>
          <t>17:15:00</t>
        </is>
      </c>
      <c r="I1654" s="4" t="inlineStr">
        <is>
          <t>18:45:00</t>
        </is>
      </c>
      <c r="J1654" s="4" t="n">
        <v>320</v>
      </c>
      <c r="L1654" s="4" t="inlineStr">
        <is>
          <t>01:30:00</t>
        </is>
      </c>
      <c r="M1654" s="5" t="n"/>
      <c r="N1654" s="6" t="n"/>
      <c r="O1654" s="5" t="n"/>
      <c r="Q1654" s="4">
        <f>B1654</f>
        <v/>
      </c>
      <c r="R1654" s="4">
        <f>C1654</f>
        <v/>
      </c>
      <c r="S1654" s="4">
        <f>D1654</f>
        <v/>
      </c>
      <c r="T1654" s="4">
        <f>E1654&amp;"/"&amp;E1655</f>
        <v/>
      </c>
      <c r="U1654" s="4">
        <f>F1654&amp;"-"&amp;G1654&amp;"-"&amp;F1654</f>
        <v/>
      </c>
      <c r="V1654" s="4">
        <f>IF($M$1654="","",$M$1654)</f>
        <v/>
      </c>
      <c r="W1654" s="4">
        <f>IF($O$1654="","",$O$1654)</f>
        <v/>
      </c>
      <c r="X1654" s="4">
        <f>J1654</f>
        <v/>
      </c>
    </row>
    <row r="1655">
      <c r="B1655" s="4" t="n">
        <v>1617</v>
      </c>
      <c r="C1655" s="4" t="inlineStr">
        <is>
          <t>18/09/2026</t>
        </is>
      </c>
      <c r="D1655" s="4" t="inlineStr">
        <is>
          <t>viernes</t>
        </is>
      </c>
      <c r="E1655" s="4" t="n">
        <v>2114</v>
      </c>
      <c r="F1655" s="4" t="inlineStr">
        <is>
          <t>AQP</t>
        </is>
      </c>
      <c r="G1655" s="4" t="inlineStr">
        <is>
          <t>LIM</t>
        </is>
      </c>
      <c r="H1655" s="4" t="inlineStr">
        <is>
          <t>19:20:00</t>
        </is>
      </c>
      <c r="I1655" s="4" t="inlineStr">
        <is>
          <t>20:55:00</t>
        </is>
      </c>
      <c r="J1655" s="4" t="n">
        <v>320</v>
      </c>
      <c r="K1655">
        <f>TEXT(TIMEVALUE(H1655)-TIMEVALUE(I1654)+(TIMEVALUE(H1655)&lt;TIMEVALUE(I1654)),"[h]:mm")</f>
        <v/>
      </c>
      <c r="L1655" s="4" t="inlineStr">
        <is>
          <t>01:35:00</t>
        </is>
      </c>
      <c r="O1655">
        <f>"LIM-"&amp;G1654&amp;"-LIM   LA "&amp;E1654&amp;" ("&amp;LEFT(H1654,5)&amp;"-"&amp;LEFT(I1654,5)&amp;" hrs)  /  LA "&amp;E1655&amp;" ("&amp;LEFT(H1655,5)&amp;"-"&amp;LEFT(I1655,5)&amp;" hrs)"</f>
        <v/>
      </c>
    </row>
    <row r="1656">
      <c r="J1656" s="8" t="inlineStr">
        <is>
          <t>PSV total:</t>
        </is>
      </c>
      <c r="K1656" s="9">
        <f>TEXT(TIMEVALUE(I1655)-TIMEVALUE(H1654)+(I1655&lt;H1654),"[h]:mm")</f>
        <v/>
      </c>
    </row>
    <row r="1658">
      <c r="B1658" s="3" t="inlineStr">
        <is>
          <t>Pairing ID</t>
        </is>
      </c>
      <c r="C1658" s="3" t="inlineStr">
        <is>
          <t>FECHA REAL</t>
        </is>
      </c>
      <c r="D1658" s="3" t="inlineStr">
        <is>
          <t>Day of Week</t>
        </is>
      </c>
      <c r="E1658" s="3" t="inlineStr">
        <is>
          <t>Flight No</t>
        </is>
      </c>
      <c r="F1658" s="3" t="inlineStr">
        <is>
          <t>Dep Stn</t>
        </is>
      </c>
      <c r="G1658" s="3" t="inlineStr">
        <is>
          <t>Arr Stn</t>
        </is>
      </c>
      <c r="H1658" s="3" t="inlineStr">
        <is>
          <t>STD</t>
        </is>
      </c>
      <c r="I1658" s="3" t="inlineStr">
        <is>
          <t>STA</t>
        </is>
      </c>
      <c r="J1658" s="3" t="inlineStr">
        <is>
          <t>subflota</t>
        </is>
      </c>
      <c r="K1658" s="3" t="inlineStr">
        <is>
          <t>Conexion</t>
        </is>
      </c>
      <c r="L1658" s="3" t="inlineStr">
        <is>
          <t>HBT</t>
        </is>
      </c>
    </row>
    <row r="1659">
      <c r="B1659" s="4" t="n">
        <v>1620</v>
      </c>
      <c r="C1659" s="4" t="inlineStr">
        <is>
          <t>18/09/2026</t>
        </is>
      </c>
      <c r="D1659" s="4" t="inlineStr">
        <is>
          <t>viernes</t>
        </is>
      </c>
      <c r="E1659" s="4" t="n">
        <v>2091</v>
      </c>
      <c r="F1659" s="4" t="inlineStr">
        <is>
          <t>LIM</t>
        </is>
      </c>
      <c r="G1659" s="4" t="inlineStr">
        <is>
          <t>TPP</t>
        </is>
      </c>
      <c r="H1659" s="4" t="inlineStr">
        <is>
          <t>18:30:00</t>
        </is>
      </c>
      <c r="I1659" s="4" t="inlineStr">
        <is>
          <t>19:55:00</t>
        </is>
      </c>
      <c r="J1659" s="4" t="n">
        <v>320</v>
      </c>
      <c r="L1659" s="4" t="inlineStr">
        <is>
          <t>01:25:00</t>
        </is>
      </c>
      <c r="M1659" s="5" t="n"/>
      <c r="N1659" s="6" t="n"/>
      <c r="O1659" s="5" t="n"/>
      <c r="Q1659" s="4">
        <f>B1659</f>
        <v/>
      </c>
      <c r="R1659" s="4">
        <f>C1659</f>
        <v/>
      </c>
      <c r="S1659" s="4">
        <f>D1659</f>
        <v/>
      </c>
      <c r="T1659" s="4">
        <f>E1659&amp;"/"&amp;E1660</f>
        <v/>
      </c>
      <c r="U1659" s="4">
        <f>F1659&amp;"-"&amp;G1659&amp;"-"&amp;F1659</f>
        <v/>
      </c>
      <c r="V1659" s="4">
        <f>IF($M$1659="","",$M$1659)</f>
        <v/>
      </c>
      <c r="W1659" s="4">
        <f>IF($O$1659="","",$O$1659)</f>
        <v/>
      </c>
      <c r="X1659" s="4">
        <f>J1659</f>
        <v/>
      </c>
    </row>
    <row r="1660">
      <c r="B1660" s="4" t="n">
        <v>1620</v>
      </c>
      <c r="C1660" s="4" t="inlineStr">
        <is>
          <t>18/09/2026</t>
        </is>
      </c>
      <c r="D1660" s="4" t="inlineStr">
        <is>
          <t>viernes</t>
        </is>
      </c>
      <c r="E1660" s="4" t="n">
        <v>2092</v>
      </c>
      <c r="F1660" s="4" t="inlineStr">
        <is>
          <t>TPP</t>
        </is>
      </c>
      <c r="G1660" s="4" t="inlineStr">
        <is>
          <t>LIM</t>
        </is>
      </c>
      <c r="H1660" s="4" t="inlineStr">
        <is>
          <t>20:30:00</t>
        </is>
      </c>
      <c r="I1660" s="4" t="inlineStr">
        <is>
          <t>21:55:00</t>
        </is>
      </c>
      <c r="J1660" s="4" t="n">
        <v>320</v>
      </c>
      <c r="K1660">
        <f>TEXT(TIMEVALUE(H1660)-TIMEVALUE(I1659)+(TIMEVALUE(H1660)&lt;TIMEVALUE(I1659)),"[h]:mm")</f>
        <v/>
      </c>
      <c r="L1660" s="4" t="inlineStr">
        <is>
          <t>01:25:00</t>
        </is>
      </c>
      <c r="O1660">
        <f>"LIM-"&amp;G1659&amp;"-LIM   LA "&amp;E1659&amp;" ("&amp;LEFT(H1659,5)&amp;"-"&amp;LEFT(I1659,5)&amp;" hrs)  /  LA "&amp;E1660&amp;" ("&amp;LEFT(H1660,5)&amp;"-"&amp;LEFT(I1660,5)&amp;" hrs)"</f>
        <v/>
      </c>
    </row>
    <row r="1661">
      <c r="J1661" s="8" t="inlineStr">
        <is>
          <t>PSV total:</t>
        </is>
      </c>
      <c r="K1661" s="9">
        <f>TEXT(TIMEVALUE(I1660)-TIMEVALUE(H1659)+(I1660&lt;H1659),"[h]:mm")</f>
        <v/>
      </c>
    </row>
    <row r="1663">
      <c r="B1663" s="3" t="inlineStr">
        <is>
          <t>Pairing ID</t>
        </is>
      </c>
      <c r="C1663" s="3" t="inlineStr">
        <is>
          <t>FECHA REAL</t>
        </is>
      </c>
      <c r="D1663" s="3" t="inlineStr">
        <is>
          <t>Day of Week</t>
        </is>
      </c>
      <c r="E1663" s="3" t="inlineStr">
        <is>
          <t>Flight No</t>
        </is>
      </c>
      <c r="F1663" s="3" t="inlineStr">
        <is>
          <t>Dep Stn</t>
        </is>
      </c>
      <c r="G1663" s="3" t="inlineStr">
        <is>
          <t>Arr Stn</t>
        </is>
      </c>
      <c r="H1663" s="3" t="inlineStr">
        <is>
          <t>STD</t>
        </is>
      </c>
      <c r="I1663" s="3" t="inlineStr">
        <is>
          <t>STA</t>
        </is>
      </c>
      <c r="J1663" s="3" t="inlineStr">
        <is>
          <t>subflota</t>
        </is>
      </c>
      <c r="K1663" s="3" t="inlineStr">
        <is>
          <t>Conexion</t>
        </is>
      </c>
      <c r="L1663" s="3" t="inlineStr">
        <is>
          <t>HBT</t>
        </is>
      </c>
    </row>
    <row r="1664">
      <c r="B1664" s="4" t="n">
        <v>1621</v>
      </c>
      <c r="C1664" s="4" t="inlineStr">
        <is>
          <t>18/09/2026</t>
        </is>
      </c>
      <c r="D1664" s="4" t="inlineStr">
        <is>
          <t>viernes</t>
        </is>
      </c>
      <c r="E1664" s="4" t="n">
        <v>2117</v>
      </c>
      <c r="F1664" s="4" t="inlineStr">
        <is>
          <t>LIM</t>
        </is>
      </c>
      <c r="G1664" s="4" t="inlineStr">
        <is>
          <t>AQP</t>
        </is>
      </c>
      <c r="H1664" s="4" t="inlineStr">
        <is>
          <t>18:35:00</t>
        </is>
      </c>
      <c r="I1664" s="4" t="inlineStr">
        <is>
          <t>20:05:00</t>
        </is>
      </c>
      <c r="J1664" s="4" t="n">
        <v>320</v>
      </c>
      <c r="L1664" s="4" t="inlineStr">
        <is>
          <t>01:30:00</t>
        </is>
      </c>
      <c r="M1664" s="5" t="n"/>
      <c r="N1664" s="6" t="n"/>
      <c r="O1664" s="5" t="n"/>
      <c r="Q1664" s="4">
        <f>B1664</f>
        <v/>
      </c>
      <c r="R1664" s="4">
        <f>C1664</f>
        <v/>
      </c>
      <c r="S1664" s="4">
        <f>D1664</f>
        <v/>
      </c>
      <c r="T1664" s="4">
        <f>E1664&amp;"/"&amp;E1665</f>
        <v/>
      </c>
      <c r="U1664" s="4">
        <f>F1664&amp;"-"&amp;G1664&amp;"-"&amp;F1664</f>
        <v/>
      </c>
      <c r="V1664" s="4">
        <f>IF($M$1664="","",$M$1664)</f>
        <v/>
      </c>
      <c r="W1664" s="4">
        <f>IF($O$1664="","",$O$1664)</f>
        <v/>
      </c>
      <c r="X1664" s="4">
        <f>J1664</f>
        <v/>
      </c>
    </row>
    <row r="1665">
      <c r="B1665" s="4" t="n">
        <v>1621</v>
      </c>
      <c r="C1665" s="4" t="inlineStr">
        <is>
          <t>18/09/2026</t>
        </is>
      </c>
      <c r="D1665" s="4" t="inlineStr">
        <is>
          <t>viernes</t>
        </is>
      </c>
      <c r="E1665" s="4" t="n">
        <v>2116</v>
      </c>
      <c r="F1665" s="4" t="inlineStr">
        <is>
          <t>AQP</t>
        </is>
      </c>
      <c r="G1665" s="4" t="inlineStr">
        <is>
          <t>LIM</t>
        </is>
      </c>
      <c r="H1665" s="4" t="inlineStr">
        <is>
          <t>20:40:00</t>
        </is>
      </c>
      <c r="I1665" s="4" t="inlineStr">
        <is>
          <t>22:20:00</t>
        </is>
      </c>
      <c r="J1665" s="4" t="n">
        <v>320</v>
      </c>
      <c r="K1665">
        <f>TEXT(TIMEVALUE(H1665)-TIMEVALUE(I1664)+(TIMEVALUE(H1665)&lt;TIMEVALUE(I1664)),"[h]:mm")</f>
        <v/>
      </c>
      <c r="L1665" s="4" t="inlineStr">
        <is>
          <t>01:40:00</t>
        </is>
      </c>
      <c r="O1665">
        <f>"LIM-"&amp;G1664&amp;"-LIM   LA "&amp;E1664&amp;" ("&amp;LEFT(H1664,5)&amp;"-"&amp;LEFT(I1664,5)&amp;" hrs)  /  LA "&amp;E1665&amp;" ("&amp;LEFT(H1665,5)&amp;"-"&amp;LEFT(I1665,5)&amp;" hrs)"</f>
        <v/>
      </c>
    </row>
    <row r="1666">
      <c r="J1666" s="8" t="inlineStr">
        <is>
          <t>PSV total:</t>
        </is>
      </c>
      <c r="K1666" s="9">
        <f>TEXT(TIMEVALUE(I1665)-TIMEVALUE(H1664)+(I1665&lt;H1664),"[h]:mm")</f>
        <v/>
      </c>
    </row>
    <row r="1668">
      <c r="B1668" s="3" t="inlineStr">
        <is>
          <t>Pairing ID</t>
        </is>
      </c>
      <c r="C1668" s="3" t="inlineStr">
        <is>
          <t>FECHA REAL</t>
        </is>
      </c>
      <c r="D1668" s="3" t="inlineStr">
        <is>
          <t>Day of Week</t>
        </is>
      </c>
      <c r="E1668" s="3" t="inlineStr">
        <is>
          <t>Flight No</t>
        </is>
      </c>
      <c r="F1668" s="3" t="inlineStr">
        <is>
          <t>Dep Stn</t>
        </is>
      </c>
      <c r="G1668" s="3" t="inlineStr">
        <is>
          <t>Arr Stn</t>
        </is>
      </c>
      <c r="H1668" s="3" t="inlineStr">
        <is>
          <t>STD</t>
        </is>
      </c>
      <c r="I1668" s="3" t="inlineStr">
        <is>
          <t>STA</t>
        </is>
      </c>
      <c r="J1668" s="3" t="inlineStr">
        <is>
          <t>subflota</t>
        </is>
      </c>
      <c r="K1668" s="3" t="inlineStr">
        <is>
          <t>Conexion</t>
        </is>
      </c>
      <c r="L1668" s="3" t="inlineStr">
        <is>
          <t>HBT</t>
        </is>
      </c>
    </row>
    <row r="1669">
      <c r="B1669" s="4" t="n">
        <v>1657</v>
      </c>
      <c r="C1669" s="4" t="inlineStr">
        <is>
          <t>19/09/2026</t>
        </is>
      </c>
      <c r="D1669" s="4" t="inlineStr">
        <is>
          <t>sábado</t>
        </is>
      </c>
      <c r="E1669" s="4" t="n">
        <v>2013</v>
      </c>
      <c r="F1669" s="4" t="inlineStr">
        <is>
          <t>LIM</t>
        </is>
      </c>
      <c r="G1669" s="4" t="inlineStr">
        <is>
          <t>CUZ</t>
        </is>
      </c>
      <c r="H1669" s="4" t="inlineStr">
        <is>
          <t>08:35:00</t>
        </is>
      </c>
      <c r="I1669" s="4" t="inlineStr">
        <is>
          <t>09:55:00</t>
        </is>
      </c>
      <c r="J1669" s="4" t="n">
        <v>320</v>
      </c>
      <c r="L1669" s="4" t="inlineStr">
        <is>
          <t>01:20:00</t>
        </is>
      </c>
      <c r="M1669" s="5" t="n"/>
      <c r="N1669" s="6" t="n"/>
      <c r="O1669" s="5" t="n"/>
      <c r="Q1669" s="4">
        <f>B1669</f>
        <v/>
      </c>
      <c r="R1669" s="4">
        <f>C1669</f>
        <v/>
      </c>
      <c r="S1669" s="4">
        <f>D1669</f>
        <v/>
      </c>
      <c r="T1669" s="4">
        <f>E1669&amp;"/"&amp;E1670</f>
        <v/>
      </c>
      <c r="U1669" s="4">
        <f>F1669&amp;"-"&amp;G1669&amp;"-"&amp;F1669</f>
        <v/>
      </c>
      <c r="V1669" s="4">
        <f>IF($M$1669="","",$M$1669)</f>
        <v/>
      </c>
      <c r="W1669" s="4">
        <f>IF($O$1669="","",$O$1669)</f>
        <v/>
      </c>
      <c r="X1669" s="4">
        <f>J1669</f>
        <v/>
      </c>
    </row>
    <row r="1670">
      <c r="B1670" s="4" t="n">
        <v>1657</v>
      </c>
      <c r="C1670" s="4" t="inlineStr">
        <is>
          <t>19/09/2026</t>
        </is>
      </c>
      <c r="D1670" s="4" t="inlineStr">
        <is>
          <t>sábado</t>
        </is>
      </c>
      <c r="E1670" s="4" t="n">
        <v>2014</v>
      </c>
      <c r="F1670" s="4" t="inlineStr">
        <is>
          <t>CUZ</t>
        </is>
      </c>
      <c r="G1670" s="4" t="inlineStr">
        <is>
          <t>LIM</t>
        </is>
      </c>
      <c r="H1670" s="4" t="inlineStr">
        <is>
          <t>10:40:00</t>
        </is>
      </c>
      <c r="I1670" s="4" t="inlineStr">
        <is>
          <t>12:15:00</t>
        </is>
      </c>
      <c r="J1670" s="4" t="n">
        <v>320</v>
      </c>
      <c r="K1670">
        <f>TEXT(TIMEVALUE(H1670)-TIMEVALUE(I1669)+(TIMEVALUE(H1670)&lt;TIMEVALUE(I1669)),"[h]:mm")</f>
        <v/>
      </c>
      <c r="L1670" s="4" t="inlineStr">
        <is>
          <t>01:35:00</t>
        </is>
      </c>
      <c r="O1670">
        <f>"LIM-"&amp;G1669&amp;"-LIM   LA "&amp;E1669&amp;" ("&amp;LEFT(H1669,5)&amp;"-"&amp;LEFT(I1669,5)&amp;" hrs)  /  LA "&amp;E1670&amp;" ("&amp;LEFT(H1670,5)&amp;"-"&amp;LEFT(I1670,5)&amp;" hrs)"</f>
        <v/>
      </c>
    </row>
    <row r="1671">
      <c r="J1671" s="8" t="inlineStr">
        <is>
          <t>PSV total:</t>
        </is>
      </c>
      <c r="K1671" s="9">
        <f>TEXT(TIMEVALUE(I1670)-TIMEVALUE(H1669)+(I1670&lt;H1669),"[h]:mm")</f>
        <v/>
      </c>
    </row>
    <row r="1673">
      <c r="B1673" s="3" t="inlineStr">
        <is>
          <t>Pairing ID</t>
        </is>
      </c>
      <c r="C1673" s="3" t="inlineStr">
        <is>
          <t>FECHA REAL</t>
        </is>
      </c>
      <c r="D1673" s="3" t="inlineStr">
        <is>
          <t>Day of Week</t>
        </is>
      </c>
      <c r="E1673" s="3" t="inlineStr">
        <is>
          <t>Flight No</t>
        </is>
      </c>
      <c r="F1673" s="3" t="inlineStr">
        <is>
          <t>Dep Stn</t>
        </is>
      </c>
      <c r="G1673" s="3" t="inlineStr">
        <is>
          <t>Arr Stn</t>
        </is>
      </c>
      <c r="H1673" s="3" t="inlineStr">
        <is>
          <t>STD</t>
        </is>
      </c>
      <c r="I1673" s="3" t="inlineStr">
        <is>
          <t>STA</t>
        </is>
      </c>
      <c r="J1673" s="3" t="inlineStr">
        <is>
          <t>subflota</t>
        </is>
      </c>
      <c r="K1673" s="3" t="inlineStr">
        <is>
          <t>Conexion</t>
        </is>
      </c>
      <c r="L1673" s="3" t="inlineStr">
        <is>
          <t>HBT</t>
        </is>
      </c>
    </row>
    <row r="1674">
      <c r="B1674" s="4" t="n">
        <v>1664</v>
      </c>
      <c r="C1674" s="4" t="inlineStr">
        <is>
          <t>19/09/2026</t>
        </is>
      </c>
      <c r="D1674" s="4" t="inlineStr">
        <is>
          <t>sábado</t>
        </is>
      </c>
      <c r="E1674" s="4" t="n">
        <v>2109</v>
      </c>
      <c r="F1674" s="4" t="inlineStr">
        <is>
          <t>LIM</t>
        </is>
      </c>
      <c r="G1674" s="4" t="inlineStr">
        <is>
          <t>AQP</t>
        </is>
      </c>
      <c r="H1674" s="4" t="inlineStr">
        <is>
          <t>10:35:00</t>
        </is>
      </c>
      <c r="I1674" s="4" t="inlineStr">
        <is>
          <t>12:05:00</t>
        </is>
      </c>
      <c r="J1674" s="4" t="n">
        <v>320</v>
      </c>
      <c r="L1674" s="4" t="inlineStr">
        <is>
          <t>01:30:00</t>
        </is>
      </c>
      <c r="M1674" s="5" t="n"/>
      <c r="N1674" s="6" t="n"/>
      <c r="O1674" s="5" t="n"/>
      <c r="Q1674" s="4">
        <f>B1674</f>
        <v/>
      </c>
      <c r="R1674" s="4">
        <f>C1674</f>
        <v/>
      </c>
      <c r="S1674" s="4">
        <f>D1674</f>
        <v/>
      </c>
      <c r="T1674" s="4">
        <f>E1674&amp;"/"&amp;E1675</f>
        <v/>
      </c>
      <c r="U1674" s="4">
        <f>F1674&amp;"-"&amp;G1674&amp;"-"&amp;F1674</f>
        <v/>
      </c>
      <c r="V1674" s="4">
        <f>IF($M$1674="","",$M$1674)</f>
        <v/>
      </c>
      <c r="W1674" s="4">
        <f>IF($O$1674="","",$O$1674)</f>
        <v/>
      </c>
      <c r="X1674" s="4">
        <f>J1674</f>
        <v/>
      </c>
    </row>
    <row r="1675">
      <c r="B1675" s="4" t="n">
        <v>1664</v>
      </c>
      <c r="C1675" s="4" t="inlineStr">
        <is>
          <t>19/09/2026</t>
        </is>
      </c>
      <c r="D1675" s="4" t="inlineStr">
        <is>
          <t>sábado</t>
        </is>
      </c>
      <c r="E1675" s="4" t="n">
        <v>2108</v>
      </c>
      <c r="F1675" s="4" t="inlineStr">
        <is>
          <t>AQP</t>
        </is>
      </c>
      <c r="G1675" s="4" t="inlineStr">
        <is>
          <t>LIM</t>
        </is>
      </c>
      <c r="H1675" s="4" t="inlineStr">
        <is>
          <t>12:45:00</t>
        </is>
      </c>
      <c r="I1675" s="4" t="inlineStr">
        <is>
          <t>14:20:00</t>
        </is>
      </c>
      <c r="J1675" s="4" t="n">
        <v>320</v>
      </c>
      <c r="K1675">
        <f>TEXT(TIMEVALUE(H1675)-TIMEVALUE(I1674)+(TIMEVALUE(H1675)&lt;TIMEVALUE(I1674)),"[h]:mm")</f>
        <v/>
      </c>
      <c r="L1675" s="4" t="inlineStr">
        <is>
          <t>01:35:00</t>
        </is>
      </c>
      <c r="O1675">
        <f>"LIM-"&amp;G1674&amp;"-LIM   LA "&amp;E1674&amp;" ("&amp;LEFT(H1674,5)&amp;"-"&amp;LEFT(I1674,5)&amp;" hrs)  /  LA "&amp;E1675&amp;" ("&amp;LEFT(H1675,5)&amp;"-"&amp;LEFT(I1675,5)&amp;" hrs)"</f>
        <v/>
      </c>
    </row>
    <row r="1676">
      <c r="B1676" s="4" t="n">
        <v>1689</v>
      </c>
      <c r="C1676" s="4" t="inlineStr">
        <is>
          <t>19/09/2026</t>
        </is>
      </c>
      <c r="D1676" s="4" t="inlineStr">
        <is>
          <t>sábado</t>
        </is>
      </c>
      <c r="E1676" s="4" t="n">
        <v>2297</v>
      </c>
      <c r="F1676" s="4" t="inlineStr">
        <is>
          <t>LIM</t>
        </is>
      </c>
      <c r="G1676" s="4" t="inlineStr">
        <is>
          <t>CJA</t>
        </is>
      </c>
      <c r="H1676" s="4" t="inlineStr">
        <is>
          <t>15:15:00</t>
        </is>
      </c>
      <c r="I1676" s="4" t="inlineStr">
        <is>
          <t>16:35:00</t>
        </is>
      </c>
      <c r="J1676" s="4" t="n">
        <v>319</v>
      </c>
      <c r="K1676" s="7">
        <f>TEXT(TIMEVALUE(H1676)-TIMEVALUE(I1675)+(TIMEVALUE(H1676)&lt;TIMEVALUE(I1675)),"[h]:mm")</f>
        <v/>
      </c>
      <c r="L1676" s="4" t="inlineStr">
        <is>
          <t>01:20:00</t>
        </is>
      </c>
      <c r="M1676">
        <f>IF($M$1674="","",$M$1674)</f>
        <v/>
      </c>
      <c r="O1676">
        <f>IF($O$1674="","",$O$1674)</f>
        <v/>
      </c>
      <c r="Q1676" s="4">
        <f>B1676</f>
        <v/>
      </c>
      <c r="R1676" s="4">
        <f>C1676</f>
        <v/>
      </c>
      <c r="S1676" s="4">
        <f>D1676</f>
        <v/>
      </c>
      <c r="T1676" s="4">
        <f>E1676&amp;"/"&amp;E1677</f>
        <v/>
      </c>
      <c r="U1676" s="4">
        <f>F1676&amp;"-"&amp;G1676&amp;"-"&amp;F1676</f>
        <v/>
      </c>
      <c r="V1676" s="4">
        <f>IF($M$1674="","",$M$1674)</f>
        <v/>
      </c>
      <c r="W1676" s="4">
        <f>IF($O$1674="","",$O$1674)</f>
        <v/>
      </c>
      <c r="X1676" s="4">
        <f>J1676</f>
        <v/>
      </c>
    </row>
    <row r="1677">
      <c r="B1677" s="4" t="n">
        <v>1689</v>
      </c>
      <c r="C1677" s="4" t="inlineStr">
        <is>
          <t>19/09/2026</t>
        </is>
      </c>
      <c r="D1677" s="4" t="inlineStr">
        <is>
          <t>sábado</t>
        </is>
      </c>
      <c r="E1677" s="4" t="n">
        <v>2296</v>
      </c>
      <c r="F1677" s="4" t="inlineStr">
        <is>
          <t>CJA</t>
        </is>
      </c>
      <c r="G1677" s="4" t="inlineStr">
        <is>
          <t>LIM</t>
        </is>
      </c>
      <c r="H1677" s="4" t="inlineStr">
        <is>
          <t>17:20:00</t>
        </is>
      </c>
      <c r="I1677" s="4" t="inlineStr">
        <is>
          <t>18:25:00</t>
        </is>
      </c>
      <c r="J1677" s="4" t="n">
        <v>319</v>
      </c>
      <c r="K1677">
        <f>TEXT(TIMEVALUE(H1677)-TIMEVALUE(I1676)+(TIMEVALUE(H1677)&lt;TIMEVALUE(I1676)),"[h]:mm")</f>
        <v/>
      </c>
      <c r="L1677" s="4" t="inlineStr">
        <is>
          <t>01:05:00</t>
        </is>
      </c>
      <c r="O1677">
        <f>"LIM-"&amp;G1676&amp;"-LIM   LA "&amp;E1676&amp;" ("&amp;LEFT(H1676,5)&amp;"-"&amp;LEFT(I1676,5)&amp;" hrs)  /  LA "&amp;E1677&amp;" ("&amp;LEFT(H1677,5)&amp;"-"&amp;LEFT(I1677,5)&amp;" hrs)"</f>
        <v/>
      </c>
    </row>
    <row r="1678">
      <c r="J1678" s="8" t="inlineStr">
        <is>
          <t>PSV total:</t>
        </is>
      </c>
      <c r="K1678" s="9">
        <f>TEXT(TIMEVALUE(I1677)-TIMEVALUE(H1674)+(I1677&lt;H1674),"[h]:mm")</f>
        <v/>
      </c>
    </row>
    <row r="1680">
      <c r="B1680" s="3" t="inlineStr">
        <is>
          <t>Pairing ID</t>
        </is>
      </c>
      <c r="C1680" s="3" t="inlineStr">
        <is>
          <t>FECHA REAL</t>
        </is>
      </c>
      <c r="D1680" s="3" t="inlineStr">
        <is>
          <t>Day of Week</t>
        </is>
      </c>
      <c r="E1680" s="3" t="inlineStr">
        <is>
          <t>Flight No</t>
        </is>
      </c>
      <c r="F1680" s="3" t="inlineStr">
        <is>
          <t>Dep Stn</t>
        </is>
      </c>
      <c r="G1680" s="3" t="inlineStr">
        <is>
          <t>Arr Stn</t>
        </is>
      </c>
      <c r="H1680" s="3" t="inlineStr">
        <is>
          <t>STD</t>
        </is>
      </c>
      <c r="I1680" s="3" t="inlineStr">
        <is>
          <t>STA</t>
        </is>
      </c>
      <c r="J1680" s="3" t="inlineStr">
        <is>
          <t>subflota</t>
        </is>
      </c>
      <c r="K1680" s="3" t="inlineStr">
        <is>
          <t>Conexion</t>
        </is>
      </c>
      <c r="L1680" s="3" t="inlineStr">
        <is>
          <t>HBT</t>
        </is>
      </c>
    </row>
    <row r="1681">
      <c r="B1681" s="4" t="n">
        <v>1666</v>
      </c>
      <c r="C1681" s="4" t="inlineStr">
        <is>
          <t>19/09/2026</t>
        </is>
      </c>
      <c r="D1681" s="4" t="inlineStr">
        <is>
          <t>sábado</t>
        </is>
      </c>
      <c r="E1681" s="4" t="n">
        <v>2299</v>
      </c>
      <c r="F1681" s="4" t="inlineStr">
        <is>
          <t>LIM</t>
        </is>
      </c>
      <c r="G1681" s="4" t="inlineStr">
        <is>
          <t>CJA</t>
        </is>
      </c>
      <c r="H1681" s="4" t="inlineStr">
        <is>
          <t>11:35:00</t>
        </is>
      </c>
      <c r="I1681" s="4" t="inlineStr">
        <is>
          <t>12:55:00</t>
        </is>
      </c>
      <c r="J1681" s="4" t="n">
        <v>320</v>
      </c>
      <c r="L1681" s="4" t="inlineStr">
        <is>
          <t>01:20:00</t>
        </is>
      </c>
      <c r="M1681" s="5" t="n"/>
      <c r="N1681" s="6" t="n"/>
      <c r="O1681" s="5" t="n"/>
      <c r="Q1681" s="4">
        <f>B1681</f>
        <v/>
      </c>
      <c r="R1681" s="4">
        <f>C1681</f>
        <v/>
      </c>
      <c r="S1681" s="4">
        <f>D1681</f>
        <v/>
      </c>
      <c r="T1681" s="4">
        <f>E1681&amp;"/"&amp;E1682</f>
        <v/>
      </c>
      <c r="U1681" s="4">
        <f>F1681&amp;"-"&amp;G1681&amp;"-"&amp;F1681</f>
        <v/>
      </c>
      <c r="V1681" s="4">
        <f>IF($M$1681="","",$M$1681)</f>
        <v/>
      </c>
      <c r="W1681" s="4">
        <f>IF($O$1681="","",$O$1681)</f>
        <v/>
      </c>
      <c r="X1681" s="4">
        <f>J1681</f>
        <v/>
      </c>
    </row>
    <row r="1682">
      <c r="B1682" s="4" t="n">
        <v>1666</v>
      </c>
      <c r="C1682" s="4" t="inlineStr">
        <is>
          <t>19/09/2026</t>
        </is>
      </c>
      <c r="D1682" s="4" t="inlineStr">
        <is>
          <t>sábado</t>
        </is>
      </c>
      <c r="E1682" s="4" t="n">
        <v>2298</v>
      </c>
      <c r="F1682" s="4" t="inlineStr">
        <is>
          <t>CJA</t>
        </is>
      </c>
      <c r="G1682" s="4" t="inlineStr">
        <is>
          <t>LIM</t>
        </is>
      </c>
      <c r="H1682" s="4" t="inlineStr">
        <is>
          <t>13:40:00</t>
        </is>
      </c>
      <c r="I1682" s="4" t="inlineStr">
        <is>
          <t>14:50:00</t>
        </is>
      </c>
      <c r="J1682" s="4" t="n">
        <v>320</v>
      </c>
      <c r="K1682">
        <f>TEXT(TIMEVALUE(H1682)-TIMEVALUE(I1681)+(TIMEVALUE(H1682)&lt;TIMEVALUE(I1681)),"[h]:mm")</f>
        <v/>
      </c>
      <c r="L1682" s="4" t="inlineStr">
        <is>
          <t>01:10:00</t>
        </is>
      </c>
      <c r="O1682">
        <f>"LIM-"&amp;G1681&amp;"-LIM   LA "&amp;E1681&amp;" ("&amp;LEFT(H1681,5)&amp;"-"&amp;LEFT(I1681,5)&amp;" hrs)  /  LA "&amp;E1682&amp;" ("&amp;LEFT(H1682,5)&amp;"-"&amp;LEFT(I1682,5)&amp;" hrs)"</f>
        <v/>
      </c>
    </row>
    <row r="1683">
      <c r="J1683" s="8" t="inlineStr">
        <is>
          <t>PSV total:</t>
        </is>
      </c>
      <c r="K1683" s="9">
        <f>TEXT(TIMEVALUE(I1682)-TIMEVALUE(H1681)+(I1682&lt;H1681),"[h]:mm")</f>
        <v/>
      </c>
    </row>
    <row r="1685">
      <c r="B1685" s="3" t="inlineStr">
        <is>
          <t>Pairing ID</t>
        </is>
      </c>
      <c r="C1685" s="3" t="inlineStr">
        <is>
          <t>FECHA REAL</t>
        </is>
      </c>
      <c r="D1685" s="3" t="inlineStr">
        <is>
          <t>Day of Week</t>
        </is>
      </c>
      <c r="E1685" s="3" t="inlineStr">
        <is>
          <t>Flight No</t>
        </is>
      </c>
      <c r="F1685" s="3" t="inlineStr">
        <is>
          <t>Dep Stn</t>
        </is>
      </c>
      <c r="G1685" s="3" t="inlineStr">
        <is>
          <t>Arr Stn</t>
        </is>
      </c>
      <c r="H1685" s="3" t="inlineStr">
        <is>
          <t>STD</t>
        </is>
      </c>
      <c r="I1685" s="3" t="inlineStr">
        <is>
          <t>STA</t>
        </is>
      </c>
      <c r="J1685" s="3" t="inlineStr">
        <is>
          <t>subflota</t>
        </is>
      </c>
      <c r="K1685" s="3" t="inlineStr">
        <is>
          <t>Conexion</t>
        </is>
      </c>
      <c r="L1685" s="3" t="inlineStr">
        <is>
          <t>HBT</t>
        </is>
      </c>
    </row>
    <row r="1686">
      <c r="B1686" s="4" t="n">
        <v>1671</v>
      </c>
      <c r="C1686" s="4" t="inlineStr">
        <is>
          <t>19/09/2026</t>
        </is>
      </c>
      <c r="D1686" s="4" t="inlineStr">
        <is>
          <t>sábado</t>
        </is>
      </c>
      <c r="E1686" s="4" t="n">
        <v>2023</v>
      </c>
      <c r="F1686" s="4" t="inlineStr">
        <is>
          <t>LIM</t>
        </is>
      </c>
      <c r="G1686" s="4" t="inlineStr">
        <is>
          <t>PEM</t>
        </is>
      </c>
      <c r="H1686" s="4" t="inlineStr">
        <is>
          <t>12:15:00</t>
        </is>
      </c>
      <c r="I1686" s="4" t="inlineStr">
        <is>
          <t>13:55:00</t>
        </is>
      </c>
      <c r="J1686" s="4" t="n">
        <v>320</v>
      </c>
      <c r="L1686" s="4" t="inlineStr">
        <is>
          <t>01:40:00</t>
        </is>
      </c>
      <c r="M1686" s="5" t="n"/>
      <c r="N1686" s="6" t="n"/>
      <c r="O1686" s="5" t="n"/>
      <c r="Q1686" s="4">
        <f>B1686</f>
        <v/>
      </c>
      <c r="R1686" s="4">
        <f>C1686</f>
        <v/>
      </c>
      <c r="S1686" s="4">
        <f>D1686</f>
        <v/>
      </c>
      <c r="T1686" s="4">
        <f>E1686&amp;"/"&amp;E1687</f>
        <v/>
      </c>
      <c r="U1686" s="4">
        <f>F1686&amp;"-"&amp;G1686&amp;"-"&amp;F1686</f>
        <v/>
      </c>
      <c r="V1686" s="4">
        <f>IF($M$1686="","",$M$1686)</f>
        <v/>
      </c>
      <c r="W1686" s="4">
        <f>IF($O$1686="","",$O$1686)</f>
        <v/>
      </c>
      <c r="X1686" s="4">
        <f>J1686</f>
        <v/>
      </c>
    </row>
    <row r="1687">
      <c r="B1687" s="4" t="n">
        <v>1671</v>
      </c>
      <c r="C1687" s="4" t="inlineStr">
        <is>
          <t>19/09/2026</t>
        </is>
      </c>
      <c r="D1687" s="4" t="inlineStr">
        <is>
          <t>sábado</t>
        </is>
      </c>
      <c r="E1687" s="4" t="n">
        <v>2024</v>
      </c>
      <c r="F1687" s="4" t="inlineStr">
        <is>
          <t>PEM</t>
        </is>
      </c>
      <c r="G1687" s="4" t="inlineStr">
        <is>
          <t>LIM</t>
        </is>
      </c>
      <c r="H1687" s="4" t="inlineStr">
        <is>
          <t>14:35:00</t>
        </is>
      </c>
      <c r="I1687" s="4" t="inlineStr">
        <is>
          <t>16:10:00</t>
        </is>
      </c>
      <c r="J1687" s="4" t="n">
        <v>320</v>
      </c>
      <c r="K1687">
        <f>TEXT(TIMEVALUE(H1687)-TIMEVALUE(I1686)+(TIMEVALUE(H1687)&lt;TIMEVALUE(I1686)),"[h]:mm")</f>
        <v/>
      </c>
      <c r="L1687" s="4" t="inlineStr">
        <is>
          <t>01:35:00</t>
        </is>
      </c>
      <c r="O1687">
        <f>"LIM-"&amp;G1686&amp;"-LIM   LA "&amp;E1686&amp;" ("&amp;LEFT(H1686,5)&amp;"-"&amp;LEFT(I1686,5)&amp;" hrs)  /  LA "&amp;E1687&amp;" ("&amp;LEFT(H1687,5)&amp;"-"&amp;LEFT(I1687,5)&amp;" hrs)"</f>
        <v/>
      </c>
    </row>
    <row r="1688">
      <c r="J1688" s="8" t="inlineStr">
        <is>
          <t>PSV total:</t>
        </is>
      </c>
      <c r="K1688" s="9">
        <f>TEXT(TIMEVALUE(I1687)-TIMEVALUE(H1686)+(I1687&lt;H1686),"[h]:mm")</f>
        <v/>
      </c>
    </row>
    <row r="1690">
      <c r="B1690" s="3" t="inlineStr">
        <is>
          <t>Pairing ID</t>
        </is>
      </c>
      <c r="C1690" s="3" t="inlineStr">
        <is>
          <t>FECHA REAL</t>
        </is>
      </c>
      <c r="D1690" s="3" t="inlineStr">
        <is>
          <t>Day of Week</t>
        </is>
      </c>
      <c r="E1690" s="3" t="inlineStr">
        <is>
          <t>Flight No</t>
        </is>
      </c>
      <c r="F1690" s="3" t="inlineStr">
        <is>
          <t>Dep Stn</t>
        </is>
      </c>
      <c r="G1690" s="3" t="inlineStr">
        <is>
          <t>Arr Stn</t>
        </is>
      </c>
      <c r="H1690" s="3" t="inlineStr">
        <is>
          <t>STD</t>
        </is>
      </c>
      <c r="I1690" s="3" t="inlineStr">
        <is>
          <t>STA</t>
        </is>
      </c>
      <c r="J1690" s="3" t="inlineStr">
        <is>
          <t>subflota</t>
        </is>
      </c>
      <c r="K1690" s="3" t="inlineStr">
        <is>
          <t>Conexion</t>
        </is>
      </c>
      <c r="L1690" s="3" t="inlineStr">
        <is>
          <t>HBT</t>
        </is>
      </c>
    </row>
    <row r="1691">
      <c r="B1691" s="4" t="n">
        <v>1675</v>
      </c>
      <c r="C1691" s="4" t="inlineStr">
        <is>
          <t>19/09/2026</t>
        </is>
      </c>
      <c r="D1691" s="4" t="inlineStr">
        <is>
          <t>sábado</t>
        </is>
      </c>
      <c r="E1691" s="4" t="n">
        <v>2043</v>
      </c>
      <c r="F1691" s="4" t="inlineStr">
        <is>
          <t>LIM</t>
        </is>
      </c>
      <c r="G1691" s="4" t="inlineStr">
        <is>
          <t>AQP</t>
        </is>
      </c>
      <c r="H1691" s="4" t="inlineStr">
        <is>
          <t>12:45:00</t>
        </is>
      </c>
      <c r="I1691" s="4" t="inlineStr">
        <is>
          <t>14:15:00</t>
        </is>
      </c>
      <c r="J1691" s="4" t="n">
        <v>320</v>
      </c>
      <c r="L1691" s="4" t="inlineStr">
        <is>
          <t>01:30:00</t>
        </is>
      </c>
      <c r="M1691" s="5" t="n"/>
      <c r="N1691" s="6" t="n"/>
      <c r="O1691" s="5" t="n"/>
      <c r="Q1691" s="4">
        <f>B1691</f>
        <v/>
      </c>
      <c r="R1691" s="4">
        <f>C1691</f>
        <v/>
      </c>
      <c r="S1691" s="4">
        <f>D1691</f>
        <v/>
      </c>
      <c r="T1691" s="4">
        <f>E1691&amp;"/"&amp;E1692</f>
        <v/>
      </c>
      <c r="U1691" s="4">
        <f>F1691&amp;"-"&amp;G1691&amp;"-"&amp;F1691</f>
        <v/>
      </c>
      <c r="V1691" s="4">
        <f>IF($M$1691="","",$M$1691)</f>
        <v/>
      </c>
      <c r="W1691" s="4">
        <f>IF($O$1691="","",$O$1691)</f>
        <v/>
      </c>
      <c r="X1691" s="4">
        <f>J1691</f>
        <v/>
      </c>
    </row>
    <row r="1692">
      <c r="B1692" s="4" t="n">
        <v>1675</v>
      </c>
      <c r="C1692" s="4" t="inlineStr">
        <is>
          <t>19/09/2026</t>
        </is>
      </c>
      <c r="D1692" s="4" t="inlineStr">
        <is>
          <t>sábado</t>
        </is>
      </c>
      <c r="E1692" s="4" t="n">
        <v>2044</v>
      </c>
      <c r="F1692" s="4" t="inlineStr">
        <is>
          <t>AQP</t>
        </is>
      </c>
      <c r="G1692" s="4" t="inlineStr">
        <is>
          <t>LIM</t>
        </is>
      </c>
      <c r="H1692" s="4" t="inlineStr">
        <is>
          <t>15:00:00</t>
        </is>
      </c>
      <c r="I1692" s="4" t="inlineStr">
        <is>
          <t>16:35:00</t>
        </is>
      </c>
      <c r="J1692" s="4" t="n">
        <v>320</v>
      </c>
      <c r="K1692">
        <f>TEXT(TIMEVALUE(H1692)-TIMEVALUE(I1691)+(TIMEVALUE(H1692)&lt;TIMEVALUE(I1691)),"[h]:mm")</f>
        <v/>
      </c>
      <c r="L1692" s="4" t="inlineStr">
        <is>
          <t>01:35:00</t>
        </is>
      </c>
      <c r="O1692">
        <f>"LIM-"&amp;G1691&amp;"-LIM   LA "&amp;E1691&amp;" ("&amp;LEFT(H1691,5)&amp;"-"&amp;LEFT(I1691,5)&amp;" hrs)  /  LA "&amp;E1692&amp;" ("&amp;LEFT(H1692,5)&amp;"-"&amp;LEFT(I1692,5)&amp;" hrs)"</f>
        <v/>
      </c>
    </row>
    <row r="1693">
      <c r="J1693" s="8" t="inlineStr">
        <is>
          <t>PSV total:</t>
        </is>
      </c>
      <c r="K1693" s="9">
        <f>TEXT(TIMEVALUE(I1692)-TIMEVALUE(H1691)+(I1692&lt;H1691),"[h]:mm")</f>
        <v/>
      </c>
    </row>
    <row r="1695">
      <c r="B1695" s="3" t="inlineStr">
        <is>
          <t>Pairing ID</t>
        </is>
      </c>
      <c r="C1695" s="3" t="inlineStr">
        <is>
          <t>FECHA REAL</t>
        </is>
      </c>
      <c r="D1695" s="3" t="inlineStr">
        <is>
          <t>Day of Week</t>
        </is>
      </c>
      <c r="E1695" s="3" t="inlineStr">
        <is>
          <t>Flight No</t>
        </is>
      </c>
      <c r="F1695" s="3" t="inlineStr">
        <is>
          <t>Dep Stn</t>
        </is>
      </c>
      <c r="G1695" s="3" t="inlineStr">
        <is>
          <t>Arr Stn</t>
        </is>
      </c>
      <c r="H1695" s="3" t="inlineStr">
        <is>
          <t>STD</t>
        </is>
      </c>
      <c r="I1695" s="3" t="inlineStr">
        <is>
          <t>STA</t>
        </is>
      </c>
      <c r="J1695" s="3" t="inlineStr">
        <is>
          <t>subflota</t>
        </is>
      </c>
      <c r="K1695" s="3" t="inlineStr">
        <is>
          <t>Conexion</t>
        </is>
      </c>
      <c r="L1695" s="3" t="inlineStr">
        <is>
          <t>HBT</t>
        </is>
      </c>
    </row>
    <row r="1696">
      <c r="B1696" s="4" t="n">
        <v>1678</v>
      </c>
      <c r="C1696" s="4" t="inlineStr">
        <is>
          <t>19/09/2026</t>
        </is>
      </c>
      <c r="D1696" s="4" t="inlineStr">
        <is>
          <t>sábado</t>
        </is>
      </c>
      <c r="E1696" s="4" t="n">
        <v>2028</v>
      </c>
      <c r="F1696" s="4" t="inlineStr">
        <is>
          <t>LIM</t>
        </is>
      </c>
      <c r="G1696" s="4" t="inlineStr">
        <is>
          <t>CUZ</t>
        </is>
      </c>
      <c r="H1696" s="4" t="inlineStr">
        <is>
          <t>13:05:00</t>
        </is>
      </c>
      <c r="I1696" s="4" t="inlineStr">
        <is>
          <t>14:25:00</t>
        </is>
      </c>
      <c r="J1696" s="4" t="n">
        <v>320</v>
      </c>
      <c r="L1696" s="4" t="inlineStr">
        <is>
          <t>01:20:00</t>
        </is>
      </c>
      <c r="M1696" s="5" t="n"/>
      <c r="N1696" s="6" t="n"/>
      <c r="O1696" s="5" t="n"/>
      <c r="Q1696" s="4">
        <f>B1696</f>
        <v/>
      </c>
      <c r="R1696" s="4">
        <f>C1696</f>
        <v/>
      </c>
      <c r="S1696" s="4">
        <f>D1696</f>
        <v/>
      </c>
      <c r="T1696" s="4">
        <f>E1696&amp;"/"&amp;E1697</f>
        <v/>
      </c>
      <c r="U1696" s="4">
        <f>F1696&amp;"-"&amp;G1696&amp;"-"&amp;F1696</f>
        <v/>
      </c>
      <c r="V1696" s="4">
        <f>IF($M$1696="","",$M$1696)</f>
        <v/>
      </c>
      <c r="W1696" s="4">
        <f>IF($O$1696="","",$O$1696)</f>
        <v/>
      </c>
      <c r="X1696" s="4">
        <f>J1696</f>
        <v/>
      </c>
    </row>
    <row r="1697">
      <c r="B1697" s="4" t="n">
        <v>1678</v>
      </c>
      <c r="C1697" s="4" t="inlineStr">
        <is>
          <t>19/09/2026</t>
        </is>
      </c>
      <c r="D1697" s="4" t="inlineStr">
        <is>
          <t>sábado</t>
        </is>
      </c>
      <c r="E1697" s="4" t="n">
        <v>2029</v>
      </c>
      <c r="F1697" s="4" t="inlineStr">
        <is>
          <t>CUZ</t>
        </is>
      </c>
      <c r="G1697" s="4" t="inlineStr">
        <is>
          <t>LIM</t>
        </is>
      </c>
      <c r="H1697" s="4" t="inlineStr">
        <is>
          <t>15:05:00</t>
        </is>
      </c>
      <c r="I1697" s="4" t="inlineStr">
        <is>
          <t>16:40:00</t>
        </is>
      </c>
      <c r="J1697" s="4" t="n">
        <v>320</v>
      </c>
      <c r="K1697">
        <f>TEXT(TIMEVALUE(H1697)-TIMEVALUE(I1696)+(TIMEVALUE(H1697)&lt;TIMEVALUE(I1696)),"[h]:mm")</f>
        <v/>
      </c>
      <c r="L1697" s="4" t="inlineStr">
        <is>
          <t>01:35:00</t>
        </is>
      </c>
      <c r="O1697">
        <f>"LIM-"&amp;G1696&amp;"-LIM   LA "&amp;E1696&amp;" ("&amp;LEFT(H1696,5)&amp;"-"&amp;LEFT(I1696,5)&amp;" hrs)  /  LA "&amp;E1697&amp;" ("&amp;LEFT(H1697,5)&amp;"-"&amp;LEFT(I1697,5)&amp;" hrs)"</f>
        <v/>
      </c>
    </row>
    <row r="1698">
      <c r="J1698" s="8" t="inlineStr">
        <is>
          <t>PSV total:</t>
        </is>
      </c>
      <c r="K1698" s="9">
        <f>TEXT(TIMEVALUE(I1697)-TIMEVALUE(H1696)+(I1697&lt;H1696),"[h]:mm")</f>
        <v/>
      </c>
    </row>
    <row r="1700">
      <c r="B1700" s="3" t="inlineStr">
        <is>
          <t>Pairing ID</t>
        </is>
      </c>
      <c r="C1700" s="3" t="inlineStr">
        <is>
          <t>FECHA REAL</t>
        </is>
      </c>
      <c r="D1700" s="3" t="inlineStr">
        <is>
          <t>Day of Week</t>
        </is>
      </c>
      <c r="E1700" s="3" t="inlineStr">
        <is>
          <t>Flight No</t>
        </is>
      </c>
      <c r="F1700" s="3" t="inlineStr">
        <is>
          <t>Dep Stn</t>
        </is>
      </c>
      <c r="G1700" s="3" t="inlineStr">
        <is>
          <t>Arr Stn</t>
        </is>
      </c>
      <c r="H1700" s="3" t="inlineStr">
        <is>
          <t>STD</t>
        </is>
      </c>
      <c r="I1700" s="3" t="inlineStr">
        <is>
          <t>STA</t>
        </is>
      </c>
      <c r="J1700" s="3" t="inlineStr">
        <is>
          <t>subflota</t>
        </is>
      </c>
      <c r="K1700" s="3" t="inlineStr">
        <is>
          <t>Conexion</t>
        </is>
      </c>
      <c r="L1700" s="3" t="inlineStr">
        <is>
          <t>HBT</t>
        </is>
      </c>
    </row>
    <row r="1701">
      <c r="B1701" s="4" t="n">
        <v>1682</v>
      </c>
      <c r="C1701" s="4" t="inlineStr">
        <is>
          <t>19/09/2026</t>
        </is>
      </c>
      <c r="D1701" s="4" t="inlineStr">
        <is>
          <t>sábado</t>
        </is>
      </c>
      <c r="E1701" s="4" t="n">
        <v>2087</v>
      </c>
      <c r="F1701" s="4" t="inlineStr">
        <is>
          <t>LIM</t>
        </is>
      </c>
      <c r="G1701" s="4" t="inlineStr">
        <is>
          <t>TPP</t>
        </is>
      </c>
      <c r="H1701" s="4" t="inlineStr">
        <is>
          <t>14:05:00</t>
        </is>
      </c>
      <c r="I1701" s="4" t="inlineStr">
        <is>
          <t>15:30:00</t>
        </is>
      </c>
      <c r="J1701" s="4" t="n">
        <v>319</v>
      </c>
      <c r="L1701" s="4" t="inlineStr">
        <is>
          <t>01:25:00</t>
        </is>
      </c>
      <c r="M1701" s="5" t="n"/>
      <c r="N1701" s="6" t="n"/>
      <c r="O1701" s="5" t="n"/>
      <c r="Q1701" s="4">
        <f>B1701</f>
        <v/>
      </c>
      <c r="R1701" s="4">
        <f>C1701</f>
        <v/>
      </c>
      <c r="S1701" s="4">
        <f>D1701</f>
        <v/>
      </c>
      <c r="T1701" s="4">
        <f>E1701&amp;"/"&amp;E1702</f>
        <v/>
      </c>
      <c r="U1701" s="4">
        <f>F1701&amp;"-"&amp;G1701&amp;"-"&amp;F1701</f>
        <v/>
      </c>
      <c r="V1701" s="4">
        <f>IF($M$1701="","",$M$1701)</f>
        <v/>
      </c>
      <c r="W1701" s="4">
        <f>IF($O$1701="","",$O$1701)</f>
        <v/>
      </c>
      <c r="X1701" s="4">
        <f>J1701</f>
        <v/>
      </c>
    </row>
    <row r="1702">
      <c r="B1702" s="4" t="n">
        <v>1682</v>
      </c>
      <c r="C1702" s="4" t="inlineStr">
        <is>
          <t>19/09/2026</t>
        </is>
      </c>
      <c r="D1702" s="4" t="inlineStr">
        <is>
          <t>sábado</t>
        </is>
      </c>
      <c r="E1702" s="4" t="n">
        <v>2088</v>
      </c>
      <c r="F1702" s="4" t="inlineStr">
        <is>
          <t>TPP</t>
        </is>
      </c>
      <c r="G1702" s="4" t="inlineStr">
        <is>
          <t>LIM</t>
        </is>
      </c>
      <c r="H1702" s="4" t="inlineStr">
        <is>
          <t>16:05:00</t>
        </is>
      </c>
      <c r="I1702" s="4" t="inlineStr">
        <is>
          <t>17:30:00</t>
        </is>
      </c>
      <c r="J1702" s="4" t="n">
        <v>319</v>
      </c>
      <c r="K1702">
        <f>TEXT(TIMEVALUE(H1702)-TIMEVALUE(I1701)+(TIMEVALUE(H1702)&lt;TIMEVALUE(I1701)),"[h]:mm")</f>
        <v/>
      </c>
      <c r="L1702" s="4" t="inlineStr">
        <is>
          <t>01:25:00</t>
        </is>
      </c>
      <c r="O1702">
        <f>"LIM-"&amp;G1701&amp;"-LIM   LA "&amp;E1701&amp;" ("&amp;LEFT(H1701,5)&amp;"-"&amp;LEFT(I1701,5)&amp;" hrs)  /  LA "&amp;E1702&amp;" ("&amp;LEFT(H1702,5)&amp;"-"&amp;LEFT(I1702,5)&amp;" hrs)"</f>
        <v/>
      </c>
    </row>
    <row r="1703">
      <c r="B1703" s="4" t="n">
        <v>1701</v>
      </c>
      <c r="C1703" s="4" t="inlineStr">
        <is>
          <t>19/09/2026</t>
        </is>
      </c>
      <c r="D1703" s="4" t="inlineStr">
        <is>
          <t>sábado</t>
        </is>
      </c>
      <c r="E1703" s="4" t="n">
        <v>2223</v>
      </c>
      <c r="F1703" s="4" t="inlineStr">
        <is>
          <t>LIM</t>
        </is>
      </c>
      <c r="G1703" s="4" t="inlineStr">
        <is>
          <t>CUZ</t>
        </is>
      </c>
      <c r="H1703" s="4" t="inlineStr">
        <is>
          <t>18:30:00</t>
        </is>
      </c>
      <c r="I1703" s="4" t="inlineStr">
        <is>
          <t>19:50:00</t>
        </is>
      </c>
      <c r="J1703" s="4" t="n">
        <v>320</v>
      </c>
      <c r="K1703" s="7">
        <f>TEXT(TIMEVALUE(H1703)-TIMEVALUE(I1702)+(TIMEVALUE(H1703)&lt;TIMEVALUE(I1702)),"[h]:mm")</f>
        <v/>
      </c>
      <c r="L1703" s="4" t="inlineStr">
        <is>
          <t>01:20:00</t>
        </is>
      </c>
      <c r="M1703">
        <f>IF($M$1701="","",$M$1701)</f>
        <v/>
      </c>
      <c r="O1703">
        <f>IF($O$1701="","",$O$1701)</f>
        <v/>
      </c>
      <c r="Q1703" s="4">
        <f>B1703</f>
        <v/>
      </c>
      <c r="R1703" s="4">
        <f>C1703</f>
        <v/>
      </c>
      <c r="S1703" s="4">
        <f>D1703</f>
        <v/>
      </c>
      <c r="T1703" s="4">
        <f>E1703&amp;"/"&amp;E1704</f>
        <v/>
      </c>
      <c r="U1703" s="4">
        <f>F1703&amp;"-"&amp;G1703&amp;"-"&amp;F1703</f>
        <v/>
      </c>
      <c r="V1703" s="4">
        <f>IF($M$1701="","",$M$1701)</f>
        <v/>
      </c>
      <c r="W1703" s="4">
        <f>IF($O$1701="","",$O$1701)</f>
        <v/>
      </c>
      <c r="X1703" s="4">
        <f>J1703</f>
        <v/>
      </c>
    </row>
    <row r="1704">
      <c r="B1704" s="4" t="n">
        <v>1701</v>
      </c>
      <c r="C1704" s="4" t="inlineStr">
        <is>
          <t>19/09/2026</t>
        </is>
      </c>
      <c r="D1704" s="4" t="inlineStr">
        <is>
          <t>sábado</t>
        </is>
      </c>
      <c r="E1704" s="4" t="n">
        <v>2224</v>
      </c>
      <c r="F1704" s="4" t="inlineStr">
        <is>
          <t>CUZ</t>
        </is>
      </c>
      <c r="G1704" s="4" t="inlineStr">
        <is>
          <t>LIM</t>
        </is>
      </c>
      <c r="H1704" s="4" t="inlineStr">
        <is>
          <t>21:20:00</t>
        </is>
      </c>
      <c r="I1704" s="4" t="inlineStr">
        <is>
          <t>22:55:00</t>
        </is>
      </c>
      <c r="J1704" s="4" t="n">
        <v>320</v>
      </c>
      <c r="K1704">
        <f>TEXT(TIMEVALUE(H1704)-TIMEVALUE(I1703)+(TIMEVALUE(H1704)&lt;TIMEVALUE(I1703)),"[h]:mm")</f>
        <v/>
      </c>
      <c r="L1704" s="4" t="inlineStr">
        <is>
          <t>01:35:00</t>
        </is>
      </c>
      <c r="O1704">
        <f>"LIM-"&amp;G1703&amp;"-LIM   LA "&amp;E1703&amp;" ("&amp;LEFT(H1703,5)&amp;"-"&amp;LEFT(I1703,5)&amp;" hrs)  /  LA "&amp;E1704&amp;" ("&amp;LEFT(H1704,5)&amp;"-"&amp;LEFT(I1704,5)&amp;" hrs)"</f>
        <v/>
      </c>
    </row>
    <row r="1705">
      <c r="J1705" s="8" t="inlineStr">
        <is>
          <t>PSV total:</t>
        </is>
      </c>
      <c r="K1705" s="9">
        <f>TEXT(TIMEVALUE(I1704)-TIMEVALUE(H1701)+(I1704&lt;H1701),"[h]:mm")</f>
        <v/>
      </c>
    </row>
    <row r="1707">
      <c r="B1707" s="3" t="inlineStr">
        <is>
          <t>Pairing ID</t>
        </is>
      </c>
      <c r="C1707" s="3" t="inlineStr">
        <is>
          <t>FECHA REAL</t>
        </is>
      </c>
      <c r="D1707" s="3" t="inlineStr">
        <is>
          <t>Day of Week</t>
        </is>
      </c>
      <c r="E1707" s="3" t="inlineStr">
        <is>
          <t>Flight No</t>
        </is>
      </c>
      <c r="F1707" s="3" t="inlineStr">
        <is>
          <t>Dep Stn</t>
        </is>
      </c>
      <c r="G1707" s="3" t="inlineStr">
        <is>
          <t>Arr Stn</t>
        </is>
      </c>
      <c r="H1707" s="3" t="inlineStr">
        <is>
          <t>STD</t>
        </is>
      </c>
      <c r="I1707" s="3" t="inlineStr">
        <is>
          <t>STA</t>
        </is>
      </c>
      <c r="J1707" s="3" t="inlineStr">
        <is>
          <t>subflota</t>
        </is>
      </c>
      <c r="K1707" s="3" t="inlineStr">
        <is>
          <t>Conexion</t>
        </is>
      </c>
      <c r="L1707" s="3" t="inlineStr">
        <is>
          <t>HBT</t>
        </is>
      </c>
    </row>
    <row r="1708">
      <c r="B1708" s="4" t="n">
        <v>1683</v>
      </c>
      <c r="C1708" s="4" t="inlineStr">
        <is>
          <t>19/09/2026</t>
        </is>
      </c>
      <c r="D1708" s="4" t="inlineStr">
        <is>
          <t>sábado</t>
        </is>
      </c>
      <c r="E1708" s="4" t="n">
        <v>2295</v>
      </c>
      <c r="F1708" s="4" t="inlineStr">
        <is>
          <t>LIM</t>
        </is>
      </c>
      <c r="G1708" s="4" t="inlineStr">
        <is>
          <t>CJA</t>
        </is>
      </c>
      <c r="H1708" s="4" t="inlineStr">
        <is>
          <t>14:10:00</t>
        </is>
      </c>
      <c r="I1708" s="4" t="inlineStr">
        <is>
          <t>15:30:00</t>
        </is>
      </c>
      <c r="J1708" s="4" t="n">
        <v>320</v>
      </c>
      <c r="L1708" s="4" t="inlineStr">
        <is>
          <t>01:20:00</t>
        </is>
      </c>
      <c r="M1708" s="5" t="n"/>
      <c r="N1708" s="6" t="n"/>
      <c r="O1708" s="5" t="n"/>
      <c r="Q1708" s="4">
        <f>B1708</f>
        <v/>
      </c>
      <c r="R1708" s="4">
        <f>C1708</f>
        <v/>
      </c>
      <c r="S1708" s="4">
        <f>D1708</f>
        <v/>
      </c>
      <c r="T1708" s="4">
        <f>E1708&amp;"/"&amp;E1709</f>
        <v/>
      </c>
      <c r="U1708" s="4">
        <f>F1708&amp;"-"&amp;G1708&amp;"-"&amp;F1708</f>
        <v/>
      </c>
      <c r="V1708" s="4">
        <f>IF($M$1708="","",$M$1708)</f>
        <v/>
      </c>
      <c r="W1708" s="4">
        <f>IF($O$1708="","",$O$1708)</f>
        <v/>
      </c>
      <c r="X1708" s="4">
        <f>J1708</f>
        <v/>
      </c>
    </row>
    <row r="1709">
      <c r="B1709" s="4" t="n">
        <v>1683</v>
      </c>
      <c r="C1709" s="4" t="inlineStr">
        <is>
          <t>19/09/2026</t>
        </is>
      </c>
      <c r="D1709" s="4" t="inlineStr">
        <is>
          <t>sábado</t>
        </is>
      </c>
      <c r="E1709" s="4" t="n">
        <v>2294</v>
      </c>
      <c r="F1709" s="4" t="inlineStr">
        <is>
          <t>CJA</t>
        </is>
      </c>
      <c r="G1709" s="4" t="inlineStr">
        <is>
          <t>LIM</t>
        </is>
      </c>
      <c r="H1709" s="4" t="inlineStr">
        <is>
          <t>16:10:00</t>
        </is>
      </c>
      <c r="I1709" s="4" t="inlineStr">
        <is>
          <t>17:15:00</t>
        </is>
      </c>
      <c r="J1709" s="4" t="n">
        <v>320</v>
      </c>
      <c r="K1709">
        <f>TEXT(TIMEVALUE(H1709)-TIMEVALUE(I1708)+(TIMEVALUE(H1709)&lt;TIMEVALUE(I1708)),"[h]:mm")</f>
        <v/>
      </c>
      <c r="L1709" s="4" t="inlineStr">
        <is>
          <t>01:05:00</t>
        </is>
      </c>
      <c r="O1709">
        <f>"LIM-"&amp;G1708&amp;"-LIM   LA "&amp;E1708&amp;" ("&amp;LEFT(H1708,5)&amp;"-"&amp;LEFT(I1708,5)&amp;" hrs)  /  LA "&amp;E1709&amp;" ("&amp;LEFT(H1709,5)&amp;"-"&amp;LEFT(I1709,5)&amp;" hrs)"</f>
        <v/>
      </c>
    </row>
    <row r="1710">
      <c r="B1710" s="4" t="n">
        <v>1700</v>
      </c>
      <c r="C1710" s="4" t="inlineStr">
        <is>
          <t>19/09/2026</t>
        </is>
      </c>
      <c r="D1710" s="4" t="inlineStr">
        <is>
          <t>sábado</t>
        </is>
      </c>
      <c r="E1710" s="4" t="n">
        <v>2310</v>
      </c>
      <c r="F1710" s="4" t="inlineStr">
        <is>
          <t>LIM</t>
        </is>
      </c>
      <c r="G1710" s="4" t="inlineStr">
        <is>
          <t>CIX</t>
        </is>
      </c>
      <c r="H1710" s="4" t="inlineStr">
        <is>
          <t>18:20:00</t>
        </is>
      </c>
      <c r="I1710" s="4" t="inlineStr">
        <is>
          <t>19:45:00</t>
        </is>
      </c>
      <c r="J1710" s="4" t="n">
        <v>320</v>
      </c>
      <c r="K1710" s="7">
        <f>TEXT(TIMEVALUE(H1710)-TIMEVALUE(I1709)+(TIMEVALUE(H1710)&lt;TIMEVALUE(I1709)),"[h]:mm")</f>
        <v/>
      </c>
      <c r="L1710" s="4" t="inlineStr">
        <is>
          <t>01:25:00</t>
        </is>
      </c>
      <c r="M1710">
        <f>IF($M$1708="","",$M$1708)</f>
        <v/>
      </c>
      <c r="O1710">
        <f>IF($O$1708="","",$O$1708)</f>
        <v/>
      </c>
      <c r="Q1710" s="4">
        <f>B1710</f>
        <v/>
      </c>
      <c r="R1710" s="4">
        <f>C1710</f>
        <v/>
      </c>
      <c r="S1710" s="4">
        <f>D1710</f>
        <v/>
      </c>
      <c r="T1710" s="4">
        <f>E1710&amp;"/"&amp;E1711</f>
        <v/>
      </c>
      <c r="U1710" s="4">
        <f>F1710&amp;"-"&amp;G1710&amp;"-"&amp;F1710</f>
        <v/>
      </c>
      <c r="V1710" s="4">
        <f>IF($M$1708="","",$M$1708)</f>
        <v/>
      </c>
      <c r="W1710" s="4">
        <f>IF($O$1708="","",$O$1708)</f>
        <v/>
      </c>
      <c r="X1710" s="4">
        <f>J1710</f>
        <v/>
      </c>
    </row>
    <row r="1711">
      <c r="B1711" s="4" t="n">
        <v>1700</v>
      </c>
      <c r="C1711" s="4" t="inlineStr">
        <is>
          <t>19/09/2026</t>
        </is>
      </c>
      <c r="D1711" s="4" t="inlineStr">
        <is>
          <t>sábado</t>
        </is>
      </c>
      <c r="E1711" s="4" t="n">
        <v>2311</v>
      </c>
      <c r="F1711" s="4" t="inlineStr">
        <is>
          <t>CIX</t>
        </is>
      </c>
      <c r="G1711" s="4" t="inlineStr">
        <is>
          <t>LIM</t>
        </is>
      </c>
      <c r="H1711" s="4" t="inlineStr">
        <is>
          <t>20:20:00</t>
        </is>
      </c>
      <c r="I1711" s="4" t="inlineStr">
        <is>
          <t>21:35:00</t>
        </is>
      </c>
      <c r="J1711" s="4" t="n">
        <v>320</v>
      </c>
      <c r="K1711">
        <f>TEXT(TIMEVALUE(H1711)-TIMEVALUE(I1710)+(TIMEVALUE(H1711)&lt;TIMEVALUE(I1710)),"[h]:mm")</f>
        <v/>
      </c>
      <c r="L1711" s="4" t="inlineStr">
        <is>
          <t>01:15:00</t>
        </is>
      </c>
      <c r="O1711">
        <f>"LIM-"&amp;G1710&amp;"-LIM   LA "&amp;E1710&amp;" ("&amp;LEFT(H1710,5)&amp;"-"&amp;LEFT(I1710,5)&amp;" hrs)  /  LA "&amp;E1711&amp;" ("&amp;LEFT(H1711,5)&amp;"-"&amp;LEFT(I1711,5)&amp;" hrs)"</f>
        <v/>
      </c>
    </row>
    <row r="1712">
      <c r="J1712" s="8" t="inlineStr">
        <is>
          <t>PSV total:</t>
        </is>
      </c>
      <c r="K1712" s="9">
        <f>TEXT(TIMEVALUE(I1711)-TIMEVALUE(H1708)+(I1711&lt;H1708),"[h]:mm")</f>
        <v/>
      </c>
    </row>
    <row r="1714">
      <c r="B1714" s="3" t="inlineStr">
        <is>
          <t>Pairing ID</t>
        </is>
      </c>
      <c r="C1714" s="3" t="inlineStr">
        <is>
          <t>FECHA REAL</t>
        </is>
      </c>
      <c r="D1714" s="3" t="inlineStr">
        <is>
          <t>Day of Week</t>
        </is>
      </c>
      <c r="E1714" s="3" t="inlineStr">
        <is>
          <t>Flight No</t>
        </is>
      </c>
      <c r="F1714" s="3" t="inlineStr">
        <is>
          <t>Dep Stn</t>
        </is>
      </c>
      <c r="G1714" s="3" t="inlineStr">
        <is>
          <t>Arr Stn</t>
        </is>
      </c>
      <c r="H1714" s="3" t="inlineStr">
        <is>
          <t>STD</t>
        </is>
      </c>
      <c r="I1714" s="3" t="inlineStr">
        <is>
          <t>STA</t>
        </is>
      </c>
      <c r="J1714" s="3" t="inlineStr">
        <is>
          <t>subflota</t>
        </is>
      </c>
      <c r="K1714" s="3" t="inlineStr">
        <is>
          <t>Conexion</t>
        </is>
      </c>
      <c r="L1714" s="3" t="inlineStr">
        <is>
          <t>HBT</t>
        </is>
      </c>
    </row>
    <row r="1715">
      <c r="B1715" s="4" t="n">
        <v>1686</v>
      </c>
      <c r="C1715" s="4" t="inlineStr">
        <is>
          <t>19/09/2026</t>
        </is>
      </c>
      <c r="D1715" s="4" t="inlineStr">
        <is>
          <t>sábado</t>
        </is>
      </c>
      <c r="E1715" s="4" t="n">
        <v>2264</v>
      </c>
      <c r="F1715" s="4" t="inlineStr">
        <is>
          <t>LIM</t>
        </is>
      </c>
      <c r="G1715" s="4" t="inlineStr">
        <is>
          <t>PEM</t>
        </is>
      </c>
      <c r="H1715" s="4" t="inlineStr">
        <is>
          <t>14:55:00</t>
        </is>
      </c>
      <c r="I1715" s="4" t="inlineStr">
        <is>
          <t>16:40:00</t>
        </is>
      </c>
      <c r="J1715" s="4" t="n">
        <v>319</v>
      </c>
      <c r="L1715" s="4" t="inlineStr">
        <is>
          <t>01:45:00</t>
        </is>
      </c>
      <c r="M1715" s="5" t="n"/>
      <c r="N1715" s="6" t="n"/>
      <c r="O1715" s="5" t="n"/>
      <c r="Q1715" s="4">
        <f>B1715</f>
        <v/>
      </c>
      <c r="R1715" s="4">
        <f>C1715</f>
        <v/>
      </c>
      <c r="S1715" s="4">
        <f>D1715</f>
        <v/>
      </c>
      <c r="T1715" s="4">
        <f>E1715&amp;"/"&amp;E1716</f>
        <v/>
      </c>
      <c r="U1715" s="4">
        <f>F1715&amp;"-"&amp;G1715&amp;"-"&amp;F1715</f>
        <v/>
      </c>
      <c r="V1715" s="4">
        <f>IF($M$1715="","",$M$1715)</f>
        <v/>
      </c>
      <c r="W1715" s="4">
        <f>IF($O$1715="","",$O$1715)</f>
        <v/>
      </c>
      <c r="X1715" s="4">
        <f>J1715</f>
        <v/>
      </c>
    </row>
    <row r="1716">
      <c r="B1716" s="4" t="n">
        <v>1686</v>
      </c>
      <c r="C1716" s="4" t="inlineStr">
        <is>
          <t>19/09/2026</t>
        </is>
      </c>
      <c r="D1716" s="4" t="inlineStr">
        <is>
          <t>sábado</t>
        </is>
      </c>
      <c r="E1716" s="4" t="n">
        <v>2265</v>
      </c>
      <c r="F1716" s="4" t="inlineStr">
        <is>
          <t>PEM</t>
        </is>
      </c>
      <c r="G1716" s="4" t="inlineStr">
        <is>
          <t>LIM</t>
        </is>
      </c>
      <c r="H1716" s="4" t="inlineStr">
        <is>
          <t>17:20:00</t>
        </is>
      </c>
      <c r="I1716" s="4" t="inlineStr">
        <is>
          <t>18:55:00</t>
        </is>
      </c>
      <c r="J1716" s="4" t="n">
        <v>319</v>
      </c>
      <c r="K1716">
        <f>TEXT(TIMEVALUE(H1716)-TIMEVALUE(I1715)+(TIMEVALUE(H1716)&lt;TIMEVALUE(I1715)),"[h]:mm")</f>
        <v/>
      </c>
      <c r="L1716" s="4" t="inlineStr">
        <is>
          <t>01:35:00</t>
        </is>
      </c>
      <c r="O1716">
        <f>"LIM-"&amp;G1715&amp;"-LIM   LA "&amp;E1715&amp;" ("&amp;LEFT(H1715,5)&amp;"-"&amp;LEFT(I1715,5)&amp;" hrs)  /  LA "&amp;E1716&amp;" ("&amp;LEFT(H1716,5)&amp;"-"&amp;LEFT(I1716,5)&amp;" hrs)"</f>
        <v/>
      </c>
    </row>
    <row r="1717">
      <c r="J1717" s="8" t="inlineStr">
        <is>
          <t>PSV total:</t>
        </is>
      </c>
      <c r="K1717" s="9">
        <f>TEXT(TIMEVALUE(I1716)-TIMEVALUE(H1715)+(I1716&lt;H1715),"[h]:mm")</f>
        <v/>
      </c>
    </row>
    <row r="1719">
      <c r="B1719" s="3" t="inlineStr">
        <is>
          <t>Pairing ID</t>
        </is>
      </c>
      <c r="C1719" s="3" t="inlineStr">
        <is>
          <t>FECHA REAL</t>
        </is>
      </c>
      <c r="D1719" s="3" t="inlineStr">
        <is>
          <t>Day of Week</t>
        </is>
      </c>
      <c r="E1719" s="3" t="inlineStr">
        <is>
          <t>Flight No</t>
        </is>
      </c>
      <c r="F1719" s="3" t="inlineStr">
        <is>
          <t>Dep Stn</t>
        </is>
      </c>
      <c r="G1719" s="3" t="inlineStr">
        <is>
          <t>Arr Stn</t>
        </is>
      </c>
      <c r="H1719" s="3" t="inlineStr">
        <is>
          <t>STD</t>
        </is>
      </c>
      <c r="I1719" s="3" t="inlineStr">
        <is>
          <t>STA</t>
        </is>
      </c>
      <c r="J1719" s="3" t="inlineStr">
        <is>
          <t>subflota</t>
        </is>
      </c>
      <c r="K1719" s="3" t="inlineStr">
        <is>
          <t>Conexion</t>
        </is>
      </c>
      <c r="L1719" s="3" t="inlineStr">
        <is>
          <t>HBT</t>
        </is>
      </c>
    </row>
    <row r="1720">
      <c r="B1720" s="4" t="n">
        <v>1687</v>
      </c>
      <c r="C1720" s="4" t="inlineStr">
        <is>
          <t>19/09/2026</t>
        </is>
      </c>
      <c r="D1720" s="4" t="inlineStr">
        <is>
          <t>sábado</t>
        </is>
      </c>
      <c r="E1720" s="4" t="n">
        <v>2338</v>
      </c>
      <c r="F1720" s="4" t="inlineStr">
        <is>
          <t>LIM</t>
        </is>
      </c>
      <c r="G1720" s="4" t="inlineStr">
        <is>
          <t>PIU</t>
        </is>
      </c>
      <c r="H1720" s="4" t="inlineStr">
        <is>
          <t>15:00:00</t>
        </is>
      </c>
      <c r="I1720" s="4" t="inlineStr">
        <is>
          <t>16:45:00</t>
        </is>
      </c>
      <c r="J1720" s="4" t="n">
        <v>320</v>
      </c>
      <c r="L1720" s="4" t="inlineStr">
        <is>
          <t>01:45:00</t>
        </is>
      </c>
      <c r="M1720" s="5" t="n"/>
      <c r="N1720" s="6" t="n"/>
      <c r="O1720" s="5" t="n"/>
      <c r="Q1720" s="4">
        <f>B1720</f>
        <v/>
      </c>
      <c r="R1720" s="4">
        <f>C1720</f>
        <v/>
      </c>
      <c r="S1720" s="4">
        <f>D1720</f>
        <v/>
      </c>
      <c r="T1720" s="4">
        <f>E1720&amp;"/"&amp;E1721</f>
        <v/>
      </c>
      <c r="U1720" s="4">
        <f>F1720&amp;"-"&amp;G1720&amp;"-"&amp;F1720</f>
        <v/>
      </c>
      <c r="V1720" s="4">
        <f>IF($M$1720="","",$M$1720)</f>
        <v/>
      </c>
      <c r="W1720" s="4">
        <f>IF($O$1720="","",$O$1720)</f>
        <v/>
      </c>
      <c r="X1720" s="4">
        <f>J1720</f>
        <v/>
      </c>
    </row>
    <row r="1721">
      <c r="B1721" s="4" t="n">
        <v>1687</v>
      </c>
      <c r="C1721" s="4" t="inlineStr">
        <is>
          <t>19/09/2026</t>
        </is>
      </c>
      <c r="D1721" s="4" t="inlineStr">
        <is>
          <t>sábado</t>
        </is>
      </c>
      <c r="E1721" s="4" t="n">
        <v>2339</v>
      </c>
      <c r="F1721" s="4" t="inlineStr">
        <is>
          <t>PIU</t>
        </is>
      </c>
      <c r="G1721" s="4" t="inlineStr">
        <is>
          <t>LIM</t>
        </is>
      </c>
      <c r="H1721" s="4" t="inlineStr">
        <is>
          <t>17:20:00</t>
        </is>
      </c>
      <c r="I1721" s="4" t="inlineStr">
        <is>
          <t>18:50:00</t>
        </is>
      </c>
      <c r="J1721" s="4" t="n">
        <v>320</v>
      </c>
      <c r="K1721">
        <f>TEXT(TIMEVALUE(H1721)-TIMEVALUE(I1720)+(TIMEVALUE(H1721)&lt;TIMEVALUE(I1720)),"[h]:mm")</f>
        <v/>
      </c>
      <c r="L1721" s="4" t="inlineStr">
        <is>
          <t>01:30:00</t>
        </is>
      </c>
      <c r="O1721">
        <f>"LIM-"&amp;G1720&amp;"-LIM   LA "&amp;E1720&amp;" ("&amp;LEFT(H1720,5)&amp;"-"&amp;LEFT(I1720,5)&amp;" hrs)  /  LA "&amp;E1721&amp;" ("&amp;LEFT(H1721,5)&amp;"-"&amp;LEFT(I1721,5)&amp;" hrs)"</f>
        <v/>
      </c>
    </row>
    <row r="1722">
      <c r="J1722" s="8" t="inlineStr">
        <is>
          <t>PSV total:</t>
        </is>
      </c>
      <c r="K1722" s="9">
        <f>TEXT(TIMEVALUE(I1721)-TIMEVALUE(H1720)+(I1721&lt;H1720),"[h]:mm")</f>
        <v/>
      </c>
    </row>
    <row r="1724">
      <c r="B1724" s="3" t="inlineStr">
        <is>
          <t>Pairing ID</t>
        </is>
      </c>
      <c r="C1724" s="3" t="inlineStr">
        <is>
          <t>FECHA REAL</t>
        </is>
      </c>
      <c r="D1724" s="3" t="inlineStr">
        <is>
          <t>Day of Week</t>
        </is>
      </c>
      <c r="E1724" s="3" t="inlineStr">
        <is>
          <t>Flight No</t>
        </is>
      </c>
      <c r="F1724" s="3" t="inlineStr">
        <is>
          <t>Dep Stn</t>
        </is>
      </c>
      <c r="G1724" s="3" t="inlineStr">
        <is>
          <t>Arr Stn</t>
        </is>
      </c>
      <c r="H1724" s="3" t="inlineStr">
        <is>
          <t>STD</t>
        </is>
      </c>
      <c r="I1724" s="3" t="inlineStr">
        <is>
          <t>STA</t>
        </is>
      </c>
      <c r="J1724" s="3" t="inlineStr">
        <is>
          <t>subflota</t>
        </is>
      </c>
      <c r="K1724" s="3" t="inlineStr">
        <is>
          <t>Conexion</t>
        </is>
      </c>
      <c r="L1724" s="3" t="inlineStr">
        <is>
          <t>HBT</t>
        </is>
      </c>
    </row>
    <row r="1725">
      <c r="B1725" s="4" t="n">
        <v>1688</v>
      </c>
      <c r="C1725" s="4" t="inlineStr">
        <is>
          <t>19/09/2026</t>
        </is>
      </c>
      <c r="D1725" s="4" t="inlineStr">
        <is>
          <t>sábado</t>
        </is>
      </c>
      <c r="E1725" s="4" t="n">
        <v>2338</v>
      </c>
      <c r="F1725" s="4" t="inlineStr">
        <is>
          <t>LIM</t>
        </is>
      </c>
      <c r="G1725" s="4" t="inlineStr">
        <is>
          <t>PIU</t>
        </is>
      </c>
      <c r="H1725" s="4" t="inlineStr">
        <is>
          <t>15:00:00</t>
        </is>
      </c>
      <c r="I1725" s="4" t="inlineStr">
        <is>
          <t>16:45:00</t>
        </is>
      </c>
      <c r="J1725" s="4" t="n">
        <v>320</v>
      </c>
      <c r="L1725" s="4" t="inlineStr">
        <is>
          <t>01:45:00</t>
        </is>
      </c>
      <c r="M1725" s="5" t="n"/>
      <c r="N1725" s="6" t="n"/>
      <c r="O1725" s="5" t="n"/>
      <c r="Q1725" s="4">
        <f>B1725</f>
        <v/>
      </c>
      <c r="R1725" s="4">
        <f>C1725</f>
        <v/>
      </c>
      <c r="S1725" s="4">
        <f>D1725</f>
        <v/>
      </c>
      <c r="T1725" s="4">
        <f>E1725&amp;"/"&amp;E1726</f>
        <v/>
      </c>
      <c r="U1725" s="4">
        <f>F1725&amp;"-"&amp;G1725&amp;"-"&amp;F1725</f>
        <v/>
      </c>
      <c r="V1725" s="4">
        <f>IF($M$1725="","",$M$1725)</f>
        <v/>
      </c>
      <c r="W1725" s="4">
        <f>IF($O$1725="","",$O$1725)</f>
        <v/>
      </c>
      <c r="X1725" s="4">
        <f>J1725</f>
        <v/>
      </c>
    </row>
    <row r="1726">
      <c r="B1726" s="4" t="n">
        <v>1688</v>
      </c>
      <c r="C1726" s="4" t="inlineStr">
        <is>
          <t>19/09/2026</t>
        </is>
      </c>
      <c r="D1726" s="4" t="inlineStr">
        <is>
          <t>sábado</t>
        </is>
      </c>
      <c r="E1726" s="4" t="n">
        <v>2339</v>
      </c>
      <c r="F1726" s="4" t="inlineStr">
        <is>
          <t>PIU</t>
        </is>
      </c>
      <c r="G1726" s="4" t="inlineStr">
        <is>
          <t>LIM</t>
        </is>
      </c>
      <c r="H1726" s="4" t="inlineStr">
        <is>
          <t>17:20:00</t>
        </is>
      </c>
      <c r="I1726" s="4" t="inlineStr">
        <is>
          <t>18:50:00</t>
        </is>
      </c>
      <c r="J1726" s="4" t="n">
        <v>320</v>
      </c>
      <c r="K1726">
        <f>TEXT(TIMEVALUE(H1726)-TIMEVALUE(I1725)+(TIMEVALUE(H1726)&lt;TIMEVALUE(I1725)),"[h]:mm")</f>
        <v/>
      </c>
      <c r="L1726" s="4" t="inlineStr">
        <is>
          <t>01:30:00</t>
        </is>
      </c>
      <c r="O1726">
        <f>"LIM-"&amp;G1725&amp;"-LIM   LA "&amp;E1725&amp;" ("&amp;LEFT(H1725,5)&amp;"-"&amp;LEFT(I1725,5)&amp;" hrs)  /  LA "&amp;E1726&amp;" ("&amp;LEFT(H1726,5)&amp;"-"&amp;LEFT(I1726,5)&amp;" hrs)"</f>
        <v/>
      </c>
    </row>
    <row r="1727">
      <c r="J1727" s="8" t="inlineStr">
        <is>
          <t>PSV total:</t>
        </is>
      </c>
      <c r="K1727" s="9">
        <f>TEXT(TIMEVALUE(I1726)-TIMEVALUE(H1725)+(I1726&lt;H1725),"[h]:mm")</f>
        <v/>
      </c>
    </row>
    <row r="1729">
      <c r="B1729" s="3" t="inlineStr">
        <is>
          <t>Pairing ID</t>
        </is>
      </c>
      <c r="C1729" s="3" t="inlineStr">
        <is>
          <t>FECHA REAL</t>
        </is>
      </c>
      <c r="D1729" s="3" t="inlineStr">
        <is>
          <t>Day of Week</t>
        </is>
      </c>
      <c r="E1729" s="3" t="inlineStr">
        <is>
          <t>Flight No</t>
        </is>
      </c>
      <c r="F1729" s="3" t="inlineStr">
        <is>
          <t>Dep Stn</t>
        </is>
      </c>
      <c r="G1729" s="3" t="inlineStr">
        <is>
          <t>Arr Stn</t>
        </is>
      </c>
      <c r="H1729" s="3" t="inlineStr">
        <is>
          <t>STD</t>
        </is>
      </c>
      <c r="I1729" s="3" t="inlineStr">
        <is>
          <t>STA</t>
        </is>
      </c>
      <c r="J1729" s="3" t="inlineStr">
        <is>
          <t>subflota</t>
        </is>
      </c>
      <c r="K1729" s="3" t="inlineStr">
        <is>
          <t>Conexion</t>
        </is>
      </c>
      <c r="L1729" s="3" t="inlineStr">
        <is>
          <t>HBT</t>
        </is>
      </c>
    </row>
    <row r="1730">
      <c r="B1730" s="4" t="n">
        <v>1690</v>
      </c>
      <c r="C1730" s="4" t="inlineStr">
        <is>
          <t>19/09/2026</t>
        </is>
      </c>
      <c r="D1730" s="4" t="inlineStr">
        <is>
          <t>sábado</t>
        </is>
      </c>
      <c r="E1730" s="4" t="n">
        <v>2360</v>
      </c>
      <c r="F1730" s="4" t="inlineStr">
        <is>
          <t>LIM</t>
        </is>
      </c>
      <c r="G1730" s="4" t="inlineStr">
        <is>
          <t>PCL</t>
        </is>
      </c>
      <c r="H1730" s="4" t="inlineStr">
        <is>
          <t>15:25:00</t>
        </is>
      </c>
      <c r="I1730" s="4" t="inlineStr">
        <is>
          <t>16:40:00</t>
        </is>
      </c>
      <c r="J1730" s="4" t="n">
        <v>320</v>
      </c>
      <c r="L1730" s="4" t="inlineStr">
        <is>
          <t>01:15:00</t>
        </is>
      </c>
      <c r="M1730" s="5" t="n"/>
      <c r="N1730" s="6" t="n"/>
      <c r="O1730" s="5" t="n"/>
      <c r="Q1730" s="4">
        <f>B1730</f>
        <v/>
      </c>
      <c r="R1730" s="4">
        <f>C1730</f>
        <v/>
      </c>
      <c r="S1730" s="4">
        <f>D1730</f>
        <v/>
      </c>
      <c r="T1730" s="4">
        <f>E1730&amp;"/"&amp;E1731</f>
        <v/>
      </c>
      <c r="U1730" s="4">
        <f>F1730&amp;"-"&amp;G1730&amp;"-"&amp;F1730</f>
        <v/>
      </c>
      <c r="V1730" s="4">
        <f>IF($M$1730="","",$M$1730)</f>
        <v/>
      </c>
      <c r="W1730" s="4">
        <f>IF($O$1730="","",$O$1730)</f>
        <v/>
      </c>
      <c r="X1730" s="4">
        <f>J1730</f>
        <v/>
      </c>
    </row>
    <row r="1731">
      <c r="B1731" s="4" t="n">
        <v>1690</v>
      </c>
      <c r="C1731" s="4" t="inlineStr">
        <is>
          <t>19/09/2026</t>
        </is>
      </c>
      <c r="D1731" s="4" t="inlineStr">
        <is>
          <t>sábado</t>
        </is>
      </c>
      <c r="E1731" s="4" t="n">
        <v>2361</v>
      </c>
      <c r="F1731" s="4" t="inlineStr">
        <is>
          <t>PCL</t>
        </is>
      </c>
      <c r="G1731" s="4" t="inlineStr">
        <is>
          <t>LIM</t>
        </is>
      </c>
      <c r="H1731" s="4" t="inlineStr">
        <is>
          <t>17:20:00</t>
        </is>
      </c>
      <c r="I1731" s="4" t="inlineStr">
        <is>
          <t>18:35:00</t>
        </is>
      </c>
      <c r="J1731" s="4" t="n">
        <v>320</v>
      </c>
      <c r="K1731">
        <f>TEXT(TIMEVALUE(H1731)-TIMEVALUE(I1730)+(TIMEVALUE(H1731)&lt;TIMEVALUE(I1730)),"[h]:mm")</f>
        <v/>
      </c>
      <c r="L1731" s="4" t="inlineStr">
        <is>
          <t>01:15:00</t>
        </is>
      </c>
      <c r="O1731">
        <f>"LIM-"&amp;G1730&amp;"-LIM   LA "&amp;E1730&amp;" ("&amp;LEFT(H1730,5)&amp;"-"&amp;LEFT(I1730,5)&amp;" hrs)  /  LA "&amp;E1731&amp;" ("&amp;LEFT(H1731,5)&amp;"-"&amp;LEFT(I1731,5)&amp;" hrs)"</f>
        <v/>
      </c>
    </row>
    <row r="1732">
      <c r="J1732" s="8" t="inlineStr">
        <is>
          <t>PSV total:</t>
        </is>
      </c>
      <c r="K1732" s="9">
        <f>TEXT(TIMEVALUE(I1731)-TIMEVALUE(H1730)+(I1731&lt;H1730),"[h]:mm")</f>
        <v/>
      </c>
    </row>
    <row r="1734">
      <c r="B1734" s="3" t="inlineStr">
        <is>
          <t>Pairing ID</t>
        </is>
      </c>
      <c r="C1734" s="3" t="inlineStr">
        <is>
          <t>FECHA REAL</t>
        </is>
      </c>
      <c r="D1734" s="3" t="inlineStr">
        <is>
          <t>Day of Week</t>
        </is>
      </c>
      <c r="E1734" s="3" t="inlineStr">
        <is>
          <t>Flight No</t>
        </is>
      </c>
      <c r="F1734" s="3" t="inlineStr">
        <is>
          <t>Dep Stn</t>
        </is>
      </c>
      <c r="G1734" s="3" t="inlineStr">
        <is>
          <t>Arr Stn</t>
        </is>
      </c>
      <c r="H1734" s="3" t="inlineStr">
        <is>
          <t>STD</t>
        </is>
      </c>
      <c r="I1734" s="3" t="inlineStr">
        <is>
          <t>STA</t>
        </is>
      </c>
      <c r="J1734" s="3" t="inlineStr">
        <is>
          <t>subflota</t>
        </is>
      </c>
      <c r="K1734" s="3" t="inlineStr">
        <is>
          <t>Conexion</t>
        </is>
      </c>
      <c r="L1734" s="3" t="inlineStr">
        <is>
          <t>HBT</t>
        </is>
      </c>
    </row>
    <row r="1735">
      <c r="B1735" s="4" t="n">
        <v>1691</v>
      </c>
      <c r="C1735" s="4" t="inlineStr">
        <is>
          <t>19/09/2026</t>
        </is>
      </c>
      <c r="D1735" s="4" t="inlineStr">
        <is>
          <t>sábado</t>
        </is>
      </c>
      <c r="E1735" s="4" t="n">
        <v>2360</v>
      </c>
      <c r="F1735" s="4" t="inlineStr">
        <is>
          <t>LIM</t>
        </is>
      </c>
      <c r="G1735" s="4" t="inlineStr">
        <is>
          <t>PCL</t>
        </is>
      </c>
      <c r="H1735" s="4" t="inlineStr">
        <is>
          <t>15:25:00</t>
        </is>
      </c>
      <c r="I1735" s="4" t="inlineStr">
        <is>
          <t>16:40:00</t>
        </is>
      </c>
      <c r="J1735" s="4" t="n">
        <v>320</v>
      </c>
      <c r="L1735" s="4" t="inlineStr">
        <is>
          <t>01:15:00</t>
        </is>
      </c>
      <c r="M1735" s="5" t="n"/>
      <c r="N1735" s="6" t="n"/>
      <c r="O1735" s="5" t="n"/>
      <c r="Q1735" s="4">
        <f>B1735</f>
        <v/>
      </c>
      <c r="R1735" s="4">
        <f>C1735</f>
        <v/>
      </c>
      <c r="S1735" s="4">
        <f>D1735</f>
        <v/>
      </c>
      <c r="T1735" s="4">
        <f>E1735&amp;"/"&amp;E1736</f>
        <v/>
      </c>
      <c r="U1735" s="4">
        <f>F1735&amp;"-"&amp;G1735&amp;"-"&amp;F1735</f>
        <v/>
      </c>
      <c r="V1735" s="4">
        <f>IF($M$1735="","",$M$1735)</f>
        <v/>
      </c>
      <c r="W1735" s="4">
        <f>IF($O$1735="","",$O$1735)</f>
        <v/>
      </c>
      <c r="X1735" s="4">
        <f>J1735</f>
        <v/>
      </c>
    </row>
    <row r="1736">
      <c r="B1736" s="4" t="n">
        <v>1691</v>
      </c>
      <c r="C1736" s="4" t="inlineStr">
        <is>
          <t>19/09/2026</t>
        </is>
      </c>
      <c r="D1736" s="4" t="inlineStr">
        <is>
          <t>sábado</t>
        </is>
      </c>
      <c r="E1736" s="4" t="n">
        <v>2361</v>
      </c>
      <c r="F1736" s="4" t="inlineStr">
        <is>
          <t>PCL</t>
        </is>
      </c>
      <c r="G1736" s="4" t="inlineStr">
        <is>
          <t>LIM</t>
        </is>
      </c>
      <c r="H1736" s="4" t="inlineStr">
        <is>
          <t>17:20:00</t>
        </is>
      </c>
      <c r="I1736" s="4" t="inlineStr">
        <is>
          <t>18:35:00</t>
        </is>
      </c>
      <c r="J1736" s="4" t="n">
        <v>320</v>
      </c>
      <c r="K1736">
        <f>TEXT(TIMEVALUE(H1736)-TIMEVALUE(I1735)+(TIMEVALUE(H1736)&lt;TIMEVALUE(I1735)),"[h]:mm")</f>
        <v/>
      </c>
      <c r="L1736" s="4" t="inlineStr">
        <is>
          <t>01:15:00</t>
        </is>
      </c>
      <c r="O1736">
        <f>"LIM-"&amp;G1735&amp;"-LIM   LA "&amp;E1735&amp;" ("&amp;LEFT(H1735,5)&amp;"-"&amp;LEFT(I1735,5)&amp;" hrs)  /  LA "&amp;E1736&amp;" ("&amp;LEFT(H1736,5)&amp;"-"&amp;LEFT(I1736,5)&amp;" hrs)"</f>
        <v/>
      </c>
    </row>
    <row r="1737">
      <c r="J1737" s="8" t="inlineStr">
        <is>
          <t>PSV total:</t>
        </is>
      </c>
      <c r="K1737" s="9">
        <f>TEXT(TIMEVALUE(I1736)-TIMEVALUE(H1735)+(I1736&lt;H1735),"[h]:mm")</f>
        <v/>
      </c>
    </row>
    <row r="1739">
      <c r="B1739" s="3" t="inlineStr">
        <is>
          <t>Pairing ID</t>
        </is>
      </c>
      <c r="C1739" s="3" t="inlineStr">
        <is>
          <t>FECHA REAL</t>
        </is>
      </c>
      <c r="D1739" s="3" t="inlineStr">
        <is>
          <t>Day of Week</t>
        </is>
      </c>
      <c r="E1739" s="3" t="inlineStr">
        <is>
          <t>Flight No</t>
        </is>
      </c>
      <c r="F1739" s="3" t="inlineStr">
        <is>
          <t>Dep Stn</t>
        </is>
      </c>
      <c r="G1739" s="3" t="inlineStr">
        <is>
          <t>Arr Stn</t>
        </is>
      </c>
      <c r="H1739" s="3" t="inlineStr">
        <is>
          <t>STD</t>
        </is>
      </c>
      <c r="I1739" s="3" t="inlineStr">
        <is>
          <t>STA</t>
        </is>
      </c>
      <c r="J1739" s="3" t="inlineStr">
        <is>
          <t>subflota</t>
        </is>
      </c>
      <c r="K1739" s="3" t="inlineStr">
        <is>
          <t>Conexion</t>
        </is>
      </c>
      <c r="L1739" s="3" t="inlineStr">
        <is>
          <t>HBT</t>
        </is>
      </c>
    </row>
    <row r="1740">
      <c r="B1740" s="4" t="n">
        <v>1692</v>
      </c>
      <c r="C1740" s="4" t="inlineStr">
        <is>
          <t>19/09/2026</t>
        </is>
      </c>
      <c r="D1740" s="4" t="inlineStr">
        <is>
          <t>sábado</t>
        </is>
      </c>
      <c r="E1740" s="4" t="n">
        <v>2312</v>
      </c>
      <c r="F1740" s="4" t="inlineStr">
        <is>
          <t>LIM</t>
        </is>
      </c>
      <c r="G1740" s="4" t="inlineStr">
        <is>
          <t>CIX</t>
        </is>
      </c>
      <c r="H1740" s="4" t="inlineStr">
        <is>
          <t>15:35:00</t>
        </is>
      </c>
      <c r="I1740" s="4" t="inlineStr">
        <is>
          <t>17:05:00</t>
        </is>
      </c>
      <c r="J1740" s="4" t="n">
        <v>320</v>
      </c>
      <c r="L1740" s="4" t="inlineStr">
        <is>
          <t>01:30:00</t>
        </is>
      </c>
      <c r="M1740" s="5" t="n"/>
      <c r="N1740" s="6" t="n"/>
      <c r="O1740" s="5" t="n"/>
      <c r="Q1740" s="4">
        <f>B1740</f>
        <v/>
      </c>
      <c r="R1740" s="4">
        <f>C1740</f>
        <v/>
      </c>
      <c r="S1740" s="4">
        <f>D1740</f>
        <v/>
      </c>
      <c r="T1740" s="4">
        <f>E1740&amp;"/"&amp;E1741</f>
        <v/>
      </c>
      <c r="U1740" s="4">
        <f>F1740&amp;"-"&amp;G1740&amp;"-"&amp;F1740</f>
        <v/>
      </c>
      <c r="V1740" s="4">
        <f>IF($M$1740="","",$M$1740)</f>
        <v/>
      </c>
      <c r="W1740" s="4">
        <f>IF($O$1740="","",$O$1740)</f>
        <v/>
      </c>
      <c r="X1740" s="4">
        <f>J1740</f>
        <v/>
      </c>
    </row>
    <row r="1741">
      <c r="B1741" s="4" t="n">
        <v>1692</v>
      </c>
      <c r="C1741" s="4" t="inlineStr">
        <is>
          <t>19/09/2026</t>
        </is>
      </c>
      <c r="D1741" s="4" t="inlineStr">
        <is>
          <t>sábado</t>
        </is>
      </c>
      <c r="E1741" s="4" t="n">
        <v>2313</v>
      </c>
      <c r="F1741" s="4" t="inlineStr">
        <is>
          <t>CIX</t>
        </is>
      </c>
      <c r="G1741" s="4" t="inlineStr">
        <is>
          <t>LIM</t>
        </is>
      </c>
      <c r="H1741" s="4" t="inlineStr">
        <is>
          <t>17:50:00</t>
        </is>
      </c>
      <c r="I1741" s="4" t="inlineStr">
        <is>
          <t>19:10:00</t>
        </is>
      </c>
      <c r="J1741" s="4" t="n">
        <v>320</v>
      </c>
      <c r="K1741">
        <f>TEXT(TIMEVALUE(H1741)-TIMEVALUE(I1740)+(TIMEVALUE(H1741)&lt;TIMEVALUE(I1740)),"[h]:mm")</f>
        <v/>
      </c>
      <c r="L1741" s="4" t="inlineStr">
        <is>
          <t>01:20:00</t>
        </is>
      </c>
      <c r="O1741">
        <f>"LIM-"&amp;G1740&amp;"-LIM   LA "&amp;E1740&amp;" ("&amp;LEFT(H1740,5)&amp;"-"&amp;LEFT(I1740,5)&amp;" hrs)  /  LA "&amp;E1741&amp;" ("&amp;LEFT(H1741,5)&amp;"-"&amp;LEFT(I1741,5)&amp;" hrs)"</f>
        <v/>
      </c>
    </row>
    <row r="1742">
      <c r="J1742" s="8" t="inlineStr">
        <is>
          <t>PSV total:</t>
        </is>
      </c>
      <c r="K1742" s="9">
        <f>TEXT(TIMEVALUE(I1741)-TIMEVALUE(H1740)+(I1741&lt;H1740),"[h]:mm")</f>
        <v/>
      </c>
    </row>
    <row r="1744">
      <c r="B1744" s="3" t="inlineStr">
        <is>
          <t>Pairing ID</t>
        </is>
      </c>
      <c r="C1744" s="3" t="inlineStr">
        <is>
          <t>FECHA REAL</t>
        </is>
      </c>
      <c r="D1744" s="3" t="inlineStr">
        <is>
          <t>Day of Week</t>
        </is>
      </c>
      <c r="E1744" s="3" t="inlineStr">
        <is>
          <t>Flight No</t>
        </is>
      </c>
      <c r="F1744" s="3" t="inlineStr">
        <is>
          <t>Dep Stn</t>
        </is>
      </c>
      <c r="G1744" s="3" t="inlineStr">
        <is>
          <t>Arr Stn</t>
        </is>
      </c>
      <c r="H1744" s="3" t="inlineStr">
        <is>
          <t>STD</t>
        </is>
      </c>
      <c r="I1744" s="3" t="inlineStr">
        <is>
          <t>STA</t>
        </is>
      </c>
      <c r="J1744" s="3" t="inlineStr">
        <is>
          <t>subflota</t>
        </is>
      </c>
      <c r="K1744" s="3" t="inlineStr">
        <is>
          <t>Conexion</t>
        </is>
      </c>
      <c r="L1744" s="3" t="inlineStr">
        <is>
          <t>HBT</t>
        </is>
      </c>
    </row>
    <row r="1745">
      <c r="B1745" s="4" t="n">
        <v>1693</v>
      </c>
      <c r="C1745" s="4" t="inlineStr">
        <is>
          <t>19/09/2026</t>
        </is>
      </c>
      <c r="D1745" s="4" t="inlineStr">
        <is>
          <t>sábado</t>
        </is>
      </c>
      <c r="E1745" s="4" t="n">
        <v>2301</v>
      </c>
      <c r="F1745" s="4" t="inlineStr">
        <is>
          <t>LIM</t>
        </is>
      </c>
      <c r="G1745" s="4" t="inlineStr">
        <is>
          <t>TPP</t>
        </is>
      </c>
      <c r="H1745" s="4" t="inlineStr">
        <is>
          <t>15:40:00</t>
        </is>
      </c>
      <c r="I1745" s="4" t="inlineStr">
        <is>
          <t>17:05:00</t>
        </is>
      </c>
      <c r="J1745" s="4" t="n">
        <v>320</v>
      </c>
      <c r="L1745" s="4" t="inlineStr">
        <is>
          <t>01:25:00</t>
        </is>
      </c>
      <c r="M1745" s="5" t="n"/>
      <c r="N1745" s="6" t="n"/>
      <c r="O1745" s="5" t="n"/>
      <c r="Q1745" s="4">
        <f>B1745</f>
        <v/>
      </c>
      <c r="R1745" s="4">
        <f>C1745</f>
        <v/>
      </c>
      <c r="S1745" s="4">
        <f>D1745</f>
        <v/>
      </c>
      <c r="T1745" s="4">
        <f>E1745&amp;"/"&amp;E1746</f>
        <v/>
      </c>
      <c r="U1745" s="4">
        <f>F1745&amp;"-"&amp;G1745&amp;"-"&amp;F1745</f>
        <v/>
      </c>
      <c r="V1745" s="4">
        <f>IF($M$1745="","",$M$1745)</f>
        <v/>
      </c>
      <c r="W1745" s="4">
        <f>IF($O$1745="","",$O$1745)</f>
        <v/>
      </c>
      <c r="X1745" s="4">
        <f>J1745</f>
        <v/>
      </c>
    </row>
    <row r="1746">
      <c r="B1746" s="4" t="n">
        <v>1693</v>
      </c>
      <c r="C1746" s="4" t="inlineStr">
        <is>
          <t>19/09/2026</t>
        </is>
      </c>
      <c r="D1746" s="4" t="inlineStr">
        <is>
          <t>sábado</t>
        </is>
      </c>
      <c r="E1746" s="4" t="n">
        <v>2300</v>
      </c>
      <c r="F1746" s="4" t="inlineStr">
        <is>
          <t>TPP</t>
        </is>
      </c>
      <c r="G1746" s="4" t="inlineStr">
        <is>
          <t>LIM</t>
        </is>
      </c>
      <c r="H1746" s="4" t="inlineStr">
        <is>
          <t>17:50:00</t>
        </is>
      </c>
      <c r="I1746" s="4" t="inlineStr">
        <is>
          <t>19:20:00</t>
        </is>
      </c>
      <c r="J1746" s="4" t="n">
        <v>320</v>
      </c>
      <c r="K1746">
        <f>TEXT(TIMEVALUE(H1746)-TIMEVALUE(I1745)+(TIMEVALUE(H1746)&lt;TIMEVALUE(I1745)),"[h]:mm")</f>
        <v/>
      </c>
      <c r="L1746" s="4" t="inlineStr">
        <is>
          <t>01:30:00</t>
        </is>
      </c>
      <c r="O1746">
        <f>"LIM-"&amp;G1745&amp;"-LIM   LA "&amp;E1745&amp;" ("&amp;LEFT(H1745,5)&amp;"-"&amp;LEFT(I1745,5)&amp;" hrs)  /  LA "&amp;E1746&amp;" ("&amp;LEFT(H1746,5)&amp;"-"&amp;LEFT(I1746,5)&amp;" hrs)"</f>
        <v/>
      </c>
    </row>
    <row r="1747">
      <c r="J1747" s="8" t="inlineStr">
        <is>
          <t>PSV total:</t>
        </is>
      </c>
      <c r="K1747" s="9">
        <f>TEXT(TIMEVALUE(I1746)-TIMEVALUE(H1745)+(I1746&lt;H1745),"[h]:mm")</f>
        <v/>
      </c>
    </row>
    <row r="1749">
      <c r="B1749" s="3" t="inlineStr">
        <is>
          <t>Pairing ID</t>
        </is>
      </c>
      <c r="C1749" s="3" t="inlineStr">
        <is>
          <t>FECHA REAL</t>
        </is>
      </c>
      <c r="D1749" s="3" t="inlineStr">
        <is>
          <t>Day of Week</t>
        </is>
      </c>
      <c r="E1749" s="3" t="inlineStr">
        <is>
          <t>Flight No</t>
        </is>
      </c>
      <c r="F1749" s="3" t="inlineStr">
        <is>
          <t>Dep Stn</t>
        </is>
      </c>
      <c r="G1749" s="3" t="inlineStr">
        <is>
          <t>Arr Stn</t>
        </is>
      </c>
      <c r="H1749" s="3" t="inlineStr">
        <is>
          <t>STD</t>
        </is>
      </c>
      <c r="I1749" s="3" t="inlineStr">
        <is>
          <t>STA</t>
        </is>
      </c>
      <c r="J1749" s="3" t="inlineStr">
        <is>
          <t>subflota</t>
        </is>
      </c>
      <c r="K1749" s="3" t="inlineStr">
        <is>
          <t>Conexion</t>
        </is>
      </c>
      <c r="L1749" s="3" t="inlineStr">
        <is>
          <t>HBT</t>
        </is>
      </c>
    </row>
    <row r="1750">
      <c r="B1750" s="4" t="n">
        <v>1702</v>
      </c>
      <c r="C1750" s="4" t="inlineStr">
        <is>
          <t>19/09/2026</t>
        </is>
      </c>
      <c r="D1750" s="4" t="inlineStr">
        <is>
          <t>sábado</t>
        </is>
      </c>
      <c r="E1750" s="4" t="n">
        <v>2117</v>
      </c>
      <c r="F1750" s="4" t="inlineStr">
        <is>
          <t>LIM</t>
        </is>
      </c>
      <c r="G1750" s="4" t="inlineStr">
        <is>
          <t>AQP</t>
        </is>
      </c>
      <c r="H1750" s="4" t="inlineStr">
        <is>
          <t>18:35:00</t>
        </is>
      </c>
      <c r="I1750" s="4" t="inlineStr">
        <is>
          <t>20:05:00</t>
        </is>
      </c>
      <c r="J1750" s="4" t="n">
        <v>320</v>
      </c>
      <c r="L1750" s="4" t="inlineStr">
        <is>
          <t>01:30:00</t>
        </is>
      </c>
      <c r="M1750" s="5" t="n"/>
      <c r="N1750" s="6" t="n"/>
      <c r="O1750" s="5" t="n"/>
      <c r="Q1750" s="4">
        <f>B1750</f>
        <v/>
      </c>
      <c r="R1750" s="4">
        <f>C1750</f>
        <v/>
      </c>
      <c r="S1750" s="4">
        <f>D1750</f>
        <v/>
      </c>
      <c r="T1750" s="4">
        <f>E1750&amp;"/"&amp;E1751</f>
        <v/>
      </c>
      <c r="U1750" s="4">
        <f>F1750&amp;"-"&amp;G1750&amp;"-"&amp;F1750</f>
        <v/>
      </c>
      <c r="V1750" s="4">
        <f>IF($M$1750="","",$M$1750)</f>
        <v/>
      </c>
      <c r="W1750" s="4">
        <f>IF($O$1750="","",$O$1750)</f>
        <v/>
      </c>
      <c r="X1750" s="4">
        <f>J1750</f>
        <v/>
      </c>
    </row>
    <row r="1751">
      <c r="B1751" s="4" t="n">
        <v>1702</v>
      </c>
      <c r="C1751" s="4" t="inlineStr">
        <is>
          <t>19/09/2026</t>
        </is>
      </c>
      <c r="D1751" s="4" t="inlineStr">
        <is>
          <t>sábado</t>
        </is>
      </c>
      <c r="E1751" s="4" t="n">
        <v>2116</v>
      </c>
      <c r="F1751" s="4" t="inlineStr">
        <is>
          <t>AQP</t>
        </is>
      </c>
      <c r="G1751" s="4" t="inlineStr">
        <is>
          <t>LIM</t>
        </is>
      </c>
      <c r="H1751" s="4" t="inlineStr">
        <is>
          <t>20:40:00</t>
        </is>
      </c>
      <c r="I1751" s="4" t="inlineStr">
        <is>
          <t>22:20:00</t>
        </is>
      </c>
      <c r="J1751" s="4" t="n">
        <v>320</v>
      </c>
      <c r="K1751">
        <f>TEXT(TIMEVALUE(H1751)-TIMEVALUE(I1750)+(TIMEVALUE(H1751)&lt;TIMEVALUE(I1750)),"[h]:mm")</f>
        <v/>
      </c>
      <c r="L1751" s="4" t="inlineStr">
        <is>
          <t>01:40:00</t>
        </is>
      </c>
      <c r="O1751">
        <f>"LIM-"&amp;G1750&amp;"-LIM   LA "&amp;E1750&amp;" ("&amp;LEFT(H1750,5)&amp;"-"&amp;LEFT(I1750,5)&amp;" hrs)  /  LA "&amp;E1751&amp;" ("&amp;LEFT(H1751,5)&amp;"-"&amp;LEFT(I1751,5)&amp;" hrs)"</f>
        <v/>
      </c>
    </row>
    <row r="1752">
      <c r="J1752" s="8" t="inlineStr">
        <is>
          <t>PSV total:</t>
        </is>
      </c>
      <c r="K1752" s="9">
        <f>TEXT(TIMEVALUE(I1751)-TIMEVALUE(H1750)+(I1751&lt;H1750),"[h]:mm")</f>
        <v/>
      </c>
    </row>
    <row r="1754">
      <c r="B1754" s="3" t="inlineStr">
        <is>
          <t>Pairing ID</t>
        </is>
      </c>
      <c r="C1754" s="3" t="inlineStr">
        <is>
          <t>FECHA REAL</t>
        </is>
      </c>
      <c r="D1754" s="3" t="inlineStr">
        <is>
          <t>Day of Week</t>
        </is>
      </c>
      <c r="E1754" s="3" t="inlineStr">
        <is>
          <t>Flight No</t>
        </is>
      </c>
      <c r="F1754" s="3" t="inlineStr">
        <is>
          <t>Dep Stn</t>
        </is>
      </c>
      <c r="G1754" s="3" t="inlineStr">
        <is>
          <t>Arr Stn</t>
        </is>
      </c>
      <c r="H1754" s="3" t="inlineStr">
        <is>
          <t>STD</t>
        </is>
      </c>
      <c r="I1754" s="3" t="inlineStr">
        <is>
          <t>STA</t>
        </is>
      </c>
      <c r="J1754" s="3" t="inlineStr">
        <is>
          <t>subflota</t>
        </is>
      </c>
      <c r="K1754" s="3" t="inlineStr">
        <is>
          <t>Conexion</t>
        </is>
      </c>
      <c r="L1754" s="3" t="inlineStr">
        <is>
          <t>HBT</t>
        </is>
      </c>
    </row>
    <row r="1755">
      <c r="B1755" s="4" t="n">
        <v>1742</v>
      </c>
      <c r="C1755" s="4" t="inlineStr">
        <is>
          <t>20/09/2026</t>
        </is>
      </c>
      <c r="D1755" s="4" t="inlineStr">
        <is>
          <t>domingo</t>
        </is>
      </c>
      <c r="E1755" s="4" t="n">
        <v>2013</v>
      </c>
      <c r="F1755" s="4" t="inlineStr">
        <is>
          <t>LIM</t>
        </is>
      </c>
      <c r="G1755" s="4" t="inlineStr">
        <is>
          <t>CUZ</t>
        </is>
      </c>
      <c r="H1755" s="4" t="inlineStr">
        <is>
          <t>08:35:00</t>
        </is>
      </c>
      <c r="I1755" s="4" t="inlineStr">
        <is>
          <t>09:55:00</t>
        </is>
      </c>
      <c r="J1755" s="4" t="n">
        <v>320</v>
      </c>
      <c r="L1755" s="4" t="inlineStr">
        <is>
          <t>01:20:00</t>
        </is>
      </c>
      <c r="M1755" s="5" t="n"/>
      <c r="N1755" s="6" t="n"/>
      <c r="O1755" s="5" t="n"/>
      <c r="Q1755" s="4">
        <f>B1755</f>
        <v/>
      </c>
      <c r="R1755" s="4">
        <f>C1755</f>
        <v/>
      </c>
      <c r="S1755" s="4">
        <f>D1755</f>
        <v/>
      </c>
      <c r="T1755" s="4">
        <f>E1755&amp;"/"&amp;E1756</f>
        <v/>
      </c>
      <c r="U1755" s="4">
        <f>F1755&amp;"-"&amp;G1755&amp;"-"&amp;F1755</f>
        <v/>
      </c>
      <c r="V1755" s="4">
        <f>IF($M$1755="","",$M$1755)</f>
        <v/>
      </c>
      <c r="W1755" s="4">
        <f>IF($O$1755="","",$O$1755)</f>
        <v/>
      </c>
      <c r="X1755" s="4">
        <f>J1755</f>
        <v/>
      </c>
    </row>
    <row r="1756">
      <c r="B1756" s="4" t="n">
        <v>1742</v>
      </c>
      <c r="C1756" s="4" t="inlineStr">
        <is>
          <t>20/09/2026</t>
        </is>
      </c>
      <c r="D1756" s="4" t="inlineStr">
        <is>
          <t>domingo</t>
        </is>
      </c>
      <c r="E1756" s="4" t="n">
        <v>2014</v>
      </c>
      <c r="F1756" s="4" t="inlineStr">
        <is>
          <t>CUZ</t>
        </is>
      </c>
      <c r="G1756" s="4" t="inlineStr">
        <is>
          <t>LIM</t>
        </is>
      </c>
      <c r="H1756" s="4" t="inlineStr">
        <is>
          <t>10:35:00</t>
        </is>
      </c>
      <c r="I1756" s="4" t="inlineStr">
        <is>
          <t>12:10:00</t>
        </is>
      </c>
      <c r="J1756" s="4" t="n">
        <v>320</v>
      </c>
      <c r="K1756">
        <f>TEXT(TIMEVALUE(H1756)-TIMEVALUE(I1755)+(TIMEVALUE(H1756)&lt;TIMEVALUE(I1755)),"[h]:mm")</f>
        <v/>
      </c>
      <c r="L1756" s="4" t="inlineStr">
        <is>
          <t>01:35:00</t>
        </is>
      </c>
      <c r="O1756">
        <f>"LIM-"&amp;G1755&amp;"-LIM   LA "&amp;E1755&amp;" ("&amp;LEFT(H1755,5)&amp;"-"&amp;LEFT(I1755,5)&amp;" hrs)  /  LA "&amp;E1756&amp;" ("&amp;LEFT(H1756,5)&amp;"-"&amp;LEFT(I1756,5)&amp;" hrs)"</f>
        <v/>
      </c>
    </row>
    <row r="1757">
      <c r="J1757" s="8" t="inlineStr">
        <is>
          <t>PSV total:</t>
        </is>
      </c>
      <c r="K1757" s="9">
        <f>TEXT(TIMEVALUE(I1756)-TIMEVALUE(H1755)+(I1756&lt;H1755),"[h]:mm")</f>
        <v/>
      </c>
    </row>
    <row r="1759">
      <c r="B1759" s="3" t="inlineStr">
        <is>
          <t>Pairing ID</t>
        </is>
      </c>
      <c r="C1759" s="3" t="inlineStr">
        <is>
          <t>FECHA REAL</t>
        </is>
      </c>
      <c r="D1759" s="3" t="inlineStr">
        <is>
          <t>Day of Week</t>
        </is>
      </c>
      <c r="E1759" s="3" t="inlineStr">
        <is>
          <t>Flight No</t>
        </is>
      </c>
      <c r="F1759" s="3" t="inlineStr">
        <is>
          <t>Dep Stn</t>
        </is>
      </c>
      <c r="G1759" s="3" t="inlineStr">
        <is>
          <t>Arr Stn</t>
        </is>
      </c>
      <c r="H1759" s="3" t="inlineStr">
        <is>
          <t>STD</t>
        </is>
      </c>
      <c r="I1759" s="3" t="inlineStr">
        <is>
          <t>STA</t>
        </is>
      </c>
      <c r="J1759" s="3" t="inlineStr">
        <is>
          <t>subflota</t>
        </is>
      </c>
      <c r="K1759" s="3" t="inlineStr">
        <is>
          <t>Conexion</t>
        </is>
      </c>
      <c r="L1759" s="3" t="inlineStr">
        <is>
          <t>HBT</t>
        </is>
      </c>
    </row>
    <row r="1760">
      <c r="B1760" s="4" t="n">
        <v>1746</v>
      </c>
      <c r="C1760" s="4" t="inlineStr">
        <is>
          <t>20/09/2026</t>
        </is>
      </c>
      <c r="D1760" s="4" t="inlineStr">
        <is>
          <t>domingo</t>
        </is>
      </c>
      <c r="E1760" s="4" t="n">
        <v>2007</v>
      </c>
      <c r="F1760" s="4" t="inlineStr">
        <is>
          <t>LIM</t>
        </is>
      </c>
      <c r="G1760" s="4" t="inlineStr">
        <is>
          <t>CUZ</t>
        </is>
      </c>
      <c r="H1760" s="4" t="inlineStr">
        <is>
          <t>09:10:00</t>
        </is>
      </c>
      <c r="I1760" s="4" t="inlineStr">
        <is>
          <t>10:30:00</t>
        </is>
      </c>
      <c r="J1760" s="4" t="n">
        <v>319</v>
      </c>
      <c r="L1760" s="4" t="inlineStr">
        <is>
          <t>01:20:00</t>
        </is>
      </c>
      <c r="M1760" s="5" t="n"/>
      <c r="N1760" s="6" t="n"/>
      <c r="O1760" s="5" t="n"/>
      <c r="Q1760" s="4">
        <f>B1760</f>
        <v/>
      </c>
      <c r="R1760" s="4">
        <f>C1760</f>
        <v/>
      </c>
      <c r="S1760" s="4">
        <f>D1760</f>
        <v/>
      </c>
      <c r="T1760" s="4">
        <f>E1760&amp;"/"&amp;E1761</f>
        <v/>
      </c>
      <c r="U1760" s="4">
        <f>F1760&amp;"-"&amp;G1760&amp;"-"&amp;F1760</f>
        <v/>
      </c>
      <c r="V1760" s="4">
        <f>IF($M$1760="","",$M$1760)</f>
        <v/>
      </c>
      <c r="W1760" s="4">
        <f>IF($O$1760="","",$O$1760)</f>
        <v/>
      </c>
      <c r="X1760" s="4">
        <f>J1760</f>
        <v/>
      </c>
    </row>
    <row r="1761">
      <c r="B1761" s="4" t="n">
        <v>1746</v>
      </c>
      <c r="C1761" s="4" t="inlineStr">
        <is>
          <t>20/09/2026</t>
        </is>
      </c>
      <c r="D1761" s="4" t="inlineStr">
        <is>
          <t>domingo</t>
        </is>
      </c>
      <c r="E1761" s="4" t="n">
        <v>2008</v>
      </c>
      <c r="F1761" s="4" t="inlineStr">
        <is>
          <t>CUZ</t>
        </is>
      </c>
      <c r="G1761" s="4" t="inlineStr">
        <is>
          <t>LIM</t>
        </is>
      </c>
      <c r="H1761" s="4" t="inlineStr">
        <is>
          <t>11:20:00</t>
        </is>
      </c>
      <c r="I1761" s="4" t="inlineStr">
        <is>
          <t>12:55:00</t>
        </is>
      </c>
      <c r="J1761" s="4" t="n">
        <v>319</v>
      </c>
      <c r="K1761">
        <f>TEXT(TIMEVALUE(H1761)-TIMEVALUE(I1760)+(TIMEVALUE(H1761)&lt;TIMEVALUE(I1760)),"[h]:mm")</f>
        <v/>
      </c>
      <c r="L1761" s="4" t="inlineStr">
        <is>
          <t>01:35:00</t>
        </is>
      </c>
      <c r="O1761">
        <f>"LIM-"&amp;G1760&amp;"-LIM   LA "&amp;E1760&amp;" ("&amp;LEFT(H1760,5)&amp;"-"&amp;LEFT(I1760,5)&amp;" hrs)  /  LA "&amp;E1761&amp;" ("&amp;LEFT(H1761,5)&amp;"-"&amp;LEFT(I1761,5)&amp;" hrs)"</f>
        <v/>
      </c>
    </row>
    <row r="1762">
      <c r="B1762" s="4" t="n">
        <v>1764</v>
      </c>
      <c r="C1762" s="4" t="inlineStr">
        <is>
          <t>20/09/2026</t>
        </is>
      </c>
      <c r="D1762" s="4" t="inlineStr">
        <is>
          <t>domingo</t>
        </is>
      </c>
      <c r="E1762" s="4" t="n">
        <v>2295</v>
      </c>
      <c r="F1762" s="4" t="inlineStr">
        <is>
          <t>LIM</t>
        </is>
      </c>
      <c r="G1762" s="4" t="inlineStr">
        <is>
          <t>CJA</t>
        </is>
      </c>
      <c r="H1762" s="4" t="inlineStr">
        <is>
          <t>14:10:00</t>
        </is>
      </c>
      <c r="I1762" s="4" t="inlineStr">
        <is>
          <t>15:30:00</t>
        </is>
      </c>
      <c r="J1762" s="4" t="n">
        <v>320</v>
      </c>
      <c r="K1762" s="7">
        <f>TEXT(TIMEVALUE(H1762)-TIMEVALUE(I1761)+(TIMEVALUE(H1762)&lt;TIMEVALUE(I1761)),"[h]:mm")</f>
        <v/>
      </c>
      <c r="L1762" s="4" t="inlineStr">
        <is>
          <t>01:20:00</t>
        </is>
      </c>
      <c r="M1762">
        <f>IF($M$1760="","",$M$1760)</f>
        <v/>
      </c>
      <c r="O1762">
        <f>IF($O$1760="","",$O$1760)</f>
        <v/>
      </c>
      <c r="Q1762" s="4">
        <f>B1762</f>
        <v/>
      </c>
      <c r="R1762" s="4">
        <f>C1762</f>
        <v/>
      </c>
      <c r="S1762" s="4">
        <f>D1762</f>
        <v/>
      </c>
      <c r="T1762" s="4">
        <f>E1762&amp;"/"&amp;E1763</f>
        <v/>
      </c>
      <c r="U1762" s="4">
        <f>F1762&amp;"-"&amp;G1762&amp;"-"&amp;F1762</f>
        <v/>
      </c>
      <c r="V1762" s="4">
        <f>IF($M$1760="","",$M$1760)</f>
        <v/>
      </c>
      <c r="W1762" s="4">
        <f>IF($O$1760="","",$O$1760)</f>
        <v/>
      </c>
      <c r="X1762" s="4">
        <f>J1762</f>
        <v/>
      </c>
    </row>
    <row r="1763">
      <c r="B1763" s="4" t="n">
        <v>1764</v>
      </c>
      <c r="C1763" s="4" t="inlineStr">
        <is>
          <t>20/09/2026</t>
        </is>
      </c>
      <c r="D1763" s="4" t="inlineStr">
        <is>
          <t>domingo</t>
        </is>
      </c>
      <c r="E1763" s="4" t="n">
        <v>2294</v>
      </c>
      <c r="F1763" s="4" t="inlineStr">
        <is>
          <t>CJA</t>
        </is>
      </c>
      <c r="G1763" s="4" t="inlineStr">
        <is>
          <t>LIM</t>
        </is>
      </c>
      <c r="H1763" s="4" t="inlineStr">
        <is>
          <t>16:10:00</t>
        </is>
      </c>
      <c r="I1763" s="4" t="inlineStr">
        <is>
          <t>17:15:00</t>
        </is>
      </c>
      <c r="J1763" s="4" t="n">
        <v>320</v>
      </c>
      <c r="K1763">
        <f>TEXT(TIMEVALUE(H1763)-TIMEVALUE(I1762)+(TIMEVALUE(H1763)&lt;TIMEVALUE(I1762)),"[h]:mm")</f>
        <v/>
      </c>
      <c r="L1763" s="4" t="inlineStr">
        <is>
          <t>01:05:00</t>
        </is>
      </c>
      <c r="O1763">
        <f>"LIM-"&amp;G1762&amp;"-LIM   LA "&amp;E1762&amp;" ("&amp;LEFT(H1762,5)&amp;"-"&amp;LEFT(I1762,5)&amp;" hrs)  /  LA "&amp;E1763&amp;" ("&amp;LEFT(H1763,5)&amp;"-"&amp;LEFT(I1763,5)&amp;" hrs)"</f>
        <v/>
      </c>
    </row>
    <row r="1764">
      <c r="J1764" s="8" t="inlineStr">
        <is>
          <t>PSV total:</t>
        </is>
      </c>
      <c r="K1764" s="9">
        <f>TEXT(TIMEVALUE(I1763)-TIMEVALUE(H1760)+(I1763&lt;H1760),"[h]:mm")</f>
        <v/>
      </c>
    </row>
    <row r="1766">
      <c r="B1766" s="3" t="inlineStr">
        <is>
          <t>Pairing ID</t>
        </is>
      </c>
      <c r="C1766" s="3" t="inlineStr">
        <is>
          <t>FECHA REAL</t>
        </is>
      </c>
      <c r="D1766" s="3" t="inlineStr">
        <is>
          <t>Day of Week</t>
        </is>
      </c>
      <c r="E1766" s="3" t="inlineStr">
        <is>
          <t>Flight No</t>
        </is>
      </c>
      <c r="F1766" s="3" t="inlineStr">
        <is>
          <t>Dep Stn</t>
        </is>
      </c>
      <c r="G1766" s="3" t="inlineStr">
        <is>
          <t>Arr Stn</t>
        </is>
      </c>
      <c r="H1766" s="3" t="inlineStr">
        <is>
          <t>STD</t>
        </is>
      </c>
      <c r="I1766" s="3" t="inlineStr">
        <is>
          <t>STA</t>
        </is>
      </c>
      <c r="J1766" s="3" t="inlineStr">
        <is>
          <t>subflota</t>
        </is>
      </c>
      <c r="K1766" s="3" t="inlineStr">
        <is>
          <t>Conexion</t>
        </is>
      </c>
      <c r="L1766" s="3" t="inlineStr">
        <is>
          <t>HBT</t>
        </is>
      </c>
    </row>
    <row r="1767">
      <c r="B1767" s="4" t="n">
        <v>1750</v>
      </c>
      <c r="C1767" s="4" t="inlineStr">
        <is>
          <t>20/09/2026</t>
        </is>
      </c>
      <c r="D1767" s="4" t="inlineStr">
        <is>
          <t>domingo</t>
        </is>
      </c>
      <c r="E1767" s="4" t="n">
        <v>2350</v>
      </c>
      <c r="F1767" s="4" t="inlineStr">
        <is>
          <t>LIM</t>
        </is>
      </c>
      <c r="G1767" s="4" t="inlineStr">
        <is>
          <t>CJA</t>
        </is>
      </c>
      <c r="H1767" s="4" t="inlineStr">
        <is>
          <t>10:40:00</t>
        </is>
      </c>
      <c r="I1767" s="4" t="inlineStr">
        <is>
          <t>12:00:00</t>
        </is>
      </c>
      <c r="J1767" s="4" t="n">
        <v>319</v>
      </c>
      <c r="L1767" s="4" t="inlineStr">
        <is>
          <t>01:20:00</t>
        </is>
      </c>
      <c r="M1767" s="5" t="n"/>
      <c r="N1767" s="6" t="n"/>
      <c r="O1767" s="5" t="n"/>
      <c r="Q1767" s="4">
        <f>B1767</f>
        <v/>
      </c>
      <c r="R1767" s="4">
        <f>C1767</f>
        <v/>
      </c>
      <c r="S1767" s="4">
        <f>D1767</f>
        <v/>
      </c>
      <c r="T1767" s="4">
        <f>E1767&amp;"/"&amp;E1768</f>
        <v/>
      </c>
      <c r="U1767" s="4">
        <f>F1767&amp;"-"&amp;G1767&amp;"-"&amp;F1767</f>
        <v/>
      </c>
      <c r="V1767" s="4">
        <f>IF($M$1767="","",$M$1767)</f>
        <v/>
      </c>
      <c r="W1767" s="4">
        <f>IF($O$1767="","",$O$1767)</f>
        <v/>
      </c>
      <c r="X1767" s="4">
        <f>J1767</f>
        <v/>
      </c>
    </row>
    <row r="1768">
      <c r="B1768" s="4" t="n">
        <v>1750</v>
      </c>
      <c r="C1768" s="4" t="inlineStr">
        <is>
          <t>20/09/2026</t>
        </is>
      </c>
      <c r="D1768" s="4" t="inlineStr">
        <is>
          <t>domingo</t>
        </is>
      </c>
      <c r="E1768" s="4" t="n">
        <v>2351</v>
      </c>
      <c r="F1768" s="4" t="inlineStr">
        <is>
          <t>CJA</t>
        </is>
      </c>
      <c r="G1768" s="4" t="inlineStr">
        <is>
          <t>LIM</t>
        </is>
      </c>
      <c r="H1768" s="4" t="inlineStr">
        <is>
          <t>12:50:00</t>
        </is>
      </c>
      <c r="I1768" s="4" t="inlineStr">
        <is>
          <t>14:00:00</t>
        </is>
      </c>
      <c r="J1768" s="4" t="n">
        <v>319</v>
      </c>
      <c r="K1768">
        <f>TEXT(TIMEVALUE(H1768)-TIMEVALUE(I1767)+(TIMEVALUE(H1768)&lt;TIMEVALUE(I1767)),"[h]:mm")</f>
        <v/>
      </c>
      <c r="L1768" s="4" t="inlineStr">
        <is>
          <t>01:10:00</t>
        </is>
      </c>
      <c r="O1768">
        <f>"LIM-"&amp;G1767&amp;"-LIM   LA "&amp;E1767&amp;" ("&amp;LEFT(H1767,5)&amp;"-"&amp;LEFT(I1767,5)&amp;" hrs)  /  LA "&amp;E1768&amp;" ("&amp;LEFT(H1768,5)&amp;"-"&amp;LEFT(I1768,5)&amp;" hrs)"</f>
        <v/>
      </c>
    </row>
    <row r="1769">
      <c r="B1769" s="4" t="n">
        <v>1769</v>
      </c>
      <c r="C1769" s="4" t="inlineStr">
        <is>
          <t>20/09/2026</t>
        </is>
      </c>
      <c r="D1769" s="4" t="inlineStr">
        <is>
          <t>domingo</t>
        </is>
      </c>
      <c r="E1769" s="4" t="n">
        <v>2248</v>
      </c>
      <c r="F1769" s="4" t="inlineStr">
        <is>
          <t>LIM</t>
        </is>
      </c>
      <c r="G1769" s="4" t="inlineStr">
        <is>
          <t>CUZ</t>
        </is>
      </c>
      <c r="H1769" s="4" t="inlineStr">
        <is>
          <t>15:00:00</t>
        </is>
      </c>
      <c r="I1769" s="4" t="inlineStr">
        <is>
          <t>16:20:00</t>
        </is>
      </c>
      <c r="J1769" s="4" t="n">
        <v>320</v>
      </c>
      <c r="K1769" s="7">
        <f>TEXT(TIMEVALUE(H1769)-TIMEVALUE(I1768)+(TIMEVALUE(H1769)&lt;TIMEVALUE(I1768)),"[h]:mm")</f>
        <v/>
      </c>
      <c r="L1769" s="4" t="inlineStr">
        <is>
          <t>01:20:00</t>
        </is>
      </c>
      <c r="M1769">
        <f>IF($M$1767="","",$M$1767)</f>
        <v/>
      </c>
      <c r="O1769">
        <f>IF($O$1767="","",$O$1767)</f>
        <v/>
      </c>
      <c r="Q1769" s="4">
        <f>B1769</f>
        <v/>
      </c>
      <c r="R1769" s="4">
        <f>C1769</f>
        <v/>
      </c>
      <c r="S1769" s="4">
        <f>D1769</f>
        <v/>
      </c>
      <c r="T1769" s="4">
        <f>E1769&amp;"/"&amp;E1770</f>
        <v/>
      </c>
      <c r="U1769" s="4">
        <f>F1769&amp;"-"&amp;G1769&amp;"-"&amp;F1769</f>
        <v/>
      </c>
      <c r="V1769" s="4">
        <f>IF($M$1767="","",$M$1767)</f>
        <v/>
      </c>
      <c r="W1769" s="4">
        <f>IF($O$1767="","",$O$1767)</f>
        <v/>
      </c>
      <c r="X1769" s="4">
        <f>J1769</f>
        <v/>
      </c>
    </row>
    <row r="1770">
      <c r="B1770" s="4" t="n">
        <v>1769</v>
      </c>
      <c r="C1770" s="4" t="inlineStr">
        <is>
          <t>20/09/2026</t>
        </is>
      </c>
      <c r="D1770" s="4" t="inlineStr">
        <is>
          <t>domingo</t>
        </is>
      </c>
      <c r="E1770" s="4" t="n">
        <v>2249</v>
      </c>
      <c r="F1770" s="4" t="inlineStr">
        <is>
          <t>CUZ</t>
        </is>
      </c>
      <c r="G1770" s="4" t="inlineStr">
        <is>
          <t>LIM</t>
        </is>
      </c>
      <c r="H1770" s="4" t="inlineStr">
        <is>
          <t>17:00:00</t>
        </is>
      </c>
      <c r="I1770" s="4" t="inlineStr">
        <is>
          <t>18:35:00</t>
        </is>
      </c>
      <c r="J1770" s="4" t="n">
        <v>320</v>
      </c>
      <c r="K1770">
        <f>TEXT(TIMEVALUE(H1770)-TIMEVALUE(I1769)+(TIMEVALUE(H1770)&lt;TIMEVALUE(I1769)),"[h]:mm")</f>
        <v/>
      </c>
      <c r="L1770" s="4" t="inlineStr">
        <is>
          <t>01:35:00</t>
        </is>
      </c>
      <c r="O1770">
        <f>"LIM-"&amp;G1769&amp;"-LIM   LA "&amp;E1769&amp;" ("&amp;LEFT(H1769,5)&amp;"-"&amp;LEFT(I1769,5)&amp;" hrs)  /  LA "&amp;E1770&amp;" ("&amp;LEFT(H1770,5)&amp;"-"&amp;LEFT(I1770,5)&amp;" hrs)"</f>
        <v/>
      </c>
    </row>
    <row r="1771">
      <c r="J1771" s="8" t="inlineStr">
        <is>
          <t>PSV total:</t>
        </is>
      </c>
      <c r="K1771" s="9">
        <f>TEXT(TIMEVALUE(I1770)-TIMEVALUE(H1767)+(I1770&lt;H1767),"[h]:mm")</f>
        <v/>
      </c>
    </row>
    <row r="1773">
      <c r="B1773" s="3" t="inlineStr">
        <is>
          <t>Pairing ID</t>
        </is>
      </c>
      <c r="C1773" s="3" t="inlineStr">
        <is>
          <t>FECHA REAL</t>
        </is>
      </c>
      <c r="D1773" s="3" t="inlineStr">
        <is>
          <t>Day of Week</t>
        </is>
      </c>
      <c r="E1773" s="3" t="inlineStr">
        <is>
          <t>Flight No</t>
        </is>
      </c>
      <c r="F1773" s="3" t="inlineStr">
        <is>
          <t>Dep Stn</t>
        </is>
      </c>
      <c r="G1773" s="3" t="inlineStr">
        <is>
          <t>Arr Stn</t>
        </is>
      </c>
      <c r="H1773" s="3" t="inlineStr">
        <is>
          <t>STD</t>
        </is>
      </c>
      <c r="I1773" s="3" t="inlineStr">
        <is>
          <t>STA</t>
        </is>
      </c>
      <c r="J1773" s="3" t="inlineStr">
        <is>
          <t>subflota</t>
        </is>
      </c>
      <c r="K1773" s="3" t="inlineStr">
        <is>
          <t>Conexion</t>
        </is>
      </c>
      <c r="L1773" s="3" t="inlineStr">
        <is>
          <t>HBT</t>
        </is>
      </c>
    </row>
    <row r="1774">
      <c r="B1774" s="4" t="n">
        <v>1751</v>
      </c>
      <c r="C1774" s="4" t="inlineStr">
        <is>
          <t>20/09/2026</t>
        </is>
      </c>
      <c r="D1774" s="4" t="inlineStr">
        <is>
          <t>domingo</t>
        </is>
      </c>
      <c r="E1774" s="4" t="n">
        <v>2019</v>
      </c>
      <c r="F1774" s="4" t="inlineStr">
        <is>
          <t>LIM</t>
        </is>
      </c>
      <c r="G1774" s="4" t="inlineStr">
        <is>
          <t>IQT</t>
        </is>
      </c>
      <c r="H1774" s="4" t="inlineStr">
        <is>
          <t>11:35:00</t>
        </is>
      </c>
      <c r="I1774" s="4" t="inlineStr">
        <is>
          <t>13:25:00</t>
        </is>
      </c>
      <c r="J1774" s="4" t="n">
        <v>320</v>
      </c>
      <c r="L1774" s="4" t="inlineStr">
        <is>
          <t>01:50:00</t>
        </is>
      </c>
      <c r="M1774" s="5" t="n"/>
      <c r="N1774" s="6" t="n"/>
      <c r="O1774" s="5" t="n"/>
      <c r="Q1774" s="4">
        <f>B1774</f>
        <v/>
      </c>
      <c r="R1774" s="4">
        <f>C1774</f>
        <v/>
      </c>
      <c r="S1774" s="4">
        <f>D1774</f>
        <v/>
      </c>
      <c r="T1774" s="4">
        <f>E1774&amp;"/"&amp;E1775</f>
        <v/>
      </c>
      <c r="U1774" s="4">
        <f>F1774&amp;"-"&amp;G1774&amp;"-"&amp;F1774</f>
        <v/>
      </c>
      <c r="V1774" s="4">
        <f>IF($M$1774="","",$M$1774)</f>
        <v/>
      </c>
      <c r="W1774" s="4">
        <f>IF($O$1774="","",$O$1774)</f>
        <v/>
      </c>
      <c r="X1774" s="4">
        <f>J1774</f>
        <v/>
      </c>
    </row>
    <row r="1775">
      <c r="B1775" s="4" t="n">
        <v>1751</v>
      </c>
      <c r="C1775" s="4" t="inlineStr">
        <is>
          <t>20/09/2026</t>
        </is>
      </c>
      <c r="D1775" s="4" t="inlineStr">
        <is>
          <t>domingo</t>
        </is>
      </c>
      <c r="E1775" s="4" t="n">
        <v>2038</v>
      </c>
      <c r="F1775" s="4" t="inlineStr">
        <is>
          <t>IQT</t>
        </is>
      </c>
      <c r="G1775" s="4" t="inlineStr">
        <is>
          <t>LIM</t>
        </is>
      </c>
      <c r="H1775" s="4" t="inlineStr">
        <is>
          <t>14:05:00</t>
        </is>
      </c>
      <c r="I1775" s="4" t="inlineStr">
        <is>
          <t>15:55:00</t>
        </is>
      </c>
      <c r="J1775" s="4" t="n">
        <v>320</v>
      </c>
      <c r="K1775">
        <f>TEXT(TIMEVALUE(H1775)-TIMEVALUE(I1774)+(TIMEVALUE(H1775)&lt;TIMEVALUE(I1774)),"[h]:mm")</f>
        <v/>
      </c>
      <c r="L1775" s="4" t="inlineStr">
        <is>
          <t>01:50:00</t>
        </is>
      </c>
      <c r="O1775">
        <f>"LIM-"&amp;G1774&amp;"-LIM   LA "&amp;E1774&amp;" ("&amp;LEFT(H1774,5)&amp;"-"&amp;LEFT(I1774,5)&amp;" hrs)  /  LA "&amp;E1775&amp;" ("&amp;LEFT(H1775,5)&amp;"-"&amp;LEFT(I1775,5)&amp;" hrs)"</f>
        <v/>
      </c>
    </row>
    <row r="1776">
      <c r="J1776" s="8" t="inlineStr">
        <is>
          <t>PSV total:</t>
        </is>
      </c>
      <c r="K1776" s="9">
        <f>TEXT(TIMEVALUE(I1775)-TIMEVALUE(H1774)+(I1775&lt;H1774),"[h]:mm")</f>
        <v/>
      </c>
    </row>
    <row r="1778">
      <c r="B1778" s="3" t="inlineStr">
        <is>
          <t>Pairing ID</t>
        </is>
      </c>
      <c r="C1778" s="3" t="inlineStr">
        <is>
          <t>FECHA REAL</t>
        </is>
      </c>
      <c r="D1778" s="3" t="inlineStr">
        <is>
          <t>Day of Week</t>
        </is>
      </c>
      <c r="E1778" s="3" t="inlineStr">
        <is>
          <t>Flight No</t>
        </is>
      </c>
      <c r="F1778" s="3" t="inlineStr">
        <is>
          <t>Dep Stn</t>
        </is>
      </c>
      <c r="G1778" s="3" t="inlineStr">
        <is>
          <t>Arr Stn</t>
        </is>
      </c>
      <c r="H1778" s="3" t="inlineStr">
        <is>
          <t>STD</t>
        </is>
      </c>
      <c r="I1778" s="3" t="inlineStr">
        <is>
          <t>STA</t>
        </is>
      </c>
      <c r="J1778" s="3" t="inlineStr">
        <is>
          <t>subflota</t>
        </is>
      </c>
      <c r="K1778" s="3" t="inlineStr">
        <is>
          <t>Conexion</t>
        </is>
      </c>
      <c r="L1778" s="3" t="inlineStr">
        <is>
          <t>HBT</t>
        </is>
      </c>
    </row>
    <row r="1779">
      <c r="B1779" s="4" t="n">
        <v>1753</v>
      </c>
      <c r="C1779" s="4" t="inlineStr">
        <is>
          <t>20/09/2026</t>
        </is>
      </c>
      <c r="D1779" s="4" t="inlineStr">
        <is>
          <t>domingo</t>
        </is>
      </c>
      <c r="E1779" s="4" t="n">
        <v>2061</v>
      </c>
      <c r="F1779" s="4" t="inlineStr">
        <is>
          <t>LIM</t>
        </is>
      </c>
      <c r="G1779" s="4" t="inlineStr">
        <is>
          <t>CUZ</t>
        </is>
      </c>
      <c r="H1779" s="4" t="inlineStr">
        <is>
          <t>11:40:00</t>
        </is>
      </c>
      <c r="I1779" s="4" t="inlineStr">
        <is>
          <t>13:00:00</t>
        </is>
      </c>
      <c r="J1779" s="4" t="n">
        <v>320</v>
      </c>
      <c r="L1779" s="4" t="inlineStr">
        <is>
          <t>01:20:00</t>
        </is>
      </c>
      <c r="M1779" s="5" t="n"/>
      <c r="N1779" s="6" t="n"/>
      <c r="O1779" s="5" t="n"/>
      <c r="Q1779" s="4">
        <f>B1779</f>
        <v/>
      </c>
      <c r="R1779" s="4">
        <f>C1779</f>
        <v/>
      </c>
      <c r="S1779" s="4">
        <f>D1779</f>
        <v/>
      </c>
      <c r="T1779" s="4">
        <f>E1779&amp;"/"&amp;E1780</f>
        <v/>
      </c>
      <c r="U1779" s="4">
        <f>F1779&amp;"-"&amp;G1779&amp;"-"&amp;F1779</f>
        <v/>
      </c>
      <c r="V1779" s="4">
        <f>IF($M$1779="","",$M$1779)</f>
        <v/>
      </c>
      <c r="W1779" s="4">
        <f>IF($O$1779="","",$O$1779)</f>
        <v/>
      </c>
      <c r="X1779" s="4">
        <f>J1779</f>
        <v/>
      </c>
    </row>
    <row r="1780">
      <c r="B1780" s="4" t="n">
        <v>1753</v>
      </c>
      <c r="C1780" s="4" t="inlineStr">
        <is>
          <t>20/09/2026</t>
        </is>
      </c>
      <c r="D1780" s="4" t="inlineStr">
        <is>
          <t>domingo</t>
        </is>
      </c>
      <c r="E1780" s="4" t="n">
        <v>2062</v>
      </c>
      <c r="F1780" s="4" t="inlineStr">
        <is>
          <t>CUZ</t>
        </is>
      </c>
      <c r="G1780" s="4" t="inlineStr">
        <is>
          <t>LIM</t>
        </is>
      </c>
      <c r="H1780" s="4" t="inlineStr">
        <is>
          <t>13:40:00</t>
        </is>
      </c>
      <c r="I1780" s="4" t="inlineStr">
        <is>
          <t>15:15:00</t>
        </is>
      </c>
      <c r="J1780" s="4" t="n">
        <v>320</v>
      </c>
      <c r="K1780">
        <f>TEXT(TIMEVALUE(H1780)-TIMEVALUE(I1779)+(TIMEVALUE(H1780)&lt;TIMEVALUE(I1779)),"[h]:mm")</f>
        <v/>
      </c>
      <c r="L1780" s="4" t="inlineStr">
        <is>
          <t>01:35:00</t>
        </is>
      </c>
      <c r="O1780">
        <f>"LIM-"&amp;G1779&amp;"-LIM   LA "&amp;E1779&amp;" ("&amp;LEFT(H1779,5)&amp;"-"&amp;LEFT(I1779,5)&amp;" hrs)  /  LA "&amp;E1780&amp;" ("&amp;LEFT(H1780,5)&amp;"-"&amp;LEFT(I1780,5)&amp;" hrs)"</f>
        <v/>
      </c>
    </row>
    <row r="1781">
      <c r="B1781" s="4" t="n">
        <v>1780</v>
      </c>
      <c r="C1781" s="4" t="inlineStr">
        <is>
          <t>20/09/2026</t>
        </is>
      </c>
      <c r="D1781" s="4" t="inlineStr">
        <is>
          <t>domingo</t>
        </is>
      </c>
      <c r="E1781" s="4" t="n">
        <v>2127</v>
      </c>
      <c r="F1781" s="4" t="inlineStr">
        <is>
          <t>LIM</t>
        </is>
      </c>
      <c r="G1781" s="4" t="inlineStr">
        <is>
          <t>CUZ</t>
        </is>
      </c>
      <c r="H1781" s="4" t="inlineStr">
        <is>
          <t>16:10:00</t>
        </is>
      </c>
      <c r="I1781" s="4" t="inlineStr">
        <is>
          <t>17:30:00</t>
        </is>
      </c>
      <c r="J1781" s="4" t="n">
        <v>320</v>
      </c>
      <c r="K1781" s="7">
        <f>TEXT(TIMEVALUE(H1781)-TIMEVALUE(I1780)+(TIMEVALUE(H1781)&lt;TIMEVALUE(I1780)),"[h]:mm")</f>
        <v/>
      </c>
      <c r="L1781" s="4" t="inlineStr">
        <is>
          <t>01:20:00</t>
        </is>
      </c>
      <c r="M1781">
        <f>IF($M$1779="","",$M$1779)</f>
        <v/>
      </c>
      <c r="O1781">
        <f>IF($O$1779="","",$O$1779)</f>
        <v/>
      </c>
      <c r="Q1781" s="4">
        <f>B1781</f>
        <v/>
      </c>
      <c r="R1781" s="4">
        <f>C1781</f>
        <v/>
      </c>
      <c r="S1781" s="4">
        <f>D1781</f>
        <v/>
      </c>
      <c r="T1781" s="4">
        <f>E1781&amp;"/"&amp;E1782</f>
        <v/>
      </c>
      <c r="U1781" s="4">
        <f>F1781&amp;"-"&amp;G1781&amp;"-"&amp;F1781</f>
        <v/>
      </c>
      <c r="V1781" s="4">
        <f>IF($M$1779="","",$M$1779)</f>
        <v/>
      </c>
      <c r="W1781" s="4">
        <f>IF($O$1779="","",$O$1779)</f>
        <v/>
      </c>
      <c r="X1781" s="4">
        <f>J1781</f>
        <v/>
      </c>
    </row>
    <row r="1782">
      <c r="B1782" s="4" t="n">
        <v>1780</v>
      </c>
      <c r="C1782" s="4" t="inlineStr">
        <is>
          <t>20/09/2026</t>
        </is>
      </c>
      <c r="D1782" s="4" t="inlineStr">
        <is>
          <t>domingo</t>
        </is>
      </c>
      <c r="E1782" s="4" t="n">
        <v>2026</v>
      </c>
      <c r="F1782" s="4" t="inlineStr">
        <is>
          <t>CUZ</t>
        </is>
      </c>
      <c r="G1782" s="4" t="inlineStr">
        <is>
          <t>LIM</t>
        </is>
      </c>
      <c r="H1782" s="4" t="inlineStr">
        <is>
          <t>18:10:00</t>
        </is>
      </c>
      <c r="I1782" s="4" t="inlineStr">
        <is>
          <t>19:50:00</t>
        </is>
      </c>
      <c r="J1782" s="4" t="n">
        <v>320</v>
      </c>
      <c r="K1782">
        <f>TEXT(TIMEVALUE(H1782)-TIMEVALUE(I1781)+(TIMEVALUE(H1782)&lt;TIMEVALUE(I1781)),"[h]:mm")</f>
        <v/>
      </c>
      <c r="L1782" s="4" t="inlineStr">
        <is>
          <t>01:40:00</t>
        </is>
      </c>
      <c r="O1782">
        <f>"LIM-"&amp;G1781&amp;"-LIM   LA "&amp;E1781&amp;" ("&amp;LEFT(H1781,5)&amp;"-"&amp;LEFT(I1781,5)&amp;" hrs)  /  LA "&amp;E1782&amp;" ("&amp;LEFT(H1782,5)&amp;"-"&amp;LEFT(I1782,5)&amp;" hrs)"</f>
        <v/>
      </c>
    </row>
    <row r="1783">
      <c r="J1783" s="8" t="inlineStr">
        <is>
          <t>PSV total:</t>
        </is>
      </c>
      <c r="K1783" s="9">
        <f>TEXT(TIMEVALUE(I1782)-TIMEVALUE(H1779)+(I1782&lt;H1779),"[h]:mm")</f>
        <v/>
      </c>
    </row>
    <row r="1785">
      <c r="B1785" s="3" t="inlineStr">
        <is>
          <t>Pairing ID</t>
        </is>
      </c>
      <c r="C1785" s="3" t="inlineStr">
        <is>
          <t>FECHA REAL</t>
        </is>
      </c>
      <c r="D1785" s="3" t="inlineStr">
        <is>
          <t>Day of Week</t>
        </is>
      </c>
      <c r="E1785" s="3" t="inlineStr">
        <is>
          <t>Flight No</t>
        </is>
      </c>
      <c r="F1785" s="3" t="inlineStr">
        <is>
          <t>Dep Stn</t>
        </is>
      </c>
      <c r="G1785" s="3" t="inlineStr">
        <is>
          <t>Arr Stn</t>
        </is>
      </c>
      <c r="H1785" s="3" t="inlineStr">
        <is>
          <t>STD</t>
        </is>
      </c>
      <c r="I1785" s="3" t="inlineStr">
        <is>
          <t>STA</t>
        </is>
      </c>
      <c r="J1785" s="3" t="inlineStr">
        <is>
          <t>subflota</t>
        </is>
      </c>
      <c r="K1785" s="3" t="inlineStr">
        <is>
          <t>Conexion</t>
        </is>
      </c>
      <c r="L1785" s="3" t="inlineStr">
        <is>
          <t>HBT</t>
        </is>
      </c>
    </row>
    <row r="1786">
      <c r="B1786" s="4" t="n">
        <v>1757</v>
      </c>
      <c r="C1786" s="4" t="inlineStr">
        <is>
          <t>20/09/2026</t>
        </is>
      </c>
      <c r="D1786" s="4" t="inlineStr">
        <is>
          <t>domingo</t>
        </is>
      </c>
      <c r="E1786" s="4" t="n">
        <v>2023</v>
      </c>
      <c r="F1786" s="4" t="inlineStr">
        <is>
          <t>LIM</t>
        </is>
      </c>
      <c r="G1786" s="4" t="inlineStr">
        <is>
          <t>PEM</t>
        </is>
      </c>
      <c r="H1786" s="4" t="inlineStr">
        <is>
          <t>12:15:00</t>
        </is>
      </c>
      <c r="I1786" s="4" t="inlineStr">
        <is>
          <t>13:55:00</t>
        </is>
      </c>
      <c r="J1786" s="4" t="n">
        <v>320</v>
      </c>
      <c r="L1786" s="4" t="inlineStr">
        <is>
          <t>01:40:00</t>
        </is>
      </c>
      <c r="M1786" s="5" t="n"/>
      <c r="N1786" s="6" t="n"/>
      <c r="O1786" s="5" t="n"/>
      <c r="Q1786" s="4">
        <f>B1786</f>
        <v/>
      </c>
      <c r="R1786" s="4">
        <f>C1786</f>
        <v/>
      </c>
      <c r="S1786" s="4">
        <f>D1786</f>
        <v/>
      </c>
      <c r="T1786" s="4">
        <f>E1786&amp;"/"&amp;E1787</f>
        <v/>
      </c>
      <c r="U1786" s="4">
        <f>F1786&amp;"-"&amp;G1786&amp;"-"&amp;F1786</f>
        <v/>
      </c>
      <c r="V1786" s="4">
        <f>IF($M$1786="","",$M$1786)</f>
        <v/>
      </c>
      <c r="W1786" s="4">
        <f>IF($O$1786="","",$O$1786)</f>
        <v/>
      </c>
      <c r="X1786" s="4">
        <f>J1786</f>
        <v/>
      </c>
    </row>
    <row r="1787">
      <c r="B1787" s="4" t="n">
        <v>1757</v>
      </c>
      <c r="C1787" s="4" t="inlineStr">
        <is>
          <t>20/09/2026</t>
        </is>
      </c>
      <c r="D1787" s="4" t="inlineStr">
        <is>
          <t>domingo</t>
        </is>
      </c>
      <c r="E1787" s="4" t="n">
        <v>2024</v>
      </c>
      <c r="F1787" s="4" t="inlineStr">
        <is>
          <t>PEM</t>
        </is>
      </c>
      <c r="G1787" s="4" t="inlineStr">
        <is>
          <t>LIM</t>
        </is>
      </c>
      <c r="H1787" s="4" t="inlineStr">
        <is>
          <t>14:35:00</t>
        </is>
      </c>
      <c r="I1787" s="4" t="inlineStr">
        <is>
          <t>16:10:00</t>
        </is>
      </c>
      <c r="J1787" s="4" t="n">
        <v>320</v>
      </c>
      <c r="K1787">
        <f>TEXT(TIMEVALUE(H1787)-TIMEVALUE(I1786)+(TIMEVALUE(H1787)&lt;TIMEVALUE(I1786)),"[h]:mm")</f>
        <v/>
      </c>
      <c r="L1787" s="4" t="inlineStr">
        <is>
          <t>01:35:00</t>
        </is>
      </c>
      <c r="O1787">
        <f>"LIM-"&amp;G1786&amp;"-LIM   LA "&amp;E1786&amp;" ("&amp;LEFT(H1786,5)&amp;"-"&amp;LEFT(I1786,5)&amp;" hrs)  /  LA "&amp;E1787&amp;" ("&amp;LEFT(H1787,5)&amp;"-"&amp;LEFT(I1787,5)&amp;" hrs)"</f>
        <v/>
      </c>
    </row>
    <row r="1788">
      <c r="J1788" s="8" t="inlineStr">
        <is>
          <t>PSV total:</t>
        </is>
      </c>
      <c r="K1788" s="9">
        <f>TEXT(TIMEVALUE(I1787)-TIMEVALUE(H1786)+(I1787&lt;H1786),"[h]:mm")</f>
        <v/>
      </c>
    </row>
    <row r="1790">
      <c r="B1790" s="3" t="inlineStr">
        <is>
          <t>Pairing ID</t>
        </is>
      </c>
      <c r="C1790" s="3" t="inlineStr">
        <is>
          <t>FECHA REAL</t>
        </is>
      </c>
      <c r="D1790" s="3" t="inlineStr">
        <is>
          <t>Day of Week</t>
        </is>
      </c>
      <c r="E1790" s="3" t="inlineStr">
        <is>
          <t>Flight No</t>
        </is>
      </c>
      <c r="F1790" s="3" t="inlineStr">
        <is>
          <t>Dep Stn</t>
        </is>
      </c>
      <c r="G1790" s="3" t="inlineStr">
        <is>
          <t>Arr Stn</t>
        </is>
      </c>
      <c r="H1790" s="3" t="inlineStr">
        <is>
          <t>STD</t>
        </is>
      </c>
      <c r="I1790" s="3" t="inlineStr">
        <is>
          <t>STA</t>
        </is>
      </c>
      <c r="J1790" s="3" t="inlineStr">
        <is>
          <t>subflota</t>
        </is>
      </c>
      <c r="K1790" s="3" t="inlineStr">
        <is>
          <t>Conexion</t>
        </is>
      </c>
      <c r="L1790" s="3" t="inlineStr">
        <is>
          <t>HBT</t>
        </is>
      </c>
    </row>
    <row r="1791">
      <c r="B1791" s="4" t="n">
        <v>1760</v>
      </c>
      <c r="C1791" s="4" t="inlineStr">
        <is>
          <t>20/09/2026</t>
        </is>
      </c>
      <c r="D1791" s="4" t="inlineStr">
        <is>
          <t>domingo</t>
        </is>
      </c>
      <c r="E1791" s="4" t="n">
        <v>2043</v>
      </c>
      <c r="F1791" s="4" t="inlineStr">
        <is>
          <t>LIM</t>
        </is>
      </c>
      <c r="G1791" s="4" t="inlineStr">
        <is>
          <t>AQP</t>
        </is>
      </c>
      <c r="H1791" s="4" t="inlineStr">
        <is>
          <t>12:45:00</t>
        </is>
      </c>
      <c r="I1791" s="4" t="inlineStr">
        <is>
          <t>14:15:00</t>
        </is>
      </c>
      <c r="J1791" s="4" t="n">
        <v>319</v>
      </c>
      <c r="L1791" s="4" t="inlineStr">
        <is>
          <t>01:30:00</t>
        </is>
      </c>
      <c r="M1791" s="5" t="n"/>
      <c r="N1791" s="6" t="n"/>
      <c r="O1791" s="5" t="n"/>
      <c r="Q1791" s="4">
        <f>B1791</f>
        <v/>
      </c>
      <c r="R1791" s="4">
        <f>C1791</f>
        <v/>
      </c>
      <c r="S1791" s="4">
        <f>D1791</f>
        <v/>
      </c>
      <c r="T1791" s="4">
        <f>E1791&amp;"/"&amp;E1792</f>
        <v/>
      </c>
      <c r="U1791" s="4">
        <f>F1791&amp;"-"&amp;G1791&amp;"-"&amp;F1791</f>
        <v/>
      </c>
      <c r="V1791" s="4">
        <f>IF($M$1791="","",$M$1791)</f>
        <v/>
      </c>
      <c r="W1791" s="4">
        <f>IF($O$1791="","",$O$1791)</f>
        <v/>
      </c>
      <c r="X1791" s="4">
        <f>J1791</f>
        <v/>
      </c>
    </row>
    <row r="1792">
      <c r="B1792" s="4" t="n">
        <v>1760</v>
      </c>
      <c r="C1792" s="4" t="inlineStr">
        <is>
          <t>20/09/2026</t>
        </is>
      </c>
      <c r="D1792" s="4" t="inlineStr">
        <is>
          <t>domingo</t>
        </is>
      </c>
      <c r="E1792" s="4" t="n">
        <v>2044</v>
      </c>
      <c r="F1792" s="4" t="inlineStr">
        <is>
          <t>AQP</t>
        </is>
      </c>
      <c r="G1792" s="4" t="inlineStr">
        <is>
          <t>LIM</t>
        </is>
      </c>
      <c r="H1792" s="4" t="inlineStr">
        <is>
          <t>15:00:00</t>
        </is>
      </c>
      <c r="I1792" s="4" t="inlineStr">
        <is>
          <t>16:35:00</t>
        </is>
      </c>
      <c r="J1792" s="4" t="n">
        <v>319</v>
      </c>
      <c r="K1792">
        <f>TEXT(TIMEVALUE(H1792)-TIMEVALUE(I1791)+(TIMEVALUE(H1792)&lt;TIMEVALUE(I1791)),"[h]:mm")</f>
        <v/>
      </c>
      <c r="L1792" s="4" t="inlineStr">
        <is>
          <t>01:35:00</t>
        </is>
      </c>
      <c r="O1792">
        <f>"LIM-"&amp;G1791&amp;"-LIM   LA "&amp;E1791&amp;" ("&amp;LEFT(H1791,5)&amp;"-"&amp;LEFT(I1791,5)&amp;" hrs)  /  LA "&amp;E1792&amp;" ("&amp;LEFT(H1792,5)&amp;"-"&amp;LEFT(I1792,5)&amp;" hrs)"</f>
        <v/>
      </c>
    </row>
    <row r="1793">
      <c r="J1793" s="8" t="inlineStr">
        <is>
          <t>PSV total:</t>
        </is>
      </c>
      <c r="K1793" s="9">
        <f>TEXT(TIMEVALUE(I1792)-TIMEVALUE(H1791)+(I1792&lt;H1791),"[h]:mm")</f>
        <v/>
      </c>
    </row>
    <row r="1795">
      <c r="B1795" s="3" t="inlineStr">
        <is>
          <t>Pairing ID</t>
        </is>
      </c>
      <c r="C1795" s="3" t="inlineStr">
        <is>
          <t>FECHA REAL</t>
        </is>
      </c>
      <c r="D1795" s="3" t="inlineStr">
        <is>
          <t>Day of Week</t>
        </is>
      </c>
      <c r="E1795" s="3" t="inlineStr">
        <is>
          <t>Flight No</t>
        </is>
      </c>
      <c r="F1795" s="3" t="inlineStr">
        <is>
          <t>Dep Stn</t>
        </is>
      </c>
      <c r="G1795" s="3" t="inlineStr">
        <is>
          <t>Arr Stn</t>
        </is>
      </c>
      <c r="H1795" s="3" t="inlineStr">
        <is>
          <t>STD</t>
        </is>
      </c>
      <c r="I1795" s="3" t="inlineStr">
        <is>
          <t>STA</t>
        </is>
      </c>
      <c r="J1795" s="3" t="inlineStr">
        <is>
          <t>subflota</t>
        </is>
      </c>
      <c r="K1795" s="3" t="inlineStr">
        <is>
          <t>Conexion</t>
        </is>
      </c>
      <c r="L1795" s="3" t="inlineStr">
        <is>
          <t>HBT</t>
        </is>
      </c>
    </row>
    <row r="1796">
      <c r="B1796" s="4" t="n">
        <v>1765</v>
      </c>
      <c r="C1796" s="4" t="inlineStr">
        <is>
          <t>20/09/2026</t>
        </is>
      </c>
      <c r="D1796" s="4" t="inlineStr">
        <is>
          <t>domingo</t>
        </is>
      </c>
      <c r="E1796" s="4" t="n">
        <v>2295</v>
      </c>
      <c r="F1796" s="4" t="inlineStr">
        <is>
          <t>LIM</t>
        </is>
      </c>
      <c r="G1796" s="4" t="inlineStr">
        <is>
          <t>CJA</t>
        </is>
      </c>
      <c r="H1796" s="4" t="inlineStr">
        <is>
          <t>14:10:00</t>
        </is>
      </c>
      <c r="I1796" s="4" t="inlineStr">
        <is>
          <t>15:30:00</t>
        </is>
      </c>
      <c r="J1796" s="4" t="n">
        <v>320</v>
      </c>
      <c r="L1796" s="4" t="inlineStr">
        <is>
          <t>01:20:00</t>
        </is>
      </c>
      <c r="M1796" s="5" t="n"/>
      <c r="N1796" s="6" t="n"/>
      <c r="O1796" s="5" t="n"/>
      <c r="Q1796" s="4">
        <f>B1796</f>
        <v/>
      </c>
      <c r="R1796" s="4">
        <f>C1796</f>
        <v/>
      </c>
      <c r="S1796" s="4">
        <f>D1796</f>
        <v/>
      </c>
      <c r="T1796" s="4">
        <f>E1796&amp;"/"&amp;E1797</f>
        <v/>
      </c>
      <c r="U1796" s="4">
        <f>F1796&amp;"-"&amp;G1796&amp;"-"&amp;F1796</f>
        <v/>
      </c>
      <c r="V1796" s="4">
        <f>IF($M$1796="","",$M$1796)</f>
        <v/>
      </c>
      <c r="W1796" s="4">
        <f>IF($O$1796="","",$O$1796)</f>
        <v/>
      </c>
      <c r="X1796" s="4">
        <f>J1796</f>
        <v/>
      </c>
    </row>
    <row r="1797">
      <c r="B1797" s="4" t="n">
        <v>1765</v>
      </c>
      <c r="C1797" s="4" t="inlineStr">
        <is>
          <t>20/09/2026</t>
        </is>
      </c>
      <c r="D1797" s="4" t="inlineStr">
        <is>
          <t>domingo</t>
        </is>
      </c>
      <c r="E1797" s="4" t="n">
        <v>2294</v>
      </c>
      <c r="F1797" s="4" t="inlineStr">
        <is>
          <t>CJA</t>
        </is>
      </c>
      <c r="G1797" s="4" t="inlineStr">
        <is>
          <t>LIM</t>
        </is>
      </c>
      <c r="H1797" s="4" t="inlineStr">
        <is>
          <t>16:10:00</t>
        </is>
      </c>
      <c r="I1797" s="4" t="inlineStr">
        <is>
          <t>17:15:00</t>
        </is>
      </c>
      <c r="J1797" s="4" t="n">
        <v>320</v>
      </c>
      <c r="K1797">
        <f>TEXT(TIMEVALUE(H1797)-TIMEVALUE(I1796)+(TIMEVALUE(H1797)&lt;TIMEVALUE(I1796)),"[h]:mm")</f>
        <v/>
      </c>
      <c r="L1797" s="4" t="inlineStr">
        <is>
          <t>01:05:00</t>
        </is>
      </c>
      <c r="O1797">
        <f>"LIM-"&amp;G1796&amp;"-LIM   LA "&amp;E1796&amp;" ("&amp;LEFT(H1796,5)&amp;"-"&amp;LEFT(I1796,5)&amp;" hrs)  /  LA "&amp;E1797&amp;" ("&amp;LEFT(H1797,5)&amp;"-"&amp;LEFT(I1797,5)&amp;" hrs)"</f>
        <v/>
      </c>
    </row>
    <row r="1798">
      <c r="B1798" s="4" t="n">
        <v>1784</v>
      </c>
      <c r="C1798" s="4" t="inlineStr">
        <is>
          <t>20/09/2026</t>
        </is>
      </c>
      <c r="D1798" s="4" t="inlineStr">
        <is>
          <t>domingo</t>
        </is>
      </c>
      <c r="E1798" s="4" t="n">
        <v>2117</v>
      </c>
      <c r="F1798" s="4" t="inlineStr">
        <is>
          <t>LIM</t>
        </is>
      </c>
      <c r="G1798" s="4" t="inlineStr">
        <is>
          <t>AQP</t>
        </is>
      </c>
      <c r="H1798" s="4" t="inlineStr">
        <is>
          <t>18:35:00</t>
        </is>
      </c>
      <c r="I1798" s="4" t="inlineStr">
        <is>
          <t>20:05:00</t>
        </is>
      </c>
      <c r="J1798" s="4" t="n">
        <v>320</v>
      </c>
      <c r="K1798" s="7">
        <f>TEXT(TIMEVALUE(H1798)-TIMEVALUE(I1797)+(TIMEVALUE(H1798)&lt;TIMEVALUE(I1797)),"[h]:mm")</f>
        <v/>
      </c>
      <c r="L1798" s="4" t="inlineStr">
        <is>
          <t>01:30:00</t>
        </is>
      </c>
      <c r="M1798">
        <f>IF($M$1796="","",$M$1796)</f>
        <v/>
      </c>
      <c r="O1798">
        <f>IF($O$1796="","",$O$1796)</f>
        <v/>
      </c>
      <c r="Q1798" s="4">
        <f>B1798</f>
        <v/>
      </c>
      <c r="R1798" s="4">
        <f>C1798</f>
        <v/>
      </c>
      <c r="S1798" s="4">
        <f>D1798</f>
        <v/>
      </c>
      <c r="T1798" s="4">
        <f>E1798&amp;"/"&amp;E1799</f>
        <v/>
      </c>
      <c r="U1798" s="4">
        <f>F1798&amp;"-"&amp;G1798&amp;"-"&amp;F1798</f>
        <v/>
      </c>
      <c r="V1798" s="4">
        <f>IF($M$1796="","",$M$1796)</f>
        <v/>
      </c>
      <c r="W1798" s="4">
        <f>IF($O$1796="","",$O$1796)</f>
        <v/>
      </c>
      <c r="X1798" s="4">
        <f>J1798</f>
        <v/>
      </c>
    </row>
    <row r="1799">
      <c r="B1799" s="4" t="n">
        <v>1784</v>
      </c>
      <c r="C1799" s="4" t="inlineStr">
        <is>
          <t>20/09/2026</t>
        </is>
      </c>
      <c r="D1799" s="4" t="inlineStr">
        <is>
          <t>domingo</t>
        </is>
      </c>
      <c r="E1799" s="4" t="n">
        <v>2116</v>
      </c>
      <c r="F1799" s="4" t="inlineStr">
        <is>
          <t>AQP</t>
        </is>
      </c>
      <c r="G1799" s="4" t="inlineStr">
        <is>
          <t>LIM</t>
        </is>
      </c>
      <c r="H1799" s="4" t="inlineStr">
        <is>
          <t>20:40:00</t>
        </is>
      </c>
      <c r="I1799" s="4" t="inlineStr">
        <is>
          <t>22:20:00</t>
        </is>
      </c>
      <c r="J1799" s="4" t="n">
        <v>320</v>
      </c>
      <c r="K1799">
        <f>TEXT(TIMEVALUE(H1799)-TIMEVALUE(I1798)+(TIMEVALUE(H1799)&lt;TIMEVALUE(I1798)),"[h]:mm")</f>
        <v/>
      </c>
      <c r="L1799" s="4" t="inlineStr">
        <is>
          <t>01:40:00</t>
        </is>
      </c>
      <c r="O1799">
        <f>"LIM-"&amp;G1798&amp;"-LIM   LA "&amp;E1798&amp;" ("&amp;LEFT(H1798,5)&amp;"-"&amp;LEFT(I1798,5)&amp;" hrs)  /  LA "&amp;E1799&amp;" ("&amp;LEFT(H1799,5)&amp;"-"&amp;LEFT(I1799,5)&amp;" hrs)"</f>
        <v/>
      </c>
    </row>
    <row r="1800">
      <c r="J1800" s="8" t="inlineStr">
        <is>
          <t>PSV total:</t>
        </is>
      </c>
      <c r="K1800" s="9">
        <f>TEXT(TIMEVALUE(I1799)-TIMEVALUE(H1796)+(I1799&lt;H1796),"[h]:mm")</f>
        <v/>
      </c>
    </row>
    <row r="1802">
      <c r="B1802" s="3" t="inlineStr">
        <is>
          <t>Pairing ID</t>
        </is>
      </c>
      <c r="C1802" s="3" t="inlineStr">
        <is>
          <t>FECHA REAL</t>
        </is>
      </c>
      <c r="D1802" s="3" t="inlineStr">
        <is>
          <t>Day of Week</t>
        </is>
      </c>
      <c r="E1802" s="3" t="inlineStr">
        <is>
          <t>Flight No</t>
        </is>
      </c>
      <c r="F1802" s="3" t="inlineStr">
        <is>
          <t>Dep Stn</t>
        </is>
      </c>
      <c r="G1802" s="3" t="inlineStr">
        <is>
          <t>Arr Stn</t>
        </is>
      </c>
      <c r="H1802" s="3" t="inlineStr">
        <is>
          <t>STD</t>
        </is>
      </c>
      <c r="I1802" s="3" t="inlineStr">
        <is>
          <t>STA</t>
        </is>
      </c>
      <c r="J1802" s="3" t="inlineStr">
        <is>
          <t>subflota</t>
        </is>
      </c>
      <c r="K1802" s="3" t="inlineStr">
        <is>
          <t>Conexion</t>
        </is>
      </c>
      <c r="L1802" s="3" t="inlineStr">
        <is>
          <t>HBT</t>
        </is>
      </c>
    </row>
    <row r="1803">
      <c r="B1803" s="4" t="n">
        <v>1766</v>
      </c>
      <c r="C1803" s="4" t="inlineStr">
        <is>
          <t>20/09/2026</t>
        </is>
      </c>
      <c r="D1803" s="4" t="inlineStr">
        <is>
          <t>domingo</t>
        </is>
      </c>
      <c r="E1803" s="4" t="n">
        <v>2282</v>
      </c>
      <c r="F1803" s="4" t="inlineStr">
        <is>
          <t>LIM</t>
        </is>
      </c>
      <c r="G1803" s="4" t="inlineStr">
        <is>
          <t>CIX</t>
        </is>
      </c>
      <c r="H1803" s="4" t="inlineStr">
        <is>
          <t>14:35:00</t>
        </is>
      </c>
      <c r="I1803" s="4" t="inlineStr">
        <is>
          <t>16:05:00</t>
        </is>
      </c>
      <c r="J1803" s="4" t="n">
        <v>320</v>
      </c>
      <c r="L1803" s="4" t="inlineStr">
        <is>
          <t>01:30:00</t>
        </is>
      </c>
      <c r="M1803" s="5" t="n"/>
      <c r="N1803" s="6" t="n"/>
      <c r="O1803" s="5" t="n"/>
      <c r="Q1803" s="4">
        <f>B1803</f>
        <v/>
      </c>
      <c r="R1803" s="4">
        <f>C1803</f>
        <v/>
      </c>
      <c r="S1803" s="4">
        <f>D1803</f>
        <v/>
      </c>
      <c r="T1803" s="4">
        <f>E1803&amp;"/"&amp;E1804</f>
        <v/>
      </c>
      <c r="U1803" s="4">
        <f>F1803&amp;"-"&amp;G1803&amp;"-"&amp;F1803</f>
        <v/>
      </c>
      <c r="V1803" s="4">
        <f>IF($M$1803="","",$M$1803)</f>
        <v/>
      </c>
      <c r="W1803" s="4">
        <f>IF($O$1803="","",$O$1803)</f>
        <v/>
      </c>
      <c r="X1803" s="4">
        <f>J1803</f>
        <v/>
      </c>
    </row>
    <row r="1804">
      <c r="B1804" s="4" t="n">
        <v>1766</v>
      </c>
      <c r="C1804" s="4" t="inlineStr">
        <is>
          <t>20/09/2026</t>
        </is>
      </c>
      <c r="D1804" s="4" t="inlineStr">
        <is>
          <t>domingo</t>
        </is>
      </c>
      <c r="E1804" s="4" t="n">
        <v>2283</v>
      </c>
      <c r="F1804" s="4" t="inlineStr">
        <is>
          <t>CIX</t>
        </is>
      </c>
      <c r="G1804" s="4" t="inlineStr">
        <is>
          <t>LIM</t>
        </is>
      </c>
      <c r="H1804" s="4" t="inlineStr">
        <is>
          <t>16:50:00</t>
        </is>
      </c>
      <c r="I1804" s="4" t="inlineStr">
        <is>
          <t>18:10:00</t>
        </is>
      </c>
      <c r="J1804" s="4" t="n">
        <v>320</v>
      </c>
      <c r="K1804">
        <f>TEXT(TIMEVALUE(H1804)-TIMEVALUE(I1803)+(TIMEVALUE(H1804)&lt;TIMEVALUE(I1803)),"[h]:mm")</f>
        <v/>
      </c>
      <c r="L1804" s="4" t="inlineStr">
        <is>
          <t>01:20:00</t>
        </is>
      </c>
      <c r="O1804">
        <f>"LIM-"&amp;G1803&amp;"-LIM   LA "&amp;E1803&amp;" ("&amp;LEFT(H1803,5)&amp;"-"&amp;LEFT(I1803,5)&amp;" hrs)  /  LA "&amp;E1804&amp;" ("&amp;LEFT(H1804,5)&amp;"-"&amp;LEFT(I1804,5)&amp;" hrs)"</f>
        <v/>
      </c>
    </row>
    <row r="1805">
      <c r="J1805" s="8" t="inlineStr">
        <is>
          <t>PSV total:</t>
        </is>
      </c>
      <c r="K1805" s="9">
        <f>TEXT(TIMEVALUE(I1804)-TIMEVALUE(H1803)+(I1804&lt;H1803),"[h]:mm")</f>
        <v/>
      </c>
    </row>
    <row r="1807">
      <c r="B1807" s="3" t="inlineStr">
        <is>
          <t>Pairing ID</t>
        </is>
      </c>
      <c r="C1807" s="3" t="inlineStr">
        <is>
          <t>FECHA REAL</t>
        </is>
      </c>
      <c r="D1807" s="3" t="inlineStr">
        <is>
          <t>Day of Week</t>
        </is>
      </c>
      <c r="E1807" s="3" t="inlineStr">
        <is>
          <t>Flight No</t>
        </is>
      </c>
      <c r="F1807" s="3" t="inlineStr">
        <is>
          <t>Dep Stn</t>
        </is>
      </c>
      <c r="G1807" s="3" t="inlineStr">
        <is>
          <t>Arr Stn</t>
        </is>
      </c>
      <c r="H1807" s="3" t="inlineStr">
        <is>
          <t>STD</t>
        </is>
      </c>
      <c r="I1807" s="3" t="inlineStr">
        <is>
          <t>STA</t>
        </is>
      </c>
      <c r="J1807" s="3" t="inlineStr">
        <is>
          <t>subflota</t>
        </is>
      </c>
      <c r="K1807" s="3" t="inlineStr">
        <is>
          <t>Conexion</t>
        </is>
      </c>
      <c r="L1807" s="3" t="inlineStr">
        <is>
          <t>HBT</t>
        </is>
      </c>
    </row>
    <row r="1808">
      <c r="B1808" s="4" t="n">
        <v>1767</v>
      </c>
      <c r="C1808" s="4" t="inlineStr">
        <is>
          <t>20/09/2026</t>
        </is>
      </c>
      <c r="D1808" s="4" t="inlineStr">
        <is>
          <t>domingo</t>
        </is>
      </c>
      <c r="E1808" s="4" t="n">
        <v>2282</v>
      </c>
      <c r="F1808" s="4" t="inlineStr">
        <is>
          <t>LIM</t>
        </is>
      </c>
      <c r="G1808" s="4" t="inlineStr">
        <is>
          <t>CIX</t>
        </is>
      </c>
      <c r="H1808" s="4" t="inlineStr">
        <is>
          <t>14:35:00</t>
        </is>
      </c>
      <c r="I1808" s="4" t="inlineStr">
        <is>
          <t>16:05:00</t>
        </is>
      </c>
      <c r="J1808" s="4" t="n">
        <v>320</v>
      </c>
      <c r="L1808" s="4" t="inlineStr">
        <is>
          <t>01:30:00</t>
        </is>
      </c>
      <c r="M1808" s="5" t="n"/>
      <c r="N1808" s="6" t="n"/>
      <c r="O1808" s="5" t="n"/>
      <c r="Q1808" s="4">
        <f>B1808</f>
        <v/>
      </c>
      <c r="R1808" s="4">
        <f>C1808</f>
        <v/>
      </c>
      <c r="S1808" s="4">
        <f>D1808</f>
        <v/>
      </c>
      <c r="T1808" s="4">
        <f>E1808&amp;"/"&amp;E1809</f>
        <v/>
      </c>
      <c r="U1808" s="4">
        <f>F1808&amp;"-"&amp;G1808&amp;"-"&amp;F1808</f>
        <v/>
      </c>
      <c r="V1808" s="4">
        <f>IF($M$1808="","",$M$1808)</f>
        <v/>
      </c>
      <c r="W1808" s="4">
        <f>IF($O$1808="","",$O$1808)</f>
        <v/>
      </c>
      <c r="X1808" s="4">
        <f>J1808</f>
        <v/>
      </c>
    </row>
    <row r="1809">
      <c r="B1809" s="4" t="n">
        <v>1767</v>
      </c>
      <c r="C1809" s="4" t="inlineStr">
        <is>
          <t>20/09/2026</t>
        </is>
      </c>
      <c r="D1809" s="4" t="inlineStr">
        <is>
          <t>domingo</t>
        </is>
      </c>
      <c r="E1809" s="4" t="n">
        <v>2283</v>
      </c>
      <c r="F1809" s="4" t="inlineStr">
        <is>
          <t>CIX</t>
        </is>
      </c>
      <c r="G1809" s="4" t="inlineStr">
        <is>
          <t>LIM</t>
        </is>
      </c>
      <c r="H1809" s="4" t="inlineStr">
        <is>
          <t>16:50:00</t>
        </is>
      </c>
      <c r="I1809" s="4" t="inlineStr">
        <is>
          <t>18:10:00</t>
        </is>
      </c>
      <c r="J1809" s="4" t="n">
        <v>320</v>
      </c>
      <c r="K1809">
        <f>TEXT(TIMEVALUE(H1809)-TIMEVALUE(I1808)+(TIMEVALUE(H1809)&lt;TIMEVALUE(I1808)),"[h]:mm")</f>
        <v/>
      </c>
      <c r="L1809" s="4" t="inlineStr">
        <is>
          <t>01:20:00</t>
        </is>
      </c>
      <c r="O1809">
        <f>"LIM-"&amp;G1808&amp;"-LIM   LA "&amp;E1808&amp;" ("&amp;LEFT(H1808,5)&amp;"-"&amp;LEFT(I1808,5)&amp;" hrs)  /  LA "&amp;E1809&amp;" ("&amp;LEFT(H1809,5)&amp;"-"&amp;LEFT(I1809,5)&amp;" hrs)"</f>
        <v/>
      </c>
    </row>
    <row r="1810">
      <c r="J1810" s="8" t="inlineStr">
        <is>
          <t>PSV total:</t>
        </is>
      </c>
      <c r="K1810" s="9">
        <f>TEXT(TIMEVALUE(I1809)-TIMEVALUE(H1808)+(I1809&lt;H1808),"[h]:mm")</f>
        <v/>
      </c>
    </row>
    <row r="1812">
      <c r="B1812" s="3" t="inlineStr">
        <is>
          <t>Pairing ID</t>
        </is>
      </c>
      <c r="C1812" s="3" t="inlineStr">
        <is>
          <t>FECHA REAL</t>
        </is>
      </c>
      <c r="D1812" s="3" t="inlineStr">
        <is>
          <t>Day of Week</t>
        </is>
      </c>
      <c r="E1812" s="3" t="inlineStr">
        <is>
          <t>Flight No</t>
        </is>
      </c>
      <c r="F1812" s="3" t="inlineStr">
        <is>
          <t>Dep Stn</t>
        </is>
      </c>
      <c r="G1812" s="3" t="inlineStr">
        <is>
          <t>Arr Stn</t>
        </is>
      </c>
      <c r="H1812" s="3" t="inlineStr">
        <is>
          <t>STD</t>
        </is>
      </c>
      <c r="I1812" s="3" t="inlineStr">
        <is>
          <t>STA</t>
        </is>
      </c>
      <c r="J1812" s="3" t="inlineStr">
        <is>
          <t>subflota</t>
        </is>
      </c>
      <c r="K1812" s="3" t="inlineStr">
        <is>
          <t>Conexion</t>
        </is>
      </c>
      <c r="L1812" s="3" t="inlineStr">
        <is>
          <t>HBT</t>
        </is>
      </c>
    </row>
    <row r="1813">
      <c r="B1813" s="4" t="n">
        <v>1768</v>
      </c>
      <c r="C1813" s="4" t="inlineStr">
        <is>
          <t>20/09/2026</t>
        </is>
      </c>
      <c r="D1813" s="4" t="inlineStr">
        <is>
          <t>domingo</t>
        </is>
      </c>
      <c r="E1813" s="4" t="n">
        <v>2022</v>
      </c>
      <c r="F1813" s="4" t="inlineStr">
        <is>
          <t>LIM</t>
        </is>
      </c>
      <c r="G1813" s="4" t="inlineStr">
        <is>
          <t>CUZ</t>
        </is>
      </c>
      <c r="H1813" s="4" t="inlineStr">
        <is>
          <t>14:50:00</t>
        </is>
      </c>
      <c r="I1813" s="4" t="inlineStr">
        <is>
          <t>16:10:00</t>
        </is>
      </c>
      <c r="J1813" s="4" t="n">
        <v>320</v>
      </c>
      <c r="L1813" s="4" t="inlineStr">
        <is>
          <t>01:20:00</t>
        </is>
      </c>
      <c r="M1813" s="5" t="n"/>
      <c r="N1813" s="6" t="n"/>
      <c r="O1813" s="5" t="n"/>
      <c r="Q1813" s="4">
        <f>B1813</f>
        <v/>
      </c>
      <c r="R1813" s="4">
        <f>C1813</f>
        <v/>
      </c>
      <c r="S1813" s="4">
        <f>D1813</f>
        <v/>
      </c>
      <c r="T1813" s="4">
        <f>E1813&amp;"/"&amp;E1814</f>
        <v/>
      </c>
      <c r="U1813" s="4">
        <f>F1813&amp;"-"&amp;G1813&amp;"-"&amp;F1813</f>
        <v/>
      </c>
      <c r="V1813" s="4">
        <f>IF($M$1813="","",$M$1813)</f>
        <v/>
      </c>
      <c r="W1813" s="4">
        <f>IF($O$1813="","",$O$1813)</f>
        <v/>
      </c>
      <c r="X1813" s="4">
        <f>J1813</f>
        <v/>
      </c>
    </row>
    <row r="1814">
      <c r="B1814" s="4" t="n">
        <v>1768</v>
      </c>
      <c r="C1814" s="4" t="inlineStr">
        <is>
          <t>20/09/2026</t>
        </is>
      </c>
      <c r="D1814" s="4" t="inlineStr">
        <is>
          <t>domingo</t>
        </is>
      </c>
      <c r="E1814" s="4" t="n">
        <v>2025</v>
      </c>
      <c r="F1814" s="4" t="inlineStr">
        <is>
          <t>CUZ</t>
        </is>
      </c>
      <c r="G1814" s="4" t="inlineStr">
        <is>
          <t>LIM</t>
        </is>
      </c>
      <c r="H1814" s="4" t="inlineStr">
        <is>
          <t>16:55:00</t>
        </is>
      </c>
      <c r="I1814" s="4" t="inlineStr">
        <is>
          <t>18:30:00</t>
        </is>
      </c>
      <c r="J1814" s="4" t="n">
        <v>320</v>
      </c>
      <c r="K1814">
        <f>TEXT(TIMEVALUE(H1814)-TIMEVALUE(I1813)+(TIMEVALUE(H1814)&lt;TIMEVALUE(I1813)),"[h]:mm")</f>
        <v/>
      </c>
      <c r="L1814" s="4" t="inlineStr">
        <is>
          <t>01:35:00</t>
        </is>
      </c>
      <c r="O1814">
        <f>"LIM-"&amp;G1813&amp;"-LIM   LA "&amp;E1813&amp;" ("&amp;LEFT(H1813,5)&amp;"-"&amp;LEFT(I1813,5)&amp;" hrs)  /  LA "&amp;E1814&amp;" ("&amp;LEFT(H1814,5)&amp;"-"&amp;LEFT(I1814,5)&amp;" hrs)"</f>
        <v/>
      </c>
    </row>
    <row r="1815">
      <c r="J1815" s="8" t="inlineStr">
        <is>
          <t>PSV total:</t>
        </is>
      </c>
      <c r="K1815" s="9">
        <f>TEXT(TIMEVALUE(I1814)-TIMEVALUE(H1813)+(I1814&lt;H1813),"[h]:mm")</f>
        <v/>
      </c>
    </row>
    <row r="1817">
      <c r="B1817" s="3" t="inlineStr">
        <is>
          <t>Pairing ID</t>
        </is>
      </c>
      <c r="C1817" s="3" t="inlineStr">
        <is>
          <t>FECHA REAL</t>
        </is>
      </c>
      <c r="D1817" s="3" t="inlineStr">
        <is>
          <t>Day of Week</t>
        </is>
      </c>
      <c r="E1817" s="3" t="inlineStr">
        <is>
          <t>Flight No</t>
        </is>
      </c>
      <c r="F1817" s="3" t="inlineStr">
        <is>
          <t>Dep Stn</t>
        </is>
      </c>
      <c r="G1817" s="3" t="inlineStr">
        <is>
          <t>Arr Stn</t>
        </is>
      </c>
      <c r="H1817" s="3" t="inlineStr">
        <is>
          <t>STD</t>
        </is>
      </c>
      <c r="I1817" s="3" t="inlineStr">
        <is>
          <t>STA</t>
        </is>
      </c>
      <c r="J1817" s="3" t="inlineStr">
        <is>
          <t>subflota</t>
        </is>
      </c>
      <c r="K1817" s="3" t="inlineStr">
        <is>
          <t>Conexion</t>
        </is>
      </c>
      <c r="L1817" s="3" t="inlineStr">
        <is>
          <t>HBT</t>
        </is>
      </c>
    </row>
    <row r="1818">
      <c r="B1818" s="4" t="n">
        <v>1770</v>
      </c>
      <c r="C1818" s="4" t="inlineStr">
        <is>
          <t>20/09/2026</t>
        </is>
      </c>
      <c r="D1818" s="4" t="inlineStr">
        <is>
          <t>domingo</t>
        </is>
      </c>
      <c r="E1818" s="4" t="n">
        <v>2338</v>
      </c>
      <c r="F1818" s="4" t="inlineStr">
        <is>
          <t>LIM</t>
        </is>
      </c>
      <c r="G1818" s="4" t="inlineStr">
        <is>
          <t>PIU</t>
        </is>
      </c>
      <c r="H1818" s="4" t="inlineStr">
        <is>
          <t>15:00:00</t>
        </is>
      </c>
      <c r="I1818" s="4" t="inlineStr">
        <is>
          <t>16:45:00</t>
        </is>
      </c>
      <c r="J1818" s="4" t="n">
        <v>319</v>
      </c>
      <c r="L1818" s="4" t="inlineStr">
        <is>
          <t>01:45:00</t>
        </is>
      </c>
      <c r="M1818" s="5" t="n"/>
      <c r="N1818" s="6" t="n"/>
      <c r="O1818" s="5" t="n"/>
      <c r="Q1818" s="4">
        <f>B1818</f>
        <v/>
      </c>
      <c r="R1818" s="4">
        <f>C1818</f>
        <v/>
      </c>
      <c r="S1818" s="4">
        <f>D1818</f>
        <v/>
      </c>
      <c r="T1818" s="4">
        <f>E1818&amp;"/"&amp;E1819</f>
        <v/>
      </c>
      <c r="U1818" s="4">
        <f>F1818&amp;"-"&amp;G1818&amp;"-"&amp;F1818</f>
        <v/>
      </c>
      <c r="V1818" s="4">
        <f>IF($M$1818="","",$M$1818)</f>
        <v/>
      </c>
      <c r="W1818" s="4">
        <f>IF($O$1818="","",$O$1818)</f>
        <v/>
      </c>
      <c r="X1818" s="4">
        <f>J1818</f>
        <v/>
      </c>
    </row>
    <row r="1819">
      <c r="B1819" s="4" t="n">
        <v>1770</v>
      </c>
      <c r="C1819" s="4" t="inlineStr">
        <is>
          <t>20/09/2026</t>
        </is>
      </c>
      <c r="D1819" s="4" t="inlineStr">
        <is>
          <t>domingo</t>
        </is>
      </c>
      <c r="E1819" s="4" t="n">
        <v>2339</v>
      </c>
      <c r="F1819" s="4" t="inlineStr">
        <is>
          <t>PIU</t>
        </is>
      </c>
      <c r="G1819" s="4" t="inlineStr">
        <is>
          <t>LIM</t>
        </is>
      </c>
      <c r="H1819" s="4" t="inlineStr">
        <is>
          <t>17:20:00</t>
        </is>
      </c>
      <c r="I1819" s="4" t="inlineStr">
        <is>
          <t>18:50:00</t>
        </is>
      </c>
      <c r="J1819" s="4" t="n">
        <v>319</v>
      </c>
      <c r="K1819">
        <f>TEXT(TIMEVALUE(H1819)-TIMEVALUE(I1818)+(TIMEVALUE(H1819)&lt;TIMEVALUE(I1818)),"[h]:mm")</f>
        <v/>
      </c>
      <c r="L1819" s="4" t="inlineStr">
        <is>
          <t>01:30:00</t>
        </is>
      </c>
      <c r="O1819">
        <f>"LIM-"&amp;G1818&amp;"-LIM   LA "&amp;E1818&amp;" ("&amp;LEFT(H1818,5)&amp;"-"&amp;LEFT(I1818,5)&amp;" hrs)  /  LA "&amp;E1819&amp;" ("&amp;LEFT(H1819,5)&amp;"-"&amp;LEFT(I1819,5)&amp;" hrs)"</f>
        <v/>
      </c>
    </row>
    <row r="1820">
      <c r="J1820" s="8" t="inlineStr">
        <is>
          <t>PSV total:</t>
        </is>
      </c>
      <c r="K1820" s="9">
        <f>TEXT(TIMEVALUE(I1819)-TIMEVALUE(H1818)+(I1819&lt;H1818),"[h]:mm")</f>
        <v/>
      </c>
    </row>
    <row r="1822">
      <c r="B1822" s="3" t="inlineStr">
        <is>
          <t>Pairing ID</t>
        </is>
      </c>
      <c r="C1822" s="3" t="inlineStr">
        <is>
          <t>FECHA REAL</t>
        </is>
      </c>
      <c r="D1822" s="3" t="inlineStr">
        <is>
          <t>Day of Week</t>
        </is>
      </c>
      <c r="E1822" s="3" t="inlineStr">
        <is>
          <t>Flight No</t>
        </is>
      </c>
      <c r="F1822" s="3" t="inlineStr">
        <is>
          <t>Dep Stn</t>
        </is>
      </c>
      <c r="G1822" s="3" t="inlineStr">
        <is>
          <t>Arr Stn</t>
        </is>
      </c>
      <c r="H1822" s="3" t="inlineStr">
        <is>
          <t>STD</t>
        </is>
      </c>
      <c r="I1822" s="3" t="inlineStr">
        <is>
          <t>STA</t>
        </is>
      </c>
      <c r="J1822" s="3" t="inlineStr">
        <is>
          <t>subflota</t>
        </is>
      </c>
      <c r="K1822" s="3" t="inlineStr">
        <is>
          <t>Conexion</t>
        </is>
      </c>
      <c r="L1822" s="3" t="inlineStr">
        <is>
          <t>HBT</t>
        </is>
      </c>
    </row>
    <row r="1823">
      <c r="B1823" s="4" t="n">
        <v>1771</v>
      </c>
      <c r="C1823" s="4" t="inlineStr">
        <is>
          <t>20/09/2026</t>
        </is>
      </c>
      <c r="D1823" s="4" t="inlineStr">
        <is>
          <t>domingo</t>
        </is>
      </c>
      <c r="E1823" s="4" t="n">
        <v>2248</v>
      </c>
      <c r="F1823" s="4" t="inlineStr">
        <is>
          <t>LIM</t>
        </is>
      </c>
      <c r="G1823" s="4" t="inlineStr">
        <is>
          <t>CUZ</t>
        </is>
      </c>
      <c r="H1823" s="4" t="inlineStr">
        <is>
          <t>15:00:00</t>
        </is>
      </c>
      <c r="I1823" s="4" t="inlineStr">
        <is>
          <t>16:20:00</t>
        </is>
      </c>
      <c r="J1823" s="4" t="n">
        <v>320</v>
      </c>
      <c r="L1823" s="4" t="inlineStr">
        <is>
          <t>01:20:00</t>
        </is>
      </c>
      <c r="M1823" s="5" t="n"/>
      <c r="N1823" s="6" t="n"/>
      <c r="O1823" s="5" t="n"/>
      <c r="Q1823" s="4">
        <f>B1823</f>
        <v/>
      </c>
      <c r="R1823" s="4">
        <f>C1823</f>
        <v/>
      </c>
      <c r="S1823" s="4">
        <f>D1823</f>
        <v/>
      </c>
      <c r="T1823" s="4">
        <f>E1823&amp;"/"&amp;E1824</f>
        <v/>
      </c>
      <c r="U1823" s="4">
        <f>F1823&amp;"-"&amp;G1823&amp;"-"&amp;F1823</f>
        <v/>
      </c>
      <c r="V1823" s="4">
        <f>IF($M$1823="","",$M$1823)</f>
        <v/>
      </c>
      <c r="W1823" s="4">
        <f>IF($O$1823="","",$O$1823)</f>
        <v/>
      </c>
      <c r="X1823" s="4">
        <f>J1823</f>
        <v/>
      </c>
    </row>
    <row r="1824">
      <c r="B1824" s="4" t="n">
        <v>1771</v>
      </c>
      <c r="C1824" s="4" t="inlineStr">
        <is>
          <t>20/09/2026</t>
        </is>
      </c>
      <c r="D1824" s="4" t="inlineStr">
        <is>
          <t>domingo</t>
        </is>
      </c>
      <c r="E1824" s="4" t="n">
        <v>2249</v>
      </c>
      <c r="F1824" s="4" t="inlineStr">
        <is>
          <t>CUZ</t>
        </is>
      </c>
      <c r="G1824" s="4" t="inlineStr">
        <is>
          <t>LIM</t>
        </is>
      </c>
      <c r="H1824" s="4" t="inlineStr">
        <is>
          <t>17:00:00</t>
        </is>
      </c>
      <c r="I1824" s="4" t="inlineStr">
        <is>
          <t>18:35:00</t>
        </is>
      </c>
      <c r="J1824" s="4" t="n">
        <v>320</v>
      </c>
      <c r="K1824">
        <f>TEXT(TIMEVALUE(H1824)-TIMEVALUE(I1823)+(TIMEVALUE(H1824)&lt;TIMEVALUE(I1823)),"[h]:mm")</f>
        <v/>
      </c>
      <c r="L1824" s="4" t="inlineStr">
        <is>
          <t>01:35:00</t>
        </is>
      </c>
      <c r="O1824">
        <f>"LIM-"&amp;G1823&amp;"-LIM   LA "&amp;E1823&amp;" ("&amp;LEFT(H1823,5)&amp;"-"&amp;LEFT(I1823,5)&amp;" hrs)  /  LA "&amp;E1824&amp;" ("&amp;LEFT(H1824,5)&amp;"-"&amp;LEFT(I1824,5)&amp;" hrs)"</f>
        <v/>
      </c>
    </row>
    <row r="1825">
      <c r="J1825" s="8" t="inlineStr">
        <is>
          <t>PSV total:</t>
        </is>
      </c>
      <c r="K1825" s="9">
        <f>TEXT(TIMEVALUE(I1824)-TIMEVALUE(H1823)+(I1824&lt;H1823),"[h]:mm")</f>
        <v/>
      </c>
    </row>
    <row r="1827">
      <c r="B1827" s="3" t="inlineStr">
        <is>
          <t>Pairing ID</t>
        </is>
      </c>
      <c r="C1827" s="3" t="inlineStr">
        <is>
          <t>FECHA REAL</t>
        </is>
      </c>
      <c r="D1827" s="3" t="inlineStr">
        <is>
          <t>Day of Week</t>
        </is>
      </c>
      <c r="E1827" s="3" t="inlineStr">
        <is>
          <t>Flight No</t>
        </is>
      </c>
      <c r="F1827" s="3" t="inlineStr">
        <is>
          <t>Dep Stn</t>
        </is>
      </c>
      <c r="G1827" s="3" t="inlineStr">
        <is>
          <t>Arr Stn</t>
        </is>
      </c>
      <c r="H1827" s="3" t="inlineStr">
        <is>
          <t>STD</t>
        </is>
      </c>
      <c r="I1827" s="3" t="inlineStr">
        <is>
          <t>STA</t>
        </is>
      </c>
      <c r="J1827" s="3" t="inlineStr">
        <is>
          <t>subflota</t>
        </is>
      </c>
      <c r="K1827" s="3" t="inlineStr">
        <is>
          <t>Conexion</t>
        </is>
      </c>
      <c r="L1827" s="3" t="inlineStr">
        <is>
          <t>HBT</t>
        </is>
      </c>
    </row>
    <row r="1828">
      <c r="B1828" s="4" t="n">
        <v>1772</v>
      </c>
      <c r="C1828" s="4" t="inlineStr">
        <is>
          <t>20/09/2026</t>
        </is>
      </c>
      <c r="D1828" s="4" t="inlineStr">
        <is>
          <t>domingo</t>
        </is>
      </c>
      <c r="E1828" s="4" t="n">
        <v>2113</v>
      </c>
      <c r="F1828" s="4" t="inlineStr">
        <is>
          <t>LIM</t>
        </is>
      </c>
      <c r="G1828" s="4" t="inlineStr">
        <is>
          <t>AQP</t>
        </is>
      </c>
      <c r="H1828" s="4" t="inlineStr">
        <is>
          <t>15:05:00</t>
        </is>
      </c>
      <c r="I1828" s="4" t="inlineStr">
        <is>
          <t>16:35:00</t>
        </is>
      </c>
      <c r="J1828" s="4" t="n">
        <v>319</v>
      </c>
      <c r="L1828" s="4" t="inlineStr">
        <is>
          <t>01:30:00</t>
        </is>
      </c>
      <c r="M1828" s="5" t="n"/>
      <c r="N1828" s="6" t="n"/>
      <c r="O1828" s="5" t="n"/>
      <c r="Q1828" s="4">
        <f>B1828</f>
        <v/>
      </c>
      <c r="R1828" s="4">
        <f>C1828</f>
        <v/>
      </c>
      <c r="S1828" s="4">
        <f>D1828</f>
        <v/>
      </c>
      <c r="T1828" s="4">
        <f>E1828&amp;"/"&amp;E1829</f>
        <v/>
      </c>
      <c r="U1828" s="4">
        <f>F1828&amp;"-"&amp;G1828&amp;"-"&amp;F1828</f>
        <v/>
      </c>
      <c r="V1828" s="4">
        <f>IF($M$1828="","",$M$1828)</f>
        <v/>
      </c>
      <c r="W1828" s="4">
        <f>IF($O$1828="","",$O$1828)</f>
        <v/>
      </c>
      <c r="X1828" s="4">
        <f>J1828</f>
        <v/>
      </c>
    </row>
    <row r="1829">
      <c r="B1829" s="4" t="n">
        <v>1772</v>
      </c>
      <c r="C1829" s="4" t="inlineStr">
        <is>
          <t>20/09/2026</t>
        </is>
      </c>
      <c r="D1829" s="4" t="inlineStr">
        <is>
          <t>domingo</t>
        </is>
      </c>
      <c r="E1829" s="4" t="n">
        <v>2112</v>
      </c>
      <c r="F1829" s="4" t="inlineStr">
        <is>
          <t>AQP</t>
        </is>
      </c>
      <c r="G1829" s="4" t="inlineStr">
        <is>
          <t>LIM</t>
        </is>
      </c>
      <c r="H1829" s="4" t="inlineStr">
        <is>
          <t>17:15:00</t>
        </is>
      </c>
      <c r="I1829" s="4" t="inlineStr">
        <is>
          <t>18:55:00</t>
        </is>
      </c>
      <c r="J1829" s="4" t="n">
        <v>319</v>
      </c>
      <c r="K1829">
        <f>TEXT(TIMEVALUE(H1829)-TIMEVALUE(I1828)+(TIMEVALUE(H1829)&lt;TIMEVALUE(I1828)),"[h]:mm")</f>
        <v/>
      </c>
      <c r="L1829" s="4" t="inlineStr">
        <is>
          <t>01:40:00</t>
        </is>
      </c>
      <c r="O1829">
        <f>"LIM-"&amp;G1828&amp;"-LIM   LA "&amp;E1828&amp;" ("&amp;LEFT(H1828,5)&amp;"-"&amp;LEFT(I1828,5)&amp;" hrs)  /  LA "&amp;E1829&amp;" ("&amp;LEFT(H1829,5)&amp;"-"&amp;LEFT(I1829,5)&amp;" hrs)"</f>
        <v/>
      </c>
    </row>
    <row r="1830">
      <c r="J1830" s="8" t="inlineStr">
        <is>
          <t>PSV total:</t>
        </is>
      </c>
      <c r="K1830" s="9">
        <f>TEXT(TIMEVALUE(I1829)-TIMEVALUE(H1828)+(I1829&lt;H1828),"[h]:mm")</f>
        <v/>
      </c>
    </row>
    <row r="1832">
      <c r="B1832" s="3" t="inlineStr">
        <is>
          <t>Pairing ID</t>
        </is>
      </c>
      <c r="C1832" s="3" t="inlineStr">
        <is>
          <t>FECHA REAL</t>
        </is>
      </c>
      <c r="D1832" s="3" t="inlineStr">
        <is>
          <t>Day of Week</t>
        </is>
      </c>
      <c r="E1832" s="3" t="inlineStr">
        <is>
          <t>Flight No</t>
        </is>
      </c>
      <c r="F1832" s="3" t="inlineStr">
        <is>
          <t>Dep Stn</t>
        </is>
      </c>
      <c r="G1832" s="3" t="inlineStr">
        <is>
          <t>Arr Stn</t>
        </is>
      </c>
      <c r="H1832" s="3" t="inlineStr">
        <is>
          <t>STD</t>
        </is>
      </c>
      <c r="I1832" s="3" t="inlineStr">
        <is>
          <t>STA</t>
        </is>
      </c>
      <c r="J1832" s="3" t="inlineStr">
        <is>
          <t>subflota</t>
        </is>
      </c>
      <c r="K1832" s="3" t="inlineStr">
        <is>
          <t>Conexion</t>
        </is>
      </c>
      <c r="L1832" s="3" t="inlineStr">
        <is>
          <t>HBT</t>
        </is>
      </c>
    </row>
    <row r="1833">
      <c r="B1833" s="4" t="n">
        <v>1774</v>
      </c>
      <c r="C1833" s="4" t="inlineStr">
        <is>
          <t>20/09/2026</t>
        </is>
      </c>
      <c r="D1833" s="4" t="inlineStr">
        <is>
          <t>domingo</t>
        </is>
      </c>
      <c r="E1833" s="4" t="n">
        <v>2297</v>
      </c>
      <c r="F1833" s="4" t="inlineStr">
        <is>
          <t>LIM</t>
        </is>
      </c>
      <c r="G1833" s="4" t="inlineStr">
        <is>
          <t>CJA</t>
        </is>
      </c>
      <c r="H1833" s="4" t="inlineStr">
        <is>
          <t>15:15:00</t>
        </is>
      </c>
      <c r="I1833" s="4" t="inlineStr">
        <is>
          <t>16:35:00</t>
        </is>
      </c>
      <c r="J1833" s="4" t="n">
        <v>319</v>
      </c>
      <c r="L1833" s="4" t="inlineStr">
        <is>
          <t>01:20:00</t>
        </is>
      </c>
      <c r="M1833" s="5" t="n"/>
      <c r="N1833" s="6" t="n"/>
      <c r="O1833" s="5" t="n"/>
      <c r="Q1833" s="4">
        <f>B1833</f>
        <v/>
      </c>
      <c r="R1833" s="4">
        <f>C1833</f>
        <v/>
      </c>
      <c r="S1833" s="4">
        <f>D1833</f>
        <v/>
      </c>
      <c r="T1833" s="4">
        <f>E1833&amp;"/"&amp;E1834</f>
        <v/>
      </c>
      <c r="U1833" s="4">
        <f>F1833&amp;"-"&amp;G1833&amp;"-"&amp;F1833</f>
        <v/>
      </c>
      <c r="V1833" s="4">
        <f>IF($M$1833="","",$M$1833)</f>
        <v/>
      </c>
      <c r="W1833" s="4">
        <f>IF($O$1833="","",$O$1833)</f>
        <v/>
      </c>
      <c r="X1833" s="4">
        <f>J1833</f>
        <v/>
      </c>
    </row>
    <row r="1834">
      <c r="B1834" s="4" t="n">
        <v>1774</v>
      </c>
      <c r="C1834" s="4" t="inlineStr">
        <is>
          <t>20/09/2026</t>
        </is>
      </c>
      <c r="D1834" s="4" t="inlineStr">
        <is>
          <t>domingo</t>
        </is>
      </c>
      <c r="E1834" s="4" t="n">
        <v>2296</v>
      </c>
      <c r="F1834" s="4" t="inlineStr">
        <is>
          <t>CJA</t>
        </is>
      </c>
      <c r="G1834" s="4" t="inlineStr">
        <is>
          <t>LIM</t>
        </is>
      </c>
      <c r="H1834" s="4" t="inlineStr">
        <is>
          <t>17:20:00</t>
        </is>
      </c>
      <c r="I1834" s="4" t="inlineStr">
        <is>
          <t>18:25:00</t>
        </is>
      </c>
      <c r="J1834" s="4" t="n">
        <v>319</v>
      </c>
      <c r="K1834">
        <f>TEXT(TIMEVALUE(H1834)-TIMEVALUE(I1833)+(TIMEVALUE(H1834)&lt;TIMEVALUE(I1833)),"[h]:mm")</f>
        <v/>
      </c>
      <c r="L1834" s="4" t="inlineStr">
        <is>
          <t>01:05:00</t>
        </is>
      </c>
      <c r="O1834">
        <f>"LIM-"&amp;G1833&amp;"-LIM   LA "&amp;E1833&amp;" ("&amp;LEFT(H1833,5)&amp;"-"&amp;LEFT(I1833,5)&amp;" hrs)  /  LA "&amp;E1834&amp;" ("&amp;LEFT(H1834,5)&amp;"-"&amp;LEFT(I1834,5)&amp;" hrs)"</f>
        <v/>
      </c>
    </row>
    <row r="1835">
      <c r="J1835" s="8" t="inlineStr">
        <is>
          <t>PSV total:</t>
        </is>
      </c>
      <c r="K1835" s="9">
        <f>TEXT(TIMEVALUE(I1834)-TIMEVALUE(H1833)+(I1834&lt;H1833),"[h]:mm")</f>
        <v/>
      </c>
    </row>
    <row r="1837">
      <c r="B1837" s="3" t="inlineStr">
        <is>
          <t>Pairing ID</t>
        </is>
      </c>
      <c r="C1837" s="3" t="inlineStr">
        <is>
          <t>FECHA REAL</t>
        </is>
      </c>
      <c r="D1837" s="3" t="inlineStr">
        <is>
          <t>Day of Week</t>
        </is>
      </c>
      <c r="E1837" s="3" t="inlineStr">
        <is>
          <t>Flight No</t>
        </is>
      </c>
      <c r="F1837" s="3" t="inlineStr">
        <is>
          <t>Dep Stn</t>
        </is>
      </c>
      <c r="G1837" s="3" t="inlineStr">
        <is>
          <t>Arr Stn</t>
        </is>
      </c>
      <c r="H1837" s="3" t="inlineStr">
        <is>
          <t>STD</t>
        </is>
      </c>
      <c r="I1837" s="3" t="inlineStr">
        <is>
          <t>STA</t>
        </is>
      </c>
      <c r="J1837" s="3" t="inlineStr">
        <is>
          <t>subflota</t>
        </is>
      </c>
      <c r="K1837" s="3" t="inlineStr">
        <is>
          <t>Conexion</t>
        </is>
      </c>
      <c r="L1837" s="3" t="inlineStr">
        <is>
          <t>HBT</t>
        </is>
      </c>
    </row>
    <row r="1838">
      <c r="B1838" s="4" t="n">
        <v>1775</v>
      </c>
      <c r="C1838" s="4" t="inlineStr">
        <is>
          <t>20/09/2026</t>
        </is>
      </c>
      <c r="D1838" s="4" t="inlineStr">
        <is>
          <t>domingo</t>
        </is>
      </c>
      <c r="E1838" s="4" t="n">
        <v>2360</v>
      </c>
      <c r="F1838" s="4" t="inlineStr">
        <is>
          <t>LIM</t>
        </is>
      </c>
      <c r="G1838" s="4" t="inlineStr">
        <is>
          <t>PCL</t>
        </is>
      </c>
      <c r="H1838" s="4" t="inlineStr">
        <is>
          <t>15:25:00</t>
        </is>
      </c>
      <c r="I1838" s="4" t="inlineStr">
        <is>
          <t>16:40:00</t>
        </is>
      </c>
      <c r="J1838" s="4" t="n">
        <v>320</v>
      </c>
      <c r="L1838" s="4" t="inlineStr">
        <is>
          <t>01:15:00</t>
        </is>
      </c>
      <c r="M1838" s="5" t="n"/>
      <c r="N1838" s="6" t="n"/>
      <c r="O1838" s="5" t="n"/>
      <c r="Q1838" s="4">
        <f>B1838</f>
        <v/>
      </c>
      <c r="R1838" s="4">
        <f>C1838</f>
        <v/>
      </c>
      <c r="S1838" s="4">
        <f>D1838</f>
        <v/>
      </c>
      <c r="T1838" s="4">
        <f>E1838&amp;"/"&amp;E1839</f>
        <v/>
      </c>
      <c r="U1838" s="4">
        <f>F1838&amp;"-"&amp;G1838&amp;"-"&amp;F1838</f>
        <v/>
      </c>
      <c r="V1838" s="4">
        <f>IF($M$1838="","",$M$1838)</f>
        <v/>
      </c>
      <c r="W1838" s="4">
        <f>IF($O$1838="","",$O$1838)</f>
        <v/>
      </c>
      <c r="X1838" s="4">
        <f>J1838</f>
        <v/>
      </c>
    </row>
    <row r="1839">
      <c r="B1839" s="4" t="n">
        <v>1775</v>
      </c>
      <c r="C1839" s="4" t="inlineStr">
        <is>
          <t>20/09/2026</t>
        </is>
      </c>
      <c r="D1839" s="4" t="inlineStr">
        <is>
          <t>domingo</t>
        </is>
      </c>
      <c r="E1839" s="4" t="n">
        <v>2361</v>
      </c>
      <c r="F1839" s="4" t="inlineStr">
        <is>
          <t>PCL</t>
        </is>
      </c>
      <c r="G1839" s="4" t="inlineStr">
        <is>
          <t>LIM</t>
        </is>
      </c>
      <c r="H1839" s="4" t="inlineStr">
        <is>
          <t>17:20:00</t>
        </is>
      </c>
      <c r="I1839" s="4" t="inlineStr">
        <is>
          <t>18:35:00</t>
        </is>
      </c>
      <c r="J1839" s="4" t="n">
        <v>320</v>
      </c>
      <c r="K1839">
        <f>TEXT(TIMEVALUE(H1839)-TIMEVALUE(I1838)+(TIMEVALUE(H1839)&lt;TIMEVALUE(I1838)),"[h]:mm")</f>
        <v/>
      </c>
      <c r="L1839" s="4" t="inlineStr">
        <is>
          <t>01:15:00</t>
        </is>
      </c>
      <c r="O1839">
        <f>"LIM-"&amp;G1838&amp;"-LIM   LA "&amp;E1838&amp;" ("&amp;LEFT(H1838,5)&amp;"-"&amp;LEFT(I1838,5)&amp;" hrs)  /  LA "&amp;E1839&amp;" ("&amp;LEFT(H1839,5)&amp;"-"&amp;LEFT(I1839,5)&amp;" hrs)"</f>
        <v/>
      </c>
    </row>
    <row r="1840">
      <c r="J1840" s="8" t="inlineStr">
        <is>
          <t>PSV total:</t>
        </is>
      </c>
      <c r="K1840" s="9">
        <f>TEXT(TIMEVALUE(I1839)-TIMEVALUE(H1838)+(I1839&lt;H1838),"[h]:mm")</f>
        <v/>
      </c>
    </row>
    <row r="1842">
      <c r="B1842" s="3" t="inlineStr">
        <is>
          <t>Pairing ID</t>
        </is>
      </c>
      <c r="C1842" s="3" t="inlineStr">
        <is>
          <t>FECHA REAL</t>
        </is>
      </c>
      <c r="D1842" s="3" t="inlineStr">
        <is>
          <t>Day of Week</t>
        </is>
      </c>
      <c r="E1842" s="3" t="inlineStr">
        <is>
          <t>Flight No</t>
        </is>
      </c>
      <c r="F1842" s="3" t="inlineStr">
        <is>
          <t>Dep Stn</t>
        </is>
      </c>
      <c r="G1842" s="3" t="inlineStr">
        <is>
          <t>Arr Stn</t>
        </is>
      </c>
      <c r="H1842" s="3" t="inlineStr">
        <is>
          <t>STD</t>
        </is>
      </c>
      <c r="I1842" s="3" t="inlineStr">
        <is>
          <t>STA</t>
        </is>
      </c>
      <c r="J1842" s="3" t="inlineStr">
        <is>
          <t>subflota</t>
        </is>
      </c>
      <c r="K1842" s="3" t="inlineStr">
        <is>
          <t>Conexion</t>
        </is>
      </c>
      <c r="L1842" s="3" t="inlineStr">
        <is>
          <t>HBT</t>
        </is>
      </c>
    </row>
    <row r="1843">
      <c r="B1843" s="4" t="n">
        <v>1776</v>
      </c>
      <c r="C1843" s="4" t="inlineStr">
        <is>
          <t>20/09/2026</t>
        </is>
      </c>
      <c r="D1843" s="4" t="inlineStr">
        <is>
          <t>domingo</t>
        </is>
      </c>
      <c r="E1843" s="4" t="n">
        <v>2312</v>
      </c>
      <c r="F1843" s="4" t="inlineStr">
        <is>
          <t>LIM</t>
        </is>
      </c>
      <c r="G1843" s="4" t="inlineStr">
        <is>
          <t>CIX</t>
        </is>
      </c>
      <c r="H1843" s="4" t="inlineStr">
        <is>
          <t>15:35:00</t>
        </is>
      </c>
      <c r="I1843" s="4" t="inlineStr">
        <is>
          <t>17:05:00</t>
        </is>
      </c>
      <c r="J1843" s="4" t="n">
        <v>320</v>
      </c>
      <c r="L1843" s="4" t="inlineStr">
        <is>
          <t>01:30:00</t>
        </is>
      </c>
      <c r="M1843" s="5" t="n"/>
      <c r="N1843" s="6" t="n"/>
      <c r="O1843" s="5" t="n"/>
      <c r="Q1843" s="4">
        <f>B1843</f>
        <v/>
      </c>
      <c r="R1843" s="4">
        <f>C1843</f>
        <v/>
      </c>
      <c r="S1843" s="4">
        <f>D1843</f>
        <v/>
      </c>
      <c r="T1843" s="4">
        <f>E1843&amp;"/"&amp;E1844</f>
        <v/>
      </c>
      <c r="U1843" s="4">
        <f>F1843&amp;"-"&amp;G1843&amp;"-"&amp;F1843</f>
        <v/>
      </c>
      <c r="V1843" s="4">
        <f>IF($M$1843="","",$M$1843)</f>
        <v/>
      </c>
      <c r="W1843" s="4">
        <f>IF($O$1843="","",$O$1843)</f>
        <v/>
      </c>
      <c r="X1843" s="4">
        <f>J1843</f>
        <v/>
      </c>
    </row>
    <row r="1844">
      <c r="B1844" s="4" t="n">
        <v>1776</v>
      </c>
      <c r="C1844" s="4" t="inlineStr">
        <is>
          <t>20/09/2026</t>
        </is>
      </c>
      <c r="D1844" s="4" t="inlineStr">
        <is>
          <t>domingo</t>
        </is>
      </c>
      <c r="E1844" s="4" t="n">
        <v>2313</v>
      </c>
      <c r="F1844" s="4" t="inlineStr">
        <is>
          <t>CIX</t>
        </is>
      </c>
      <c r="G1844" s="4" t="inlineStr">
        <is>
          <t>LIM</t>
        </is>
      </c>
      <c r="H1844" s="4" t="inlineStr">
        <is>
          <t>17:50:00</t>
        </is>
      </c>
      <c r="I1844" s="4" t="inlineStr">
        <is>
          <t>19:10:00</t>
        </is>
      </c>
      <c r="J1844" s="4" t="n">
        <v>320</v>
      </c>
      <c r="K1844">
        <f>TEXT(TIMEVALUE(H1844)-TIMEVALUE(I1843)+(TIMEVALUE(H1844)&lt;TIMEVALUE(I1843)),"[h]:mm")</f>
        <v/>
      </c>
      <c r="L1844" s="4" t="inlineStr">
        <is>
          <t>01:20:00</t>
        </is>
      </c>
      <c r="O1844">
        <f>"LIM-"&amp;G1843&amp;"-LIM   LA "&amp;E1843&amp;" ("&amp;LEFT(H1843,5)&amp;"-"&amp;LEFT(I1843,5)&amp;" hrs)  /  LA "&amp;E1844&amp;" ("&amp;LEFT(H1844,5)&amp;"-"&amp;LEFT(I1844,5)&amp;" hrs)"</f>
        <v/>
      </c>
    </row>
    <row r="1845">
      <c r="J1845" s="8" t="inlineStr">
        <is>
          <t>PSV total:</t>
        </is>
      </c>
      <c r="K1845" s="9">
        <f>TEXT(TIMEVALUE(I1844)-TIMEVALUE(H1843)+(I1844&lt;H1843),"[h]:mm")</f>
        <v/>
      </c>
    </row>
    <row r="1847">
      <c r="B1847" s="3" t="inlineStr">
        <is>
          <t>Pairing ID</t>
        </is>
      </c>
      <c r="C1847" s="3" t="inlineStr">
        <is>
          <t>FECHA REAL</t>
        </is>
      </c>
      <c r="D1847" s="3" t="inlineStr">
        <is>
          <t>Day of Week</t>
        </is>
      </c>
      <c r="E1847" s="3" t="inlineStr">
        <is>
          <t>Flight No</t>
        </is>
      </c>
      <c r="F1847" s="3" t="inlineStr">
        <is>
          <t>Dep Stn</t>
        </is>
      </c>
      <c r="G1847" s="3" t="inlineStr">
        <is>
          <t>Arr Stn</t>
        </is>
      </c>
      <c r="H1847" s="3" t="inlineStr">
        <is>
          <t>STD</t>
        </is>
      </c>
      <c r="I1847" s="3" t="inlineStr">
        <is>
          <t>STA</t>
        </is>
      </c>
      <c r="J1847" s="3" t="inlineStr">
        <is>
          <t>subflota</t>
        </is>
      </c>
      <c r="K1847" s="3" t="inlineStr">
        <is>
          <t>Conexion</t>
        </is>
      </c>
      <c r="L1847" s="3" t="inlineStr">
        <is>
          <t>HBT</t>
        </is>
      </c>
    </row>
    <row r="1848">
      <c r="B1848" s="4" t="n">
        <v>1777</v>
      </c>
      <c r="C1848" s="4" t="inlineStr">
        <is>
          <t>20/09/2026</t>
        </is>
      </c>
      <c r="D1848" s="4" t="inlineStr">
        <is>
          <t>domingo</t>
        </is>
      </c>
      <c r="E1848" s="4" t="n">
        <v>2301</v>
      </c>
      <c r="F1848" s="4" t="inlineStr">
        <is>
          <t>LIM</t>
        </is>
      </c>
      <c r="G1848" s="4" t="inlineStr">
        <is>
          <t>TPP</t>
        </is>
      </c>
      <c r="H1848" s="4" t="inlineStr">
        <is>
          <t>15:40:00</t>
        </is>
      </c>
      <c r="I1848" s="4" t="inlineStr">
        <is>
          <t>17:05:00</t>
        </is>
      </c>
      <c r="J1848" s="4" t="n">
        <v>320</v>
      </c>
      <c r="L1848" s="4" t="inlineStr">
        <is>
          <t>01:25:00</t>
        </is>
      </c>
      <c r="M1848" s="5" t="n"/>
      <c r="N1848" s="6" t="n"/>
      <c r="O1848" s="5" t="n"/>
      <c r="Q1848" s="4">
        <f>B1848</f>
        <v/>
      </c>
      <c r="R1848" s="4">
        <f>C1848</f>
        <v/>
      </c>
      <c r="S1848" s="4">
        <f>D1848</f>
        <v/>
      </c>
      <c r="T1848" s="4">
        <f>E1848&amp;"/"&amp;E1849</f>
        <v/>
      </c>
      <c r="U1848" s="4">
        <f>F1848&amp;"-"&amp;G1848&amp;"-"&amp;F1848</f>
        <v/>
      </c>
      <c r="V1848" s="4">
        <f>IF($M$1848="","",$M$1848)</f>
        <v/>
      </c>
      <c r="W1848" s="4">
        <f>IF($O$1848="","",$O$1848)</f>
        <v/>
      </c>
      <c r="X1848" s="4">
        <f>J1848</f>
        <v/>
      </c>
    </row>
    <row r="1849">
      <c r="B1849" s="4" t="n">
        <v>1777</v>
      </c>
      <c r="C1849" s="4" t="inlineStr">
        <is>
          <t>20/09/2026</t>
        </is>
      </c>
      <c r="D1849" s="4" t="inlineStr">
        <is>
          <t>domingo</t>
        </is>
      </c>
      <c r="E1849" s="4" t="n">
        <v>2300</v>
      </c>
      <c r="F1849" s="4" t="inlineStr">
        <is>
          <t>TPP</t>
        </is>
      </c>
      <c r="G1849" s="4" t="inlineStr">
        <is>
          <t>LIM</t>
        </is>
      </c>
      <c r="H1849" s="4" t="inlineStr">
        <is>
          <t>17:50:00</t>
        </is>
      </c>
      <c r="I1849" s="4" t="inlineStr">
        <is>
          <t>19:20:00</t>
        </is>
      </c>
      <c r="J1849" s="4" t="n">
        <v>320</v>
      </c>
      <c r="K1849">
        <f>TEXT(TIMEVALUE(H1849)-TIMEVALUE(I1848)+(TIMEVALUE(H1849)&lt;TIMEVALUE(I1848)),"[h]:mm")</f>
        <v/>
      </c>
      <c r="L1849" s="4" t="inlineStr">
        <is>
          <t>01:30:00</t>
        </is>
      </c>
      <c r="O1849">
        <f>"LIM-"&amp;G1848&amp;"-LIM   LA "&amp;E1848&amp;" ("&amp;LEFT(H1848,5)&amp;"-"&amp;LEFT(I1848,5)&amp;" hrs)  /  LA "&amp;E1849&amp;" ("&amp;LEFT(H1849,5)&amp;"-"&amp;LEFT(I1849,5)&amp;" hrs)"</f>
        <v/>
      </c>
    </row>
    <row r="1850">
      <c r="J1850" s="8" t="inlineStr">
        <is>
          <t>PSV total:</t>
        </is>
      </c>
      <c r="K1850" s="9">
        <f>TEXT(TIMEVALUE(I1849)-TIMEVALUE(H1848)+(I1849&lt;H1848),"[h]:mm")</f>
        <v/>
      </c>
    </row>
    <row r="1852">
      <c r="B1852" s="3" t="inlineStr">
        <is>
          <t>Pairing ID</t>
        </is>
      </c>
      <c r="C1852" s="3" t="inlineStr">
        <is>
          <t>FECHA REAL</t>
        </is>
      </c>
      <c r="D1852" s="3" t="inlineStr">
        <is>
          <t>Day of Week</t>
        </is>
      </c>
      <c r="E1852" s="3" t="inlineStr">
        <is>
          <t>Flight No</t>
        </is>
      </c>
      <c r="F1852" s="3" t="inlineStr">
        <is>
          <t>Dep Stn</t>
        </is>
      </c>
      <c r="G1852" s="3" t="inlineStr">
        <is>
          <t>Arr Stn</t>
        </is>
      </c>
      <c r="H1852" s="3" t="inlineStr">
        <is>
          <t>STD</t>
        </is>
      </c>
      <c r="I1852" s="3" t="inlineStr">
        <is>
          <t>STA</t>
        </is>
      </c>
      <c r="J1852" s="3" t="inlineStr">
        <is>
          <t>subflota</t>
        </is>
      </c>
      <c r="K1852" s="3" t="inlineStr">
        <is>
          <t>Conexion</t>
        </is>
      </c>
      <c r="L1852" s="3" t="inlineStr">
        <is>
          <t>HBT</t>
        </is>
      </c>
    </row>
    <row r="1853">
      <c r="B1853" s="4" t="n">
        <v>1782</v>
      </c>
      <c r="C1853" s="4" t="inlineStr">
        <is>
          <t>20/09/2026</t>
        </is>
      </c>
      <c r="D1853" s="4" t="inlineStr">
        <is>
          <t>domingo</t>
        </is>
      </c>
      <c r="E1853" s="4" t="n">
        <v>2276</v>
      </c>
      <c r="F1853" s="4" t="inlineStr">
        <is>
          <t>LIM</t>
        </is>
      </c>
      <c r="G1853" s="4" t="inlineStr">
        <is>
          <t>CUZ</t>
        </is>
      </c>
      <c r="H1853" s="4" t="inlineStr">
        <is>
          <t>16:35:00</t>
        </is>
      </c>
      <c r="I1853" s="4" t="inlineStr">
        <is>
          <t>17:55:00</t>
        </is>
      </c>
      <c r="J1853" s="4" t="n">
        <v>320</v>
      </c>
      <c r="L1853" s="4" t="inlineStr">
        <is>
          <t>01:20:00</t>
        </is>
      </c>
      <c r="M1853" s="5" t="n"/>
      <c r="N1853" s="6" t="n"/>
      <c r="O1853" s="5" t="n"/>
      <c r="Q1853" s="4">
        <f>B1853</f>
        <v/>
      </c>
      <c r="R1853" s="4">
        <f>C1853</f>
        <v/>
      </c>
      <c r="S1853" s="4">
        <f>D1853</f>
        <v/>
      </c>
      <c r="T1853" s="4">
        <f>E1853&amp;"/"&amp;E1854</f>
        <v/>
      </c>
      <c r="U1853" s="4">
        <f>F1853&amp;"-"&amp;G1853&amp;"-"&amp;F1853</f>
        <v/>
      </c>
      <c r="V1853" s="4">
        <f>IF($M$1853="","",$M$1853)</f>
        <v/>
      </c>
      <c r="W1853" s="4">
        <f>IF($O$1853="","",$O$1853)</f>
        <v/>
      </c>
      <c r="X1853" s="4">
        <f>J1853</f>
        <v/>
      </c>
    </row>
    <row r="1854">
      <c r="B1854" s="4" t="n">
        <v>1782</v>
      </c>
      <c r="C1854" s="4" t="inlineStr">
        <is>
          <t>20/09/2026</t>
        </is>
      </c>
      <c r="D1854" s="4" t="inlineStr">
        <is>
          <t>domingo</t>
        </is>
      </c>
      <c r="E1854" s="4" t="n">
        <v>2277</v>
      </c>
      <c r="F1854" s="4" t="inlineStr">
        <is>
          <t>CUZ</t>
        </is>
      </c>
      <c r="G1854" s="4" t="inlineStr">
        <is>
          <t>LIM</t>
        </is>
      </c>
      <c r="H1854" s="4" t="inlineStr">
        <is>
          <t>18:50:00</t>
        </is>
      </c>
      <c r="I1854" s="4" t="inlineStr">
        <is>
          <t>20:25:00</t>
        </is>
      </c>
      <c r="J1854" s="4" t="n">
        <v>320</v>
      </c>
      <c r="K1854">
        <f>TEXT(TIMEVALUE(H1854)-TIMEVALUE(I1853)+(TIMEVALUE(H1854)&lt;TIMEVALUE(I1853)),"[h]:mm")</f>
        <v/>
      </c>
      <c r="L1854" s="4" t="inlineStr">
        <is>
          <t>01:35:00</t>
        </is>
      </c>
      <c r="O1854">
        <f>"LIM-"&amp;G1853&amp;"-LIM   LA "&amp;E1853&amp;" ("&amp;LEFT(H1853,5)&amp;"-"&amp;LEFT(I1853,5)&amp;" hrs)  /  LA "&amp;E1854&amp;" ("&amp;LEFT(H1854,5)&amp;"-"&amp;LEFT(I1854,5)&amp;" hrs)"</f>
        <v/>
      </c>
    </row>
    <row r="1855">
      <c r="J1855" s="8" t="inlineStr">
        <is>
          <t>PSV total:</t>
        </is>
      </c>
      <c r="K1855" s="9">
        <f>TEXT(TIMEVALUE(I1854)-TIMEVALUE(H1853)+(I1854&lt;H1853),"[h]:mm")</f>
        <v/>
      </c>
    </row>
    <row r="1857">
      <c r="B1857" s="3" t="inlineStr">
        <is>
          <t>Pairing ID</t>
        </is>
      </c>
      <c r="C1857" s="3" t="inlineStr">
        <is>
          <t>FECHA REAL</t>
        </is>
      </c>
      <c r="D1857" s="3" t="inlineStr">
        <is>
          <t>Day of Week</t>
        </is>
      </c>
      <c r="E1857" s="3" t="inlineStr">
        <is>
          <t>Flight No</t>
        </is>
      </c>
      <c r="F1857" s="3" t="inlineStr">
        <is>
          <t>Dep Stn</t>
        </is>
      </c>
      <c r="G1857" s="3" t="inlineStr">
        <is>
          <t>Arr Stn</t>
        </is>
      </c>
      <c r="H1857" s="3" t="inlineStr">
        <is>
          <t>STD</t>
        </is>
      </c>
      <c r="I1857" s="3" t="inlineStr">
        <is>
          <t>STA</t>
        </is>
      </c>
      <c r="J1857" s="3" t="inlineStr">
        <is>
          <t>subflota</t>
        </is>
      </c>
      <c r="K1857" s="3" t="inlineStr">
        <is>
          <t>Conexion</t>
        </is>
      </c>
      <c r="L1857" s="3" t="inlineStr">
        <is>
          <t>HBT</t>
        </is>
      </c>
    </row>
    <row r="1858">
      <c r="B1858" s="4" t="n">
        <v>1841</v>
      </c>
      <c r="C1858" s="4" t="inlineStr">
        <is>
          <t>21/09/2026</t>
        </is>
      </c>
      <c r="D1858" s="4" t="inlineStr">
        <is>
          <t>lunes</t>
        </is>
      </c>
      <c r="E1858" s="4" t="n">
        <v>2109</v>
      </c>
      <c r="F1858" s="4" t="inlineStr">
        <is>
          <t>LIM</t>
        </is>
      </c>
      <c r="G1858" s="4" t="inlineStr">
        <is>
          <t>AQP</t>
        </is>
      </c>
      <c r="H1858" s="4" t="inlineStr">
        <is>
          <t>10:35:00</t>
        </is>
      </c>
      <c r="I1858" s="4" t="inlineStr">
        <is>
          <t>12:05:00</t>
        </is>
      </c>
      <c r="J1858" s="4" t="n">
        <v>320</v>
      </c>
      <c r="L1858" s="4" t="inlineStr">
        <is>
          <t>01:30:00</t>
        </is>
      </c>
      <c r="M1858" s="5" t="n"/>
      <c r="N1858" s="6" t="n"/>
      <c r="O1858" s="5" t="n"/>
      <c r="Q1858" s="4">
        <f>B1858</f>
        <v/>
      </c>
      <c r="R1858" s="4">
        <f>C1858</f>
        <v/>
      </c>
      <c r="S1858" s="4">
        <f>D1858</f>
        <v/>
      </c>
      <c r="T1858" s="4">
        <f>E1858&amp;"/"&amp;E1859</f>
        <v/>
      </c>
      <c r="U1858" s="4">
        <f>F1858&amp;"-"&amp;G1858&amp;"-"&amp;F1858</f>
        <v/>
      </c>
      <c r="V1858" s="4">
        <f>IF($M$1858="","",$M$1858)</f>
        <v/>
      </c>
      <c r="W1858" s="4">
        <f>IF($O$1858="","",$O$1858)</f>
        <v/>
      </c>
      <c r="X1858" s="4">
        <f>J1858</f>
        <v/>
      </c>
    </row>
    <row r="1859">
      <c r="B1859" s="4" t="n">
        <v>1841</v>
      </c>
      <c r="C1859" s="4" t="inlineStr">
        <is>
          <t>21/09/2026</t>
        </is>
      </c>
      <c r="D1859" s="4" t="inlineStr">
        <is>
          <t>lunes</t>
        </is>
      </c>
      <c r="E1859" s="4" t="n">
        <v>2108</v>
      </c>
      <c r="F1859" s="4" t="inlineStr">
        <is>
          <t>AQP</t>
        </is>
      </c>
      <c r="G1859" s="4" t="inlineStr">
        <is>
          <t>LIM</t>
        </is>
      </c>
      <c r="H1859" s="4" t="inlineStr">
        <is>
          <t>12:45:00</t>
        </is>
      </c>
      <c r="I1859" s="4" t="inlineStr">
        <is>
          <t>14:20:00</t>
        </is>
      </c>
      <c r="J1859" s="4" t="n">
        <v>320</v>
      </c>
      <c r="K1859">
        <f>TEXT(TIMEVALUE(H1859)-TIMEVALUE(I1858)+(TIMEVALUE(H1859)&lt;TIMEVALUE(I1858)),"[h]:mm")</f>
        <v/>
      </c>
      <c r="L1859" s="4" t="inlineStr">
        <is>
          <t>01:35:00</t>
        </is>
      </c>
      <c r="O1859">
        <f>"LIM-"&amp;G1858&amp;"-LIM   LA "&amp;E1858&amp;" ("&amp;LEFT(H1858,5)&amp;"-"&amp;LEFT(I1858,5)&amp;" hrs)  /  LA "&amp;E1859&amp;" ("&amp;LEFT(H1859,5)&amp;"-"&amp;LEFT(I1859,5)&amp;" hrs)"</f>
        <v/>
      </c>
    </row>
    <row r="1860">
      <c r="B1860" s="4" t="n">
        <v>1867</v>
      </c>
      <c r="C1860" s="4" t="inlineStr">
        <is>
          <t>21/09/2026</t>
        </is>
      </c>
      <c r="D1860" s="4" t="inlineStr">
        <is>
          <t>lunes</t>
        </is>
      </c>
      <c r="E1860" s="4" t="n">
        <v>2297</v>
      </c>
      <c r="F1860" s="4" t="inlineStr">
        <is>
          <t>LIM</t>
        </is>
      </c>
      <c r="G1860" s="4" t="inlineStr">
        <is>
          <t>CJA</t>
        </is>
      </c>
      <c r="H1860" s="4" t="inlineStr">
        <is>
          <t>15:15:00</t>
        </is>
      </c>
      <c r="I1860" s="4" t="inlineStr">
        <is>
          <t>16:35:00</t>
        </is>
      </c>
      <c r="J1860" s="4" t="n">
        <v>320</v>
      </c>
      <c r="K1860" s="7">
        <f>TEXT(TIMEVALUE(H1860)-TIMEVALUE(I1859)+(TIMEVALUE(H1860)&lt;TIMEVALUE(I1859)),"[h]:mm")</f>
        <v/>
      </c>
      <c r="L1860" s="4" t="inlineStr">
        <is>
          <t>01:20:00</t>
        </is>
      </c>
      <c r="M1860">
        <f>IF($M$1858="","",$M$1858)</f>
        <v/>
      </c>
      <c r="O1860">
        <f>IF($O$1858="","",$O$1858)</f>
        <v/>
      </c>
      <c r="Q1860" s="4">
        <f>B1860</f>
        <v/>
      </c>
      <c r="R1860" s="4">
        <f>C1860</f>
        <v/>
      </c>
      <c r="S1860" s="4">
        <f>D1860</f>
        <v/>
      </c>
      <c r="T1860" s="4">
        <f>E1860&amp;"/"&amp;E1861</f>
        <v/>
      </c>
      <c r="U1860" s="4">
        <f>F1860&amp;"-"&amp;G1860&amp;"-"&amp;F1860</f>
        <v/>
      </c>
      <c r="V1860" s="4">
        <f>IF($M$1858="","",$M$1858)</f>
        <v/>
      </c>
      <c r="W1860" s="4">
        <f>IF($O$1858="","",$O$1858)</f>
        <v/>
      </c>
      <c r="X1860" s="4">
        <f>J1860</f>
        <v/>
      </c>
    </row>
    <row r="1861">
      <c r="B1861" s="4" t="n">
        <v>1867</v>
      </c>
      <c r="C1861" s="4" t="inlineStr">
        <is>
          <t>21/09/2026</t>
        </is>
      </c>
      <c r="D1861" s="4" t="inlineStr">
        <is>
          <t>lunes</t>
        </is>
      </c>
      <c r="E1861" s="4" t="n">
        <v>2296</v>
      </c>
      <c r="F1861" s="4" t="inlineStr">
        <is>
          <t>CJA</t>
        </is>
      </c>
      <c r="G1861" s="4" t="inlineStr">
        <is>
          <t>LIM</t>
        </is>
      </c>
      <c r="H1861" s="4" t="inlineStr">
        <is>
          <t>17:20:00</t>
        </is>
      </c>
      <c r="I1861" s="4" t="inlineStr">
        <is>
          <t>18:25:00</t>
        </is>
      </c>
      <c r="J1861" s="4" t="n">
        <v>320</v>
      </c>
      <c r="K1861">
        <f>TEXT(TIMEVALUE(H1861)-TIMEVALUE(I1860)+(TIMEVALUE(H1861)&lt;TIMEVALUE(I1860)),"[h]:mm")</f>
        <v/>
      </c>
      <c r="L1861" s="4" t="inlineStr">
        <is>
          <t>01:05:00</t>
        </is>
      </c>
      <c r="O1861">
        <f>"LIM-"&amp;G1860&amp;"-LIM   LA "&amp;E1860&amp;" ("&amp;LEFT(H1860,5)&amp;"-"&amp;LEFT(I1860,5)&amp;" hrs)  /  LA "&amp;E1861&amp;" ("&amp;LEFT(H1861,5)&amp;"-"&amp;LEFT(I1861,5)&amp;" hrs)"</f>
        <v/>
      </c>
    </row>
    <row r="1862">
      <c r="J1862" s="8" t="inlineStr">
        <is>
          <t>PSV total:</t>
        </is>
      </c>
      <c r="K1862" s="9">
        <f>TEXT(TIMEVALUE(I1861)-TIMEVALUE(H1858)+(I1861&lt;H1858),"[h]:mm")</f>
        <v/>
      </c>
    </row>
    <row r="1864">
      <c r="B1864" s="3" t="inlineStr">
        <is>
          <t>Pairing ID</t>
        </is>
      </c>
      <c r="C1864" s="3" t="inlineStr">
        <is>
          <t>FECHA REAL</t>
        </is>
      </c>
      <c r="D1864" s="3" t="inlineStr">
        <is>
          <t>Day of Week</t>
        </is>
      </c>
      <c r="E1864" s="3" t="inlineStr">
        <is>
          <t>Flight No</t>
        </is>
      </c>
      <c r="F1864" s="3" t="inlineStr">
        <is>
          <t>Dep Stn</t>
        </is>
      </c>
      <c r="G1864" s="3" t="inlineStr">
        <is>
          <t>Arr Stn</t>
        </is>
      </c>
      <c r="H1864" s="3" t="inlineStr">
        <is>
          <t>STD</t>
        </is>
      </c>
      <c r="I1864" s="3" t="inlineStr">
        <is>
          <t>STA</t>
        </is>
      </c>
      <c r="J1864" s="3" t="inlineStr">
        <is>
          <t>subflota</t>
        </is>
      </c>
      <c r="K1864" s="3" t="inlineStr">
        <is>
          <t>Conexion</t>
        </is>
      </c>
      <c r="L1864" s="3" t="inlineStr">
        <is>
          <t>HBT</t>
        </is>
      </c>
    </row>
    <row r="1865">
      <c r="B1865" s="4" t="n">
        <v>1842</v>
      </c>
      <c r="C1865" s="4" t="inlineStr">
        <is>
          <t>21/09/2026</t>
        </is>
      </c>
      <c r="D1865" s="4" t="inlineStr">
        <is>
          <t>lunes</t>
        </is>
      </c>
      <c r="E1865" s="4" t="n">
        <v>2299</v>
      </c>
      <c r="F1865" s="4" t="inlineStr">
        <is>
          <t>LIM</t>
        </is>
      </c>
      <c r="G1865" s="4" t="inlineStr">
        <is>
          <t>CJA</t>
        </is>
      </c>
      <c r="H1865" s="4" t="inlineStr">
        <is>
          <t>11:35:00</t>
        </is>
      </c>
      <c r="I1865" s="4" t="inlineStr">
        <is>
          <t>12:55:00</t>
        </is>
      </c>
      <c r="J1865" s="4" t="n">
        <v>320</v>
      </c>
      <c r="L1865" s="4" t="inlineStr">
        <is>
          <t>01:20:00</t>
        </is>
      </c>
      <c r="M1865" s="5" t="n"/>
      <c r="N1865" s="6" t="n"/>
      <c r="O1865" s="5" t="n"/>
      <c r="Q1865" s="4">
        <f>B1865</f>
        <v/>
      </c>
      <c r="R1865" s="4">
        <f>C1865</f>
        <v/>
      </c>
      <c r="S1865" s="4">
        <f>D1865</f>
        <v/>
      </c>
      <c r="T1865" s="4">
        <f>E1865&amp;"/"&amp;E1866</f>
        <v/>
      </c>
      <c r="U1865" s="4">
        <f>F1865&amp;"-"&amp;G1865&amp;"-"&amp;F1865</f>
        <v/>
      </c>
      <c r="V1865" s="4">
        <f>IF($M$1865="","",$M$1865)</f>
        <v/>
      </c>
      <c r="W1865" s="4">
        <f>IF($O$1865="","",$O$1865)</f>
        <v/>
      </c>
      <c r="X1865" s="4">
        <f>J1865</f>
        <v/>
      </c>
    </row>
    <row r="1866">
      <c r="B1866" s="4" t="n">
        <v>1842</v>
      </c>
      <c r="C1866" s="4" t="inlineStr">
        <is>
          <t>21/09/2026</t>
        </is>
      </c>
      <c r="D1866" s="4" t="inlineStr">
        <is>
          <t>lunes</t>
        </is>
      </c>
      <c r="E1866" s="4" t="n">
        <v>2298</v>
      </c>
      <c r="F1866" s="4" t="inlineStr">
        <is>
          <t>CJA</t>
        </is>
      </c>
      <c r="G1866" s="4" t="inlineStr">
        <is>
          <t>LIM</t>
        </is>
      </c>
      <c r="H1866" s="4" t="inlineStr">
        <is>
          <t>13:45:00</t>
        </is>
      </c>
      <c r="I1866" s="4" t="inlineStr">
        <is>
          <t>14:55:00</t>
        </is>
      </c>
      <c r="J1866" s="4" t="n">
        <v>320</v>
      </c>
      <c r="K1866">
        <f>TEXT(TIMEVALUE(H1866)-TIMEVALUE(I1865)+(TIMEVALUE(H1866)&lt;TIMEVALUE(I1865)),"[h]:mm")</f>
        <v/>
      </c>
      <c r="L1866" s="4" t="inlineStr">
        <is>
          <t>01:10:00</t>
        </is>
      </c>
      <c r="O1866">
        <f>"LIM-"&amp;G1865&amp;"-LIM   LA "&amp;E1865&amp;" ("&amp;LEFT(H1865,5)&amp;"-"&amp;LEFT(I1865,5)&amp;" hrs)  /  LA "&amp;E1866&amp;" ("&amp;LEFT(H1866,5)&amp;"-"&amp;LEFT(I1866,5)&amp;" hrs)"</f>
        <v/>
      </c>
    </row>
    <row r="1867">
      <c r="J1867" s="8" t="inlineStr">
        <is>
          <t>PSV total:</t>
        </is>
      </c>
      <c r="K1867" s="9">
        <f>TEXT(TIMEVALUE(I1866)-TIMEVALUE(H1865)+(I1866&lt;H1865),"[h]:mm")</f>
        <v/>
      </c>
    </row>
    <row r="1869">
      <c r="B1869" s="3" t="inlineStr">
        <is>
          <t>Pairing ID</t>
        </is>
      </c>
      <c r="C1869" s="3" t="inlineStr">
        <is>
          <t>FECHA REAL</t>
        </is>
      </c>
      <c r="D1869" s="3" t="inlineStr">
        <is>
          <t>Day of Week</t>
        </is>
      </c>
      <c r="E1869" s="3" t="inlineStr">
        <is>
          <t>Flight No</t>
        </is>
      </c>
      <c r="F1869" s="3" t="inlineStr">
        <is>
          <t>Dep Stn</t>
        </is>
      </c>
      <c r="G1869" s="3" t="inlineStr">
        <is>
          <t>Arr Stn</t>
        </is>
      </c>
      <c r="H1869" s="3" t="inlineStr">
        <is>
          <t>STD</t>
        </is>
      </c>
      <c r="I1869" s="3" t="inlineStr">
        <is>
          <t>STA</t>
        </is>
      </c>
      <c r="J1869" s="3" t="inlineStr">
        <is>
          <t>subflota</t>
        </is>
      </c>
      <c r="K1869" s="3" t="inlineStr">
        <is>
          <t>Conexion</t>
        </is>
      </c>
      <c r="L1869" s="3" t="inlineStr">
        <is>
          <t>HBT</t>
        </is>
      </c>
    </row>
    <row r="1870">
      <c r="B1870" s="4" t="n">
        <v>1844</v>
      </c>
      <c r="C1870" s="4" t="inlineStr">
        <is>
          <t>21/09/2026</t>
        </is>
      </c>
      <c r="D1870" s="4" t="inlineStr">
        <is>
          <t>lunes</t>
        </is>
      </c>
      <c r="E1870" s="4" t="n">
        <v>2111</v>
      </c>
      <c r="F1870" s="4" t="inlineStr">
        <is>
          <t>LIM</t>
        </is>
      </c>
      <c r="G1870" s="4" t="inlineStr">
        <is>
          <t>AQP</t>
        </is>
      </c>
      <c r="H1870" s="4" t="inlineStr">
        <is>
          <t>11:40:00</t>
        </is>
      </c>
      <c r="I1870" s="4" t="inlineStr">
        <is>
          <t>13:10:00</t>
        </is>
      </c>
      <c r="J1870" s="4" t="n">
        <v>320</v>
      </c>
      <c r="L1870" s="4" t="inlineStr">
        <is>
          <t>01:30:00</t>
        </is>
      </c>
      <c r="M1870" s="5" t="n"/>
      <c r="N1870" s="6" t="n"/>
      <c r="O1870" s="5" t="n"/>
      <c r="Q1870" s="4">
        <f>B1870</f>
        <v/>
      </c>
      <c r="R1870" s="4">
        <f>C1870</f>
        <v/>
      </c>
      <c r="S1870" s="4">
        <f>D1870</f>
        <v/>
      </c>
      <c r="T1870" s="4">
        <f>E1870&amp;"/"&amp;E1871</f>
        <v/>
      </c>
      <c r="U1870" s="4">
        <f>F1870&amp;"-"&amp;G1870&amp;"-"&amp;F1870</f>
        <v/>
      </c>
      <c r="V1870" s="4">
        <f>IF($M$1870="","",$M$1870)</f>
        <v/>
      </c>
      <c r="W1870" s="4">
        <f>IF($O$1870="","",$O$1870)</f>
        <v/>
      </c>
      <c r="X1870" s="4">
        <f>J1870</f>
        <v/>
      </c>
    </row>
    <row r="1871">
      <c r="B1871" s="4" t="n">
        <v>1844</v>
      </c>
      <c r="C1871" s="4" t="inlineStr">
        <is>
          <t>21/09/2026</t>
        </is>
      </c>
      <c r="D1871" s="4" t="inlineStr">
        <is>
          <t>lunes</t>
        </is>
      </c>
      <c r="E1871" s="4" t="n">
        <v>2110</v>
      </c>
      <c r="F1871" s="4" t="inlineStr">
        <is>
          <t>AQP</t>
        </is>
      </c>
      <c r="G1871" s="4" t="inlineStr">
        <is>
          <t>LIM</t>
        </is>
      </c>
      <c r="H1871" s="4" t="inlineStr">
        <is>
          <t>17:50:00</t>
        </is>
      </c>
      <c r="I1871" s="4" t="inlineStr">
        <is>
          <t>19:30:00</t>
        </is>
      </c>
      <c r="J1871" s="4" t="n">
        <v>320</v>
      </c>
      <c r="K1871">
        <f>TEXT(TIMEVALUE(H1871)-TIMEVALUE(I1870)+(TIMEVALUE(H1871)&lt;TIMEVALUE(I1870)),"[h]:mm")</f>
        <v/>
      </c>
      <c r="L1871" s="4" t="inlineStr">
        <is>
          <t>01:40:00</t>
        </is>
      </c>
      <c r="O1871">
        <f>"LIM-"&amp;G1870&amp;"-LIM   LA "&amp;E1870&amp;" ("&amp;LEFT(H1870,5)&amp;"-"&amp;LEFT(I1870,5)&amp;" hrs)  /  LA "&amp;E1871&amp;" ("&amp;LEFT(H1871,5)&amp;"-"&amp;LEFT(I1871,5)&amp;" hrs)"</f>
        <v/>
      </c>
    </row>
    <row r="1872">
      <c r="J1872" s="8" t="inlineStr">
        <is>
          <t>PSV total:</t>
        </is>
      </c>
      <c r="K1872" s="9">
        <f>TEXT(TIMEVALUE(I1871)-TIMEVALUE(H1870)+(I1871&lt;H1870),"[h]:mm")</f>
        <v/>
      </c>
    </row>
    <row r="1874">
      <c r="B1874" s="3" t="inlineStr">
        <is>
          <t>Pairing ID</t>
        </is>
      </c>
      <c r="C1874" s="3" t="inlineStr">
        <is>
          <t>FECHA REAL</t>
        </is>
      </c>
      <c r="D1874" s="3" t="inlineStr">
        <is>
          <t>Day of Week</t>
        </is>
      </c>
      <c r="E1874" s="3" t="inlineStr">
        <is>
          <t>Flight No</t>
        </is>
      </c>
      <c r="F1874" s="3" t="inlineStr">
        <is>
          <t>Dep Stn</t>
        </is>
      </c>
      <c r="G1874" s="3" t="inlineStr">
        <is>
          <t>Arr Stn</t>
        </is>
      </c>
      <c r="H1874" s="3" t="inlineStr">
        <is>
          <t>STD</t>
        </is>
      </c>
      <c r="I1874" s="3" t="inlineStr">
        <is>
          <t>STA</t>
        </is>
      </c>
      <c r="J1874" s="3" t="inlineStr">
        <is>
          <t>subflota</t>
        </is>
      </c>
      <c r="K1874" s="3" t="inlineStr">
        <is>
          <t>Conexion</t>
        </is>
      </c>
      <c r="L1874" s="3" t="inlineStr">
        <is>
          <t>HBT</t>
        </is>
      </c>
    </row>
    <row r="1875">
      <c r="B1875" s="4" t="n">
        <v>1845</v>
      </c>
      <c r="C1875" s="4" t="inlineStr">
        <is>
          <t>21/09/2026</t>
        </is>
      </c>
      <c r="D1875" s="4" t="inlineStr">
        <is>
          <t>lunes</t>
        </is>
      </c>
      <c r="E1875" s="4" t="n">
        <v>2316</v>
      </c>
      <c r="F1875" s="4" t="inlineStr">
        <is>
          <t>LIM</t>
        </is>
      </c>
      <c r="G1875" s="4" t="inlineStr">
        <is>
          <t>PIU</t>
        </is>
      </c>
      <c r="H1875" s="4" t="inlineStr">
        <is>
          <t>11:40:00</t>
        </is>
      </c>
      <c r="I1875" s="4" t="inlineStr">
        <is>
          <t>13:25:00</t>
        </is>
      </c>
      <c r="J1875" s="4" t="n">
        <v>320</v>
      </c>
      <c r="L1875" s="4" t="inlineStr">
        <is>
          <t>01:45:00</t>
        </is>
      </c>
      <c r="M1875" s="5" t="n"/>
      <c r="N1875" s="6" t="n"/>
      <c r="O1875" s="5" t="n"/>
      <c r="Q1875" s="4">
        <f>B1875</f>
        <v/>
      </c>
      <c r="R1875" s="4">
        <f>C1875</f>
        <v/>
      </c>
      <c r="S1875" s="4">
        <f>D1875</f>
        <v/>
      </c>
      <c r="T1875" s="4">
        <f>E1875&amp;"/"&amp;E1876</f>
        <v/>
      </c>
      <c r="U1875" s="4">
        <f>F1875&amp;"-"&amp;G1875&amp;"-"&amp;F1875</f>
        <v/>
      </c>
      <c r="V1875" s="4">
        <f>IF($M$1875="","",$M$1875)</f>
        <v/>
      </c>
      <c r="W1875" s="4">
        <f>IF($O$1875="","",$O$1875)</f>
        <v/>
      </c>
      <c r="X1875" s="4">
        <f>J1875</f>
        <v/>
      </c>
    </row>
    <row r="1876">
      <c r="B1876" s="4" t="n">
        <v>1845</v>
      </c>
      <c r="C1876" s="4" t="inlineStr">
        <is>
          <t>21/09/2026</t>
        </is>
      </c>
      <c r="D1876" s="4" t="inlineStr">
        <is>
          <t>lunes</t>
        </is>
      </c>
      <c r="E1876" s="4" t="n">
        <v>2317</v>
      </c>
      <c r="F1876" s="4" t="inlineStr">
        <is>
          <t>PIU</t>
        </is>
      </c>
      <c r="G1876" s="4" t="inlineStr">
        <is>
          <t>LIM</t>
        </is>
      </c>
      <c r="H1876" s="4" t="inlineStr">
        <is>
          <t>14:05:00</t>
        </is>
      </c>
      <c r="I1876" s="4" t="inlineStr">
        <is>
          <t>15:40:00</t>
        </is>
      </c>
      <c r="J1876" s="4" t="n">
        <v>320</v>
      </c>
      <c r="K1876">
        <f>TEXT(TIMEVALUE(H1876)-TIMEVALUE(I1875)+(TIMEVALUE(H1876)&lt;TIMEVALUE(I1875)),"[h]:mm")</f>
        <v/>
      </c>
      <c r="L1876" s="4" t="inlineStr">
        <is>
          <t>01:35:00</t>
        </is>
      </c>
      <c r="O1876">
        <f>"LIM-"&amp;G1875&amp;"-LIM   LA "&amp;E1875&amp;" ("&amp;LEFT(H1875,5)&amp;"-"&amp;LEFT(I1875,5)&amp;" hrs)  /  LA "&amp;E1876&amp;" ("&amp;LEFT(H1876,5)&amp;"-"&amp;LEFT(I1876,5)&amp;" hrs)"</f>
        <v/>
      </c>
    </row>
    <row r="1877">
      <c r="B1877" s="4" t="n">
        <v>1875</v>
      </c>
      <c r="C1877" s="4" t="inlineStr">
        <is>
          <t>21/09/2026</t>
        </is>
      </c>
      <c r="D1877" s="4" t="inlineStr">
        <is>
          <t>lunes</t>
        </is>
      </c>
      <c r="E1877" s="4" t="n">
        <v>2304</v>
      </c>
      <c r="F1877" s="4" t="inlineStr">
        <is>
          <t>LIM</t>
        </is>
      </c>
      <c r="G1877" s="4" t="inlineStr">
        <is>
          <t>PIU</t>
        </is>
      </c>
      <c r="H1877" s="4" t="inlineStr">
        <is>
          <t>16:55:00</t>
        </is>
      </c>
      <c r="I1877" s="4" t="inlineStr">
        <is>
          <t>18:35:00</t>
        </is>
      </c>
      <c r="J1877" s="4" t="n">
        <v>320</v>
      </c>
      <c r="K1877" s="7">
        <f>TEXT(TIMEVALUE(H1877)-TIMEVALUE(I1876)+(TIMEVALUE(H1877)&lt;TIMEVALUE(I1876)),"[h]:mm")</f>
        <v/>
      </c>
      <c r="L1877" s="4" t="inlineStr">
        <is>
          <t>01:40:00</t>
        </is>
      </c>
      <c r="M1877">
        <f>IF($M$1875="","",$M$1875)</f>
        <v/>
      </c>
      <c r="O1877">
        <f>IF($O$1875="","",$O$1875)</f>
        <v/>
      </c>
      <c r="Q1877" s="4">
        <f>B1877</f>
        <v/>
      </c>
      <c r="R1877" s="4">
        <f>C1877</f>
        <v/>
      </c>
      <c r="S1877" s="4">
        <f>D1877</f>
        <v/>
      </c>
      <c r="T1877" s="4">
        <f>E1877&amp;"/"&amp;E1878</f>
        <v/>
      </c>
      <c r="U1877" s="4">
        <f>F1877&amp;"-"&amp;G1877&amp;"-"&amp;F1877</f>
        <v/>
      </c>
      <c r="V1877" s="4">
        <f>IF($M$1875="","",$M$1875)</f>
        <v/>
      </c>
      <c r="W1877" s="4">
        <f>IF($O$1875="","",$O$1875)</f>
        <v/>
      </c>
      <c r="X1877" s="4">
        <f>J1877</f>
        <v/>
      </c>
    </row>
    <row r="1878">
      <c r="B1878" s="4" t="n">
        <v>1875</v>
      </c>
      <c r="C1878" s="4" t="inlineStr">
        <is>
          <t>21/09/2026</t>
        </is>
      </c>
      <c r="D1878" s="4" t="inlineStr">
        <is>
          <t>lunes</t>
        </is>
      </c>
      <c r="E1878" s="4" t="n">
        <v>2305</v>
      </c>
      <c r="F1878" s="4" t="inlineStr">
        <is>
          <t>PIU</t>
        </is>
      </c>
      <c r="G1878" s="4" t="inlineStr">
        <is>
          <t>LIM</t>
        </is>
      </c>
      <c r="H1878" s="4" t="inlineStr">
        <is>
          <t>19:10:00</t>
        </is>
      </c>
      <c r="I1878" s="4" t="inlineStr">
        <is>
          <t>20:40:00</t>
        </is>
      </c>
      <c r="J1878" s="4" t="n">
        <v>320</v>
      </c>
      <c r="K1878">
        <f>TEXT(TIMEVALUE(H1878)-TIMEVALUE(I1877)+(TIMEVALUE(H1878)&lt;TIMEVALUE(I1877)),"[h]:mm")</f>
        <v/>
      </c>
      <c r="L1878" s="4" t="inlineStr">
        <is>
          <t>01:30:00</t>
        </is>
      </c>
      <c r="O1878">
        <f>"LIM-"&amp;G1877&amp;"-LIM   LA "&amp;E1877&amp;" ("&amp;LEFT(H1877,5)&amp;"-"&amp;LEFT(I1877,5)&amp;" hrs)  /  LA "&amp;E1878&amp;" ("&amp;LEFT(H1878,5)&amp;"-"&amp;LEFT(I1878,5)&amp;" hrs)"</f>
        <v/>
      </c>
    </row>
    <row r="1879">
      <c r="J1879" s="8" t="inlineStr">
        <is>
          <t>PSV total:</t>
        </is>
      </c>
      <c r="K1879" s="9">
        <f>TEXT(TIMEVALUE(I1878)-TIMEVALUE(H1875)+(I1878&lt;H1875),"[h]:mm")</f>
        <v/>
      </c>
    </row>
    <row r="1881">
      <c r="B1881" s="3" t="inlineStr">
        <is>
          <t>Pairing ID</t>
        </is>
      </c>
      <c r="C1881" s="3" t="inlineStr">
        <is>
          <t>FECHA REAL</t>
        </is>
      </c>
      <c r="D1881" s="3" t="inlineStr">
        <is>
          <t>Day of Week</t>
        </is>
      </c>
      <c r="E1881" s="3" t="inlineStr">
        <is>
          <t>Flight No</t>
        </is>
      </c>
      <c r="F1881" s="3" t="inlineStr">
        <is>
          <t>Dep Stn</t>
        </is>
      </c>
      <c r="G1881" s="3" t="inlineStr">
        <is>
          <t>Arr Stn</t>
        </is>
      </c>
      <c r="H1881" s="3" t="inlineStr">
        <is>
          <t>STD</t>
        </is>
      </c>
      <c r="I1881" s="3" t="inlineStr">
        <is>
          <t>STA</t>
        </is>
      </c>
      <c r="J1881" s="3" t="inlineStr">
        <is>
          <t>subflota</t>
        </is>
      </c>
      <c r="K1881" s="3" t="inlineStr">
        <is>
          <t>Conexion</t>
        </is>
      </c>
      <c r="L1881" s="3" t="inlineStr">
        <is>
          <t>HBT</t>
        </is>
      </c>
    </row>
    <row r="1882">
      <c r="B1882" s="4" t="n">
        <v>1846</v>
      </c>
      <c r="C1882" s="4" t="inlineStr">
        <is>
          <t>21/09/2026</t>
        </is>
      </c>
      <c r="D1882" s="4" t="inlineStr">
        <is>
          <t>lunes</t>
        </is>
      </c>
      <c r="E1882" s="4" t="n">
        <v>2061</v>
      </c>
      <c r="F1882" s="4" t="inlineStr">
        <is>
          <t>LIM</t>
        </is>
      </c>
      <c r="G1882" s="4" t="inlineStr">
        <is>
          <t>CUZ</t>
        </is>
      </c>
      <c r="H1882" s="4" t="inlineStr">
        <is>
          <t>11:40:00</t>
        </is>
      </c>
      <c r="I1882" s="4" t="inlineStr">
        <is>
          <t>13:00:00</t>
        </is>
      </c>
      <c r="J1882" s="4" t="n">
        <v>320</v>
      </c>
      <c r="L1882" s="4" t="inlineStr">
        <is>
          <t>01:20:00</t>
        </is>
      </c>
      <c r="M1882" s="5" t="n"/>
      <c r="N1882" s="6" t="n"/>
      <c r="O1882" s="5" t="n"/>
      <c r="Q1882" s="4">
        <f>B1882</f>
        <v/>
      </c>
      <c r="R1882" s="4">
        <f>C1882</f>
        <v/>
      </c>
      <c r="S1882" s="4">
        <f>D1882</f>
        <v/>
      </c>
      <c r="T1882" s="4">
        <f>E1882&amp;"/"&amp;E1883</f>
        <v/>
      </c>
      <c r="U1882" s="4">
        <f>F1882&amp;"-"&amp;G1882&amp;"-"&amp;F1882</f>
        <v/>
      </c>
      <c r="V1882" s="4">
        <f>IF($M$1882="","",$M$1882)</f>
        <v/>
      </c>
      <c r="W1882" s="4">
        <f>IF($O$1882="","",$O$1882)</f>
        <v/>
      </c>
      <c r="X1882" s="4">
        <f>J1882</f>
        <v/>
      </c>
    </row>
    <row r="1883">
      <c r="B1883" s="4" t="n">
        <v>1846</v>
      </c>
      <c r="C1883" s="4" t="inlineStr">
        <is>
          <t>21/09/2026</t>
        </is>
      </c>
      <c r="D1883" s="4" t="inlineStr">
        <is>
          <t>lunes</t>
        </is>
      </c>
      <c r="E1883" s="4" t="n">
        <v>2062</v>
      </c>
      <c r="F1883" s="4" t="inlineStr">
        <is>
          <t>CUZ</t>
        </is>
      </c>
      <c r="G1883" s="4" t="inlineStr">
        <is>
          <t>LIM</t>
        </is>
      </c>
      <c r="H1883" s="4" t="inlineStr">
        <is>
          <t>13:40:00</t>
        </is>
      </c>
      <c r="I1883" s="4" t="inlineStr">
        <is>
          <t>15:15:00</t>
        </is>
      </c>
      <c r="J1883" s="4" t="n">
        <v>320</v>
      </c>
      <c r="K1883">
        <f>TEXT(TIMEVALUE(H1883)-TIMEVALUE(I1882)+(TIMEVALUE(H1883)&lt;TIMEVALUE(I1882)),"[h]:mm")</f>
        <v/>
      </c>
      <c r="L1883" s="4" t="inlineStr">
        <is>
          <t>01:35:00</t>
        </is>
      </c>
      <c r="O1883">
        <f>"LIM-"&amp;G1882&amp;"-LIM   LA "&amp;E1882&amp;" ("&amp;LEFT(H1882,5)&amp;"-"&amp;LEFT(I1882,5)&amp;" hrs)  /  LA "&amp;E1883&amp;" ("&amp;LEFT(H1883,5)&amp;"-"&amp;LEFT(I1883,5)&amp;" hrs)"</f>
        <v/>
      </c>
    </row>
    <row r="1884">
      <c r="J1884" s="8" t="inlineStr">
        <is>
          <t>PSV total:</t>
        </is>
      </c>
      <c r="K1884" s="9">
        <f>TEXT(TIMEVALUE(I1883)-TIMEVALUE(H1882)+(I1883&lt;H1882),"[h]:mm")</f>
        <v/>
      </c>
    </row>
    <row r="1886">
      <c r="B1886" s="3" t="inlineStr">
        <is>
          <t>Pairing ID</t>
        </is>
      </c>
      <c r="C1886" s="3" t="inlineStr">
        <is>
          <t>FECHA REAL</t>
        </is>
      </c>
      <c r="D1886" s="3" t="inlineStr">
        <is>
          <t>Day of Week</t>
        </is>
      </c>
      <c r="E1886" s="3" t="inlineStr">
        <is>
          <t>Flight No</t>
        </is>
      </c>
      <c r="F1886" s="3" t="inlineStr">
        <is>
          <t>Dep Stn</t>
        </is>
      </c>
      <c r="G1886" s="3" t="inlineStr">
        <is>
          <t>Arr Stn</t>
        </is>
      </c>
      <c r="H1886" s="3" t="inlineStr">
        <is>
          <t>STD</t>
        </is>
      </c>
      <c r="I1886" s="3" t="inlineStr">
        <is>
          <t>STA</t>
        </is>
      </c>
      <c r="J1886" s="3" t="inlineStr">
        <is>
          <t>subflota</t>
        </is>
      </c>
      <c r="K1886" s="3" t="inlineStr">
        <is>
          <t>Conexion</t>
        </is>
      </c>
      <c r="L1886" s="3" t="inlineStr">
        <is>
          <t>HBT</t>
        </is>
      </c>
    </row>
    <row r="1887">
      <c r="B1887" s="4" t="n">
        <v>1855</v>
      </c>
      <c r="C1887" s="4" t="inlineStr">
        <is>
          <t>21/09/2026</t>
        </is>
      </c>
      <c r="D1887" s="4" t="inlineStr">
        <is>
          <t>lunes</t>
        </is>
      </c>
      <c r="E1887" s="4" t="n">
        <v>2028</v>
      </c>
      <c r="F1887" s="4" t="inlineStr">
        <is>
          <t>LIM</t>
        </is>
      </c>
      <c r="G1887" s="4" t="inlineStr">
        <is>
          <t>CUZ</t>
        </is>
      </c>
      <c r="H1887" s="4" t="inlineStr">
        <is>
          <t>13:25:00</t>
        </is>
      </c>
      <c r="I1887" s="4" t="inlineStr">
        <is>
          <t>14:45:00</t>
        </is>
      </c>
      <c r="J1887" s="4" t="n">
        <v>320</v>
      </c>
      <c r="L1887" s="4" t="inlineStr">
        <is>
          <t>01:20:00</t>
        </is>
      </c>
      <c r="M1887" s="5" t="n"/>
      <c r="N1887" s="6" t="n"/>
      <c r="O1887" s="5" t="n"/>
      <c r="Q1887" s="4">
        <f>B1887</f>
        <v/>
      </c>
      <c r="R1887" s="4">
        <f>C1887</f>
        <v/>
      </c>
      <c r="S1887" s="4">
        <f>D1887</f>
        <v/>
      </c>
      <c r="T1887" s="4">
        <f>E1887&amp;"/"&amp;E1888</f>
        <v/>
      </c>
      <c r="U1887" s="4">
        <f>F1887&amp;"-"&amp;G1887&amp;"-"&amp;F1887</f>
        <v/>
      </c>
      <c r="V1887" s="4">
        <f>IF($M$1887="","",$M$1887)</f>
        <v/>
      </c>
      <c r="W1887" s="4">
        <f>IF($O$1887="","",$O$1887)</f>
        <v/>
      </c>
      <c r="X1887" s="4">
        <f>J1887</f>
        <v/>
      </c>
    </row>
    <row r="1888">
      <c r="B1888" s="4" t="n">
        <v>1855</v>
      </c>
      <c r="C1888" s="4" t="inlineStr">
        <is>
          <t>21/09/2026</t>
        </is>
      </c>
      <c r="D1888" s="4" t="inlineStr">
        <is>
          <t>lunes</t>
        </is>
      </c>
      <c r="E1888" s="4" t="n">
        <v>2029</v>
      </c>
      <c r="F1888" s="4" t="inlineStr">
        <is>
          <t>CUZ</t>
        </is>
      </c>
      <c r="G1888" s="4" t="inlineStr">
        <is>
          <t>LIM</t>
        </is>
      </c>
      <c r="H1888" s="4" t="inlineStr">
        <is>
          <t>15:30:00</t>
        </is>
      </c>
      <c r="I1888" s="4" t="inlineStr">
        <is>
          <t>17:05:00</t>
        </is>
      </c>
      <c r="J1888" s="4" t="n">
        <v>320</v>
      </c>
      <c r="K1888">
        <f>TEXT(TIMEVALUE(H1888)-TIMEVALUE(I1887)+(TIMEVALUE(H1888)&lt;TIMEVALUE(I1887)),"[h]:mm")</f>
        <v/>
      </c>
      <c r="L1888" s="4" t="inlineStr">
        <is>
          <t>01:35:00</t>
        </is>
      </c>
      <c r="O1888">
        <f>"LIM-"&amp;G1887&amp;"-LIM   LA "&amp;E1887&amp;" ("&amp;LEFT(H1887,5)&amp;"-"&amp;LEFT(I1887,5)&amp;" hrs)  /  LA "&amp;E1888&amp;" ("&amp;LEFT(H1888,5)&amp;"-"&amp;LEFT(I1888,5)&amp;" hrs)"</f>
        <v/>
      </c>
    </row>
    <row r="1889">
      <c r="B1889" s="4" t="n">
        <v>1876</v>
      </c>
      <c r="C1889" s="4" t="inlineStr">
        <is>
          <t>21/09/2026</t>
        </is>
      </c>
      <c r="D1889" s="4" t="inlineStr">
        <is>
          <t>lunes</t>
        </is>
      </c>
      <c r="E1889" s="4" t="n">
        <v>2236</v>
      </c>
      <c r="F1889" s="4" t="inlineStr">
        <is>
          <t>LIM</t>
        </is>
      </c>
      <c r="G1889" s="4" t="inlineStr">
        <is>
          <t>PIU</t>
        </is>
      </c>
      <c r="H1889" s="4" t="inlineStr">
        <is>
          <t>18:00:00</t>
        </is>
      </c>
      <c r="I1889" s="4" t="inlineStr">
        <is>
          <t>19:40:00</t>
        </is>
      </c>
      <c r="J1889" s="4" t="n">
        <v>320</v>
      </c>
      <c r="K1889" s="7">
        <f>TEXT(TIMEVALUE(H1889)-TIMEVALUE(I1888)+(TIMEVALUE(H1889)&lt;TIMEVALUE(I1888)),"[h]:mm")</f>
        <v/>
      </c>
      <c r="L1889" s="4" t="inlineStr">
        <is>
          <t>01:40:00</t>
        </is>
      </c>
      <c r="M1889">
        <f>IF($M$1887="","",$M$1887)</f>
        <v/>
      </c>
      <c r="O1889">
        <f>IF($O$1887="","",$O$1887)</f>
        <v/>
      </c>
      <c r="Q1889" s="4">
        <f>B1889</f>
        <v/>
      </c>
      <c r="R1889" s="4">
        <f>C1889</f>
        <v/>
      </c>
      <c r="S1889" s="4">
        <f>D1889</f>
        <v/>
      </c>
      <c r="T1889" s="4">
        <f>E1889&amp;"/"&amp;E1890</f>
        <v/>
      </c>
      <c r="U1889" s="4">
        <f>F1889&amp;"-"&amp;G1889&amp;"-"&amp;F1889</f>
        <v/>
      </c>
      <c r="V1889" s="4">
        <f>IF($M$1887="","",$M$1887)</f>
        <v/>
      </c>
      <c r="W1889" s="4">
        <f>IF($O$1887="","",$O$1887)</f>
        <v/>
      </c>
      <c r="X1889" s="4">
        <f>J1889</f>
        <v/>
      </c>
    </row>
    <row r="1890">
      <c r="B1890" s="4" t="n">
        <v>1876</v>
      </c>
      <c r="C1890" s="4" t="inlineStr">
        <is>
          <t>21/09/2026</t>
        </is>
      </c>
      <c r="D1890" s="4" t="inlineStr">
        <is>
          <t>lunes</t>
        </is>
      </c>
      <c r="E1890" s="4" t="n">
        <v>2237</v>
      </c>
      <c r="F1890" s="4" t="inlineStr">
        <is>
          <t>PIU</t>
        </is>
      </c>
      <c r="G1890" s="4" t="inlineStr">
        <is>
          <t>LIM</t>
        </is>
      </c>
      <c r="H1890" s="4" t="inlineStr">
        <is>
          <t>20:20:00</t>
        </is>
      </c>
      <c r="I1890" s="4" t="inlineStr">
        <is>
          <t>21:50:00</t>
        </is>
      </c>
      <c r="J1890" s="4" t="n">
        <v>320</v>
      </c>
      <c r="K1890">
        <f>TEXT(TIMEVALUE(H1890)-TIMEVALUE(I1889)+(TIMEVALUE(H1890)&lt;TIMEVALUE(I1889)),"[h]:mm")</f>
        <v/>
      </c>
      <c r="L1890" s="4" t="inlineStr">
        <is>
          <t>01:30:00</t>
        </is>
      </c>
      <c r="O1890">
        <f>"LIM-"&amp;G1889&amp;"-LIM   LA "&amp;E1889&amp;" ("&amp;LEFT(H1889,5)&amp;"-"&amp;LEFT(I1889,5)&amp;" hrs)  /  LA "&amp;E1890&amp;" ("&amp;LEFT(H1890,5)&amp;"-"&amp;LEFT(I1890,5)&amp;" hrs)"</f>
        <v/>
      </c>
    </row>
    <row r="1891">
      <c r="J1891" s="8" t="inlineStr">
        <is>
          <t>PSV total:</t>
        </is>
      </c>
      <c r="K1891" s="9">
        <f>TEXT(TIMEVALUE(I1890)-TIMEVALUE(H1887)+(I1890&lt;H1887),"[h]:mm")</f>
        <v/>
      </c>
    </row>
    <row r="1893">
      <c r="B1893" s="3" t="inlineStr">
        <is>
          <t>Pairing ID</t>
        </is>
      </c>
      <c r="C1893" s="3" t="inlineStr">
        <is>
          <t>FECHA REAL</t>
        </is>
      </c>
      <c r="D1893" s="3" t="inlineStr">
        <is>
          <t>Day of Week</t>
        </is>
      </c>
      <c r="E1893" s="3" t="inlineStr">
        <is>
          <t>Flight No</t>
        </is>
      </c>
      <c r="F1893" s="3" t="inlineStr">
        <is>
          <t>Dep Stn</t>
        </is>
      </c>
      <c r="G1893" s="3" t="inlineStr">
        <is>
          <t>Arr Stn</t>
        </is>
      </c>
      <c r="H1893" s="3" t="inlineStr">
        <is>
          <t>STD</t>
        </is>
      </c>
      <c r="I1893" s="3" t="inlineStr">
        <is>
          <t>STA</t>
        </is>
      </c>
      <c r="J1893" s="3" t="inlineStr">
        <is>
          <t>subflota</t>
        </is>
      </c>
      <c r="K1893" s="3" t="inlineStr">
        <is>
          <t>Conexion</t>
        </is>
      </c>
      <c r="L1893" s="3" t="inlineStr">
        <is>
          <t>HBT</t>
        </is>
      </c>
    </row>
    <row r="1894">
      <c r="B1894" s="4" t="n">
        <v>1856</v>
      </c>
      <c r="C1894" s="4" t="inlineStr">
        <is>
          <t>21/09/2026</t>
        </is>
      </c>
      <c r="D1894" s="4" t="inlineStr">
        <is>
          <t>lunes</t>
        </is>
      </c>
      <c r="E1894" s="4" t="n">
        <v>2055</v>
      </c>
      <c r="F1894" s="4" t="inlineStr">
        <is>
          <t>LIM</t>
        </is>
      </c>
      <c r="G1894" s="4" t="inlineStr">
        <is>
          <t>AQP</t>
        </is>
      </c>
      <c r="H1894" s="4" t="inlineStr">
        <is>
          <t>13:50:00</t>
        </is>
      </c>
      <c r="I1894" s="4" t="inlineStr">
        <is>
          <t>15:20:00</t>
        </is>
      </c>
      <c r="J1894" s="4" t="n">
        <v>320</v>
      </c>
      <c r="L1894" s="4" t="inlineStr">
        <is>
          <t>01:30:00</t>
        </is>
      </c>
      <c r="M1894" s="5" t="n"/>
      <c r="N1894" s="6" t="n"/>
      <c r="O1894" s="5" t="n"/>
      <c r="Q1894" s="4">
        <f>B1894</f>
        <v/>
      </c>
      <c r="R1894" s="4">
        <f>C1894</f>
        <v/>
      </c>
      <c r="S1894" s="4">
        <f>D1894</f>
        <v/>
      </c>
      <c r="T1894" s="4">
        <f>E1894&amp;"/"&amp;E1895</f>
        <v/>
      </c>
      <c r="U1894" s="4">
        <f>F1894&amp;"-"&amp;G1894&amp;"-"&amp;F1894</f>
        <v/>
      </c>
      <c r="V1894" s="4">
        <f>IF($M$1894="","",$M$1894)</f>
        <v/>
      </c>
      <c r="W1894" s="4">
        <f>IF($O$1894="","",$O$1894)</f>
        <v/>
      </c>
      <c r="X1894" s="4">
        <f>J1894</f>
        <v/>
      </c>
    </row>
    <row r="1895">
      <c r="B1895" s="4" t="n">
        <v>1856</v>
      </c>
      <c r="C1895" s="4" t="inlineStr">
        <is>
          <t>21/09/2026</t>
        </is>
      </c>
      <c r="D1895" s="4" t="inlineStr">
        <is>
          <t>lunes</t>
        </is>
      </c>
      <c r="E1895" s="4" t="n">
        <v>2056</v>
      </c>
      <c r="F1895" s="4" t="inlineStr">
        <is>
          <t>AQP</t>
        </is>
      </c>
      <c r="G1895" s="4" t="inlineStr">
        <is>
          <t>LIM</t>
        </is>
      </c>
      <c r="H1895" s="4" t="inlineStr">
        <is>
          <t>16:10:00</t>
        </is>
      </c>
      <c r="I1895" s="4" t="inlineStr">
        <is>
          <t>17:50:00</t>
        </is>
      </c>
      <c r="J1895" s="4" t="n">
        <v>320</v>
      </c>
      <c r="K1895">
        <f>TEXT(TIMEVALUE(H1895)-TIMEVALUE(I1894)+(TIMEVALUE(H1895)&lt;TIMEVALUE(I1894)),"[h]:mm")</f>
        <v/>
      </c>
      <c r="L1895" s="4" t="inlineStr">
        <is>
          <t>01:40:00</t>
        </is>
      </c>
      <c r="O1895">
        <f>"LIM-"&amp;G1894&amp;"-LIM   LA "&amp;E1894&amp;" ("&amp;LEFT(H1894,5)&amp;"-"&amp;LEFT(I1894,5)&amp;" hrs)  /  LA "&amp;E1895&amp;" ("&amp;LEFT(H1895,5)&amp;"-"&amp;LEFT(I1895,5)&amp;" hrs)"</f>
        <v/>
      </c>
    </row>
    <row r="1896">
      <c r="J1896" s="8" t="inlineStr">
        <is>
          <t>PSV total:</t>
        </is>
      </c>
      <c r="K1896" s="9">
        <f>TEXT(TIMEVALUE(I1895)-TIMEVALUE(H1894)+(I1895&lt;H1894),"[h]:mm")</f>
        <v/>
      </c>
    </row>
    <row r="1898">
      <c r="B1898" s="3" t="inlineStr">
        <is>
          <t>Pairing ID</t>
        </is>
      </c>
      <c r="C1898" s="3" t="inlineStr">
        <is>
          <t>FECHA REAL</t>
        </is>
      </c>
      <c r="D1898" s="3" t="inlineStr">
        <is>
          <t>Day of Week</t>
        </is>
      </c>
      <c r="E1898" s="3" t="inlineStr">
        <is>
          <t>Flight No</t>
        </is>
      </c>
      <c r="F1898" s="3" t="inlineStr">
        <is>
          <t>Dep Stn</t>
        </is>
      </c>
      <c r="G1898" s="3" t="inlineStr">
        <is>
          <t>Arr Stn</t>
        </is>
      </c>
      <c r="H1898" s="3" t="inlineStr">
        <is>
          <t>STD</t>
        </is>
      </c>
      <c r="I1898" s="3" t="inlineStr">
        <is>
          <t>STA</t>
        </is>
      </c>
      <c r="J1898" s="3" t="inlineStr">
        <is>
          <t>subflota</t>
        </is>
      </c>
      <c r="K1898" s="3" t="inlineStr">
        <is>
          <t>Conexion</t>
        </is>
      </c>
      <c r="L1898" s="3" t="inlineStr">
        <is>
          <t>HBT</t>
        </is>
      </c>
    </row>
    <row r="1899">
      <c r="B1899" s="4" t="n">
        <v>1858</v>
      </c>
      <c r="C1899" s="4" t="inlineStr">
        <is>
          <t>21/09/2026</t>
        </is>
      </c>
      <c r="D1899" s="4" t="inlineStr">
        <is>
          <t>lunes</t>
        </is>
      </c>
      <c r="E1899" s="4" t="n">
        <v>2087</v>
      </c>
      <c r="F1899" s="4" t="inlineStr">
        <is>
          <t>LIM</t>
        </is>
      </c>
      <c r="G1899" s="4" t="inlineStr">
        <is>
          <t>TPP</t>
        </is>
      </c>
      <c r="H1899" s="4" t="inlineStr">
        <is>
          <t>14:05:00</t>
        </is>
      </c>
      <c r="I1899" s="4" t="inlineStr">
        <is>
          <t>15:30:00</t>
        </is>
      </c>
      <c r="J1899" s="4" t="n">
        <v>320</v>
      </c>
      <c r="L1899" s="4" t="inlineStr">
        <is>
          <t>01:25:00</t>
        </is>
      </c>
      <c r="M1899" s="5" t="n"/>
      <c r="N1899" s="6" t="n"/>
      <c r="O1899" s="5" t="n"/>
      <c r="Q1899" s="4">
        <f>B1899</f>
        <v/>
      </c>
      <c r="R1899" s="4">
        <f>C1899</f>
        <v/>
      </c>
      <c r="S1899" s="4">
        <f>D1899</f>
        <v/>
      </c>
      <c r="T1899" s="4">
        <f>E1899&amp;"/"&amp;E1900</f>
        <v/>
      </c>
      <c r="U1899" s="4">
        <f>F1899&amp;"-"&amp;G1899&amp;"-"&amp;F1899</f>
        <v/>
      </c>
      <c r="V1899" s="4">
        <f>IF($M$1899="","",$M$1899)</f>
        <v/>
      </c>
      <c r="W1899" s="4">
        <f>IF($O$1899="","",$O$1899)</f>
        <v/>
      </c>
      <c r="X1899" s="4">
        <f>J1899</f>
        <v/>
      </c>
    </row>
    <row r="1900">
      <c r="B1900" s="4" t="n">
        <v>1858</v>
      </c>
      <c r="C1900" s="4" t="inlineStr">
        <is>
          <t>21/09/2026</t>
        </is>
      </c>
      <c r="D1900" s="4" t="inlineStr">
        <is>
          <t>lunes</t>
        </is>
      </c>
      <c r="E1900" s="4" t="n">
        <v>2088</v>
      </c>
      <c r="F1900" s="4" t="inlineStr">
        <is>
          <t>TPP</t>
        </is>
      </c>
      <c r="G1900" s="4" t="inlineStr">
        <is>
          <t>LIM</t>
        </is>
      </c>
      <c r="H1900" s="4" t="inlineStr">
        <is>
          <t>16:05:00</t>
        </is>
      </c>
      <c r="I1900" s="4" t="inlineStr">
        <is>
          <t>17:30:00</t>
        </is>
      </c>
      <c r="J1900" s="4" t="n">
        <v>320</v>
      </c>
      <c r="K1900">
        <f>TEXT(TIMEVALUE(H1900)-TIMEVALUE(I1899)+(TIMEVALUE(H1900)&lt;TIMEVALUE(I1899)),"[h]:mm")</f>
        <v/>
      </c>
      <c r="L1900" s="4" t="inlineStr">
        <is>
          <t>01:25:00</t>
        </is>
      </c>
      <c r="O1900">
        <f>"LIM-"&amp;G1899&amp;"-LIM   LA "&amp;E1899&amp;" ("&amp;LEFT(H1899,5)&amp;"-"&amp;LEFT(I1899,5)&amp;" hrs)  /  LA "&amp;E1900&amp;" ("&amp;LEFT(H1900,5)&amp;"-"&amp;LEFT(I1900,5)&amp;" hrs)"</f>
        <v/>
      </c>
    </row>
    <row r="1901">
      <c r="J1901" s="8" t="inlineStr">
        <is>
          <t>PSV total:</t>
        </is>
      </c>
      <c r="K1901" s="9">
        <f>TEXT(TIMEVALUE(I1900)-TIMEVALUE(H1899)+(I1900&lt;H1899),"[h]:mm")</f>
        <v/>
      </c>
    </row>
    <row r="1903">
      <c r="B1903" s="3" t="inlineStr">
        <is>
          <t>Pairing ID</t>
        </is>
      </c>
      <c r="C1903" s="3" t="inlineStr">
        <is>
          <t>FECHA REAL</t>
        </is>
      </c>
      <c r="D1903" s="3" t="inlineStr">
        <is>
          <t>Day of Week</t>
        </is>
      </c>
      <c r="E1903" s="3" t="inlineStr">
        <is>
          <t>Flight No</t>
        </is>
      </c>
      <c r="F1903" s="3" t="inlineStr">
        <is>
          <t>Dep Stn</t>
        </is>
      </c>
      <c r="G1903" s="3" t="inlineStr">
        <is>
          <t>Arr Stn</t>
        </is>
      </c>
      <c r="H1903" s="3" t="inlineStr">
        <is>
          <t>STD</t>
        </is>
      </c>
      <c r="I1903" s="3" t="inlineStr">
        <is>
          <t>STA</t>
        </is>
      </c>
      <c r="J1903" s="3" t="inlineStr">
        <is>
          <t>subflota</t>
        </is>
      </c>
      <c r="K1903" s="3" t="inlineStr">
        <is>
          <t>Conexion</t>
        </is>
      </c>
      <c r="L1903" s="3" t="inlineStr">
        <is>
          <t>HBT</t>
        </is>
      </c>
    </row>
    <row r="1904">
      <c r="B1904" s="4" t="n">
        <v>1859</v>
      </c>
      <c r="C1904" s="4" t="inlineStr">
        <is>
          <t>21/09/2026</t>
        </is>
      </c>
      <c r="D1904" s="4" t="inlineStr">
        <is>
          <t>lunes</t>
        </is>
      </c>
      <c r="E1904" s="4" t="n">
        <v>2295</v>
      </c>
      <c r="F1904" s="4" t="inlineStr">
        <is>
          <t>LIM</t>
        </is>
      </c>
      <c r="G1904" s="4" t="inlineStr">
        <is>
          <t>CJA</t>
        </is>
      </c>
      <c r="H1904" s="4" t="inlineStr">
        <is>
          <t>14:10:00</t>
        </is>
      </c>
      <c r="I1904" s="4" t="inlineStr">
        <is>
          <t>15:30:00</t>
        </is>
      </c>
      <c r="J1904" s="4" t="n">
        <v>320</v>
      </c>
      <c r="L1904" s="4" t="inlineStr">
        <is>
          <t>01:20:00</t>
        </is>
      </c>
      <c r="M1904" s="5" t="n"/>
      <c r="N1904" s="6" t="n"/>
      <c r="O1904" s="5" t="n"/>
      <c r="Q1904" s="4">
        <f>B1904</f>
        <v/>
      </c>
      <c r="R1904" s="4">
        <f>C1904</f>
        <v/>
      </c>
      <c r="S1904" s="4">
        <f>D1904</f>
        <v/>
      </c>
      <c r="T1904" s="4">
        <f>E1904&amp;"/"&amp;E1905</f>
        <v/>
      </c>
      <c r="U1904" s="4">
        <f>F1904&amp;"-"&amp;G1904&amp;"-"&amp;F1904</f>
        <v/>
      </c>
      <c r="V1904" s="4">
        <f>IF($M$1904="","",$M$1904)</f>
        <v/>
      </c>
      <c r="W1904" s="4">
        <f>IF($O$1904="","",$O$1904)</f>
        <v/>
      </c>
      <c r="X1904" s="4">
        <f>J1904</f>
        <v/>
      </c>
    </row>
    <row r="1905">
      <c r="B1905" s="4" t="n">
        <v>1859</v>
      </c>
      <c r="C1905" s="4" t="inlineStr">
        <is>
          <t>21/09/2026</t>
        </is>
      </c>
      <c r="D1905" s="4" t="inlineStr">
        <is>
          <t>lunes</t>
        </is>
      </c>
      <c r="E1905" s="4" t="n">
        <v>2294</v>
      </c>
      <c r="F1905" s="4" t="inlineStr">
        <is>
          <t>CJA</t>
        </is>
      </c>
      <c r="G1905" s="4" t="inlineStr">
        <is>
          <t>LIM</t>
        </is>
      </c>
      <c r="H1905" s="4" t="inlineStr">
        <is>
          <t>16:10:00</t>
        </is>
      </c>
      <c r="I1905" s="4" t="inlineStr">
        <is>
          <t>17:15:00</t>
        </is>
      </c>
      <c r="J1905" s="4" t="n">
        <v>320</v>
      </c>
      <c r="K1905">
        <f>TEXT(TIMEVALUE(H1905)-TIMEVALUE(I1904)+(TIMEVALUE(H1905)&lt;TIMEVALUE(I1904)),"[h]:mm")</f>
        <v/>
      </c>
      <c r="L1905" s="4" t="inlineStr">
        <is>
          <t>01:05:00</t>
        </is>
      </c>
      <c r="O1905">
        <f>"LIM-"&amp;G1904&amp;"-LIM   LA "&amp;E1904&amp;" ("&amp;LEFT(H1904,5)&amp;"-"&amp;LEFT(I1904,5)&amp;" hrs)  /  LA "&amp;E1905&amp;" ("&amp;LEFT(H1905,5)&amp;"-"&amp;LEFT(I1905,5)&amp;" hrs)"</f>
        <v/>
      </c>
    </row>
    <row r="1906">
      <c r="J1906" s="8" t="inlineStr">
        <is>
          <t>PSV total:</t>
        </is>
      </c>
      <c r="K1906" s="9">
        <f>TEXT(TIMEVALUE(I1905)-TIMEVALUE(H1904)+(I1905&lt;H1904),"[h]:mm")</f>
        <v/>
      </c>
    </row>
    <row r="1908">
      <c r="B1908" s="3" t="inlineStr">
        <is>
          <t>Pairing ID</t>
        </is>
      </c>
      <c r="C1908" s="3" t="inlineStr">
        <is>
          <t>FECHA REAL</t>
        </is>
      </c>
      <c r="D1908" s="3" t="inlineStr">
        <is>
          <t>Day of Week</t>
        </is>
      </c>
      <c r="E1908" s="3" t="inlineStr">
        <is>
          <t>Flight No</t>
        </is>
      </c>
      <c r="F1908" s="3" t="inlineStr">
        <is>
          <t>Dep Stn</t>
        </is>
      </c>
      <c r="G1908" s="3" t="inlineStr">
        <is>
          <t>Arr Stn</t>
        </is>
      </c>
      <c r="H1908" s="3" t="inlineStr">
        <is>
          <t>STD</t>
        </is>
      </c>
      <c r="I1908" s="3" t="inlineStr">
        <is>
          <t>STA</t>
        </is>
      </c>
      <c r="J1908" s="3" t="inlineStr">
        <is>
          <t>subflota</t>
        </is>
      </c>
      <c r="K1908" s="3" t="inlineStr">
        <is>
          <t>Conexion</t>
        </is>
      </c>
      <c r="L1908" s="3" t="inlineStr">
        <is>
          <t>HBT</t>
        </is>
      </c>
    </row>
    <row r="1909">
      <c r="B1909" s="4" t="n">
        <v>1862</v>
      </c>
      <c r="C1909" s="4" t="inlineStr">
        <is>
          <t>21/09/2026</t>
        </is>
      </c>
      <c r="D1909" s="4" t="inlineStr">
        <is>
          <t>lunes</t>
        </is>
      </c>
      <c r="E1909" s="4" t="n">
        <v>2264</v>
      </c>
      <c r="F1909" s="4" t="inlineStr">
        <is>
          <t>LIM</t>
        </is>
      </c>
      <c r="G1909" s="4" t="inlineStr">
        <is>
          <t>PEM</t>
        </is>
      </c>
      <c r="H1909" s="4" t="inlineStr">
        <is>
          <t>14:55:00</t>
        </is>
      </c>
      <c r="I1909" s="4" t="inlineStr">
        <is>
          <t>16:40:00</t>
        </is>
      </c>
      <c r="J1909" s="4" t="n">
        <v>320</v>
      </c>
      <c r="L1909" s="4" t="inlineStr">
        <is>
          <t>01:45:00</t>
        </is>
      </c>
      <c r="M1909" s="5" t="n"/>
      <c r="N1909" s="6" t="n"/>
      <c r="O1909" s="5" t="n"/>
      <c r="Q1909" s="4">
        <f>B1909</f>
        <v/>
      </c>
      <c r="R1909" s="4">
        <f>C1909</f>
        <v/>
      </c>
      <c r="S1909" s="4">
        <f>D1909</f>
        <v/>
      </c>
      <c r="T1909" s="4">
        <f>E1909&amp;"/"&amp;E1910</f>
        <v/>
      </c>
      <c r="U1909" s="4">
        <f>F1909&amp;"-"&amp;G1909&amp;"-"&amp;F1909</f>
        <v/>
      </c>
      <c r="V1909" s="4">
        <f>IF($M$1909="","",$M$1909)</f>
        <v/>
      </c>
      <c r="W1909" s="4">
        <f>IF($O$1909="","",$O$1909)</f>
        <v/>
      </c>
      <c r="X1909" s="4">
        <f>J1909</f>
        <v/>
      </c>
    </row>
    <row r="1910">
      <c r="B1910" s="4" t="n">
        <v>1862</v>
      </c>
      <c r="C1910" s="4" t="inlineStr">
        <is>
          <t>21/09/2026</t>
        </is>
      </c>
      <c r="D1910" s="4" t="inlineStr">
        <is>
          <t>lunes</t>
        </is>
      </c>
      <c r="E1910" s="4" t="n">
        <v>2265</v>
      </c>
      <c r="F1910" s="4" t="inlineStr">
        <is>
          <t>PEM</t>
        </is>
      </c>
      <c r="G1910" s="4" t="inlineStr">
        <is>
          <t>LIM</t>
        </is>
      </c>
      <c r="H1910" s="4" t="inlineStr">
        <is>
          <t>17:20:00</t>
        </is>
      </c>
      <c r="I1910" s="4" t="inlineStr">
        <is>
          <t>18:55:00</t>
        </is>
      </c>
      <c r="J1910" s="4" t="n">
        <v>320</v>
      </c>
      <c r="K1910">
        <f>TEXT(TIMEVALUE(H1910)-TIMEVALUE(I1909)+(TIMEVALUE(H1910)&lt;TIMEVALUE(I1909)),"[h]:mm")</f>
        <v/>
      </c>
      <c r="L1910" s="4" t="inlineStr">
        <is>
          <t>01:35:00</t>
        </is>
      </c>
      <c r="O1910">
        <f>"LIM-"&amp;G1909&amp;"-LIM   LA "&amp;E1909&amp;" ("&amp;LEFT(H1909,5)&amp;"-"&amp;LEFT(I1909,5)&amp;" hrs)  /  LA "&amp;E1910&amp;" ("&amp;LEFT(H1910,5)&amp;"-"&amp;LEFT(I1910,5)&amp;" hrs)"</f>
        <v/>
      </c>
    </row>
    <row r="1911">
      <c r="J1911" s="8" t="inlineStr">
        <is>
          <t>PSV total:</t>
        </is>
      </c>
      <c r="K1911" s="9">
        <f>TEXT(TIMEVALUE(I1910)-TIMEVALUE(H1909)+(I1910&lt;H1909),"[h]:mm")</f>
        <v/>
      </c>
    </row>
    <row r="1913">
      <c r="B1913" s="3" t="inlineStr">
        <is>
          <t>Pairing ID</t>
        </is>
      </c>
      <c r="C1913" s="3" t="inlineStr">
        <is>
          <t>FECHA REAL</t>
        </is>
      </c>
      <c r="D1913" s="3" t="inlineStr">
        <is>
          <t>Day of Week</t>
        </is>
      </c>
      <c r="E1913" s="3" t="inlineStr">
        <is>
          <t>Flight No</t>
        </is>
      </c>
      <c r="F1913" s="3" t="inlineStr">
        <is>
          <t>Dep Stn</t>
        </is>
      </c>
      <c r="G1913" s="3" t="inlineStr">
        <is>
          <t>Arr Stn</t>
        </is>
      </c>
      <c r="H1913" s="3" t="inlineStr">
        <is>
          <t>STD</t>
        </is>
      </c>
      <c r="I1913" s="3" t="inlineStr">
        <is>
          <t>STA</t>
        </is>
      </c>
      <c r="J1913" s="3" t="inlineStr">
        <is>
          <t>subflota</t>
        </is>
      </c>
      <c r="K1913" s="3" t="inlineStr">
        <is>
          <t>Conexion</t>
        </is>
      </c>
      <c r="L1913" s="3" t="inlineStr">
        <is>
          <t>HBT</t>
        </is>
      </c>
    </row>
    <row r="1914">
      <c r="B1914" s="4" t="n">
        <v>1863</v>
      </c>
      <c r="C1914" s="4" t="inlineStr">
        <is>
          <t>21/09/2026</t>
        </is>
      </c>
      <c r="D1914" s="4" t="inlineStr">
        <is>
          <t>lunes</t>
        </is>
      </c>
      <c r="E1914" s="4" t="n">
        <v>2248</v>
      </c>
      <c r="F1914" s="4" t="inlineStr">
        <is>
          <t>LIM</t>
        </is>
      </c>
      <c r="G1914" s="4" t="inlineStr">
        <is>
          <t>CUZ</t>
        </is>
      </c>
      <c r="H1914" s="4" t="inlineStr">
        <is>
          <t>15:00:00</t>
        </is>
      </c>
      <c r="I1914" s="4" t="inlineStr">
        <is>
          <t>16:20:00</t>
        </is>
      </c>
      <c r="J1914" s="4" t="n">
        <v>320</v>
      </c>
      <c r="L1914" s="4" t="inlineStr">
        <is>
          <t>01:20:00</t>
        </is>
      </c>
      <c r="M1914" s="5" t="n"/>
      <c r="N1914" s="6" t="n"/>
      <c r="O1914" s="5" t="n"/>
      <c r="Q1914" s="4">
        <f>B1914</f>
        <v/>
      </c>
      <c r="R1914" s="4">
        <f>C1914</f>
        <v/>
      </c>
      <c r="S1914" s="4">
        <f>D1914</f>
        <v/>
      </c>
      <c r="T1914" s="4">
        <f>E1914&amp;"/"&amp;E1915</f>
        <v/>
      </c>
      <c r="U1914" s="4">
        <f>F1914&amp;"-"&amp;G1914&amp;"-"&amp;F1914</f>
        <v/>
      </c>
      <c r="V1914" s="4">
        <f>IF($M$1914="","",$M$1914)</f>
        <v/>
      </c>
      <c r="W1914" s="4">
        <f>IF($O$1914="","",$O$1914)</f>
        <v/>
      </c>
      <c r="X1914" s="4">
        <f>J1914</f>
        <v/>
      </c>
    </row>
    <row r="1915">
      <c r="B1915" s="4" t="n">
        <v>1863</v>
      </c>
      <c r="C1915" s="4" t="inlineStr">
        <is>
          <t>21/09/2026</t>
        </is>
      </c>
      <c r="D1915" s="4" t="inlineStr">
        <is>
          <t>lunes</t>
        </is>
      </c>
      <c r="E1915" s="4" t="n">
        <v>2249</v>
      </c>
      <c r="F1915" s="4" t="inlineStr">
        <is>
          <t>CUZ</t>
        </is>
      </c>
      <c r="G1915" s="4" t="inlineStr">
        <is>
          <t>LIM</t>
        </is>
      </c>
      <c r="H1915" s="4" t="inlineStr">
        <is>
          <t>17:00:00</t>
        </is>
      </c>
      <c r="I1915" s="4" t="inlineStr">
        <is>
          <t>18:35:00</t>
        </is>
      </c>
      <c r="J1915" s="4" t="n">
        <v>320</v>
      </c>
      <c r="K1915">
        <f>TEXT(TIMEVALUE(H1915)-TIMEVALUE(I1914)+(TIMEVALUE(H1915)&lt;TIMEVALUE(I1914)),"[h]:mm")</f>
        <v/>
      </c>
      <c r="L1915" s="4" t="inlineStr">
        <is>
          <t>01:35:00</t>
        </is>
      </c>
      <c r="O1915">
        <f>"LIM-"&amp;G1914&amp;"-LIM   LA "&amp;E1914&amp;" ("&amp;LEFT(H1914,5)&amp;"-"&amp;LEFT(I1914,5)&amp;" hrs)  /  LA "&amp;E1915&amp;" ("&amp;LEFT(H1915,5)&amp;"-"&amp;LEFT(I1915,5)&amp;" hrs)"</f>
        <v/>
      </c>
    </row>
    <row r="1916">
      <c r="J1916" s="8" t="inlineStr">
        <is>
          <t>PSV total:</t>
        </is>
      </c>
      <c r="K1916" s="9">
        <f>TEXT(TIMEVALUE(I1915)-TIMEVALUE(H1914)+(I1915&lt;H1914),"[h]:mm")</f>
        <v/>
      </c>
    </row>
    <row r="1918">
      <c r="B1918" s="3" t="inlineStr">
        <is>
          <t>Pairing ID</t>
        </is>
      </c>
      <c r="C1918" s="3" t="inlineStr">
        <is>
          <t>FECHA REAL</t>
        </is>
      </c>
      <c r="D1918" s="3" t="inlineStr">
        <is>
          <t>Day of Week</t>
        </is>
      </c>
      <c r="E1918" s="3" t="inlineStr">
        <is>
          <t>Flight No</t>
        </is>
      </c>
      <c r="F1918" s="3" t="inlineStr">
        <is>
          <t>Dep Stn</t>
        </is>
      </c>
      <c r="G1918" s="3" t="inlineStr">
        <is>
          <t>Arr Stn</t>
        </is>
      </c>
      <c r="H1918" s="3" t="inlineStr">
        <is>
          <t>STD</t>
        </is>
      </c>
      <c r="I1918" s="3" t="inlineStr">
        <is>
          <t>STA</t>
        </is>
      </c>
      <c r="J1918" s="3" t="inlineStr">
        <is>
          <t>subflota</t>
        </is>
      </c>
      <c r="K1918" s="3" t="inlineStr">
        <is>
          <t>Conexion</t>
        </is>
      </c>
      <c r="L1918" s="3" t="inlineStr">
        <is>
          <t>HBT</t>
        </is>
      </c>
    </row>
    <row r="1919">
      <c r="B1919" s="4" t="n">
        <v>1864</v>
      </c>
      <c r="C1919" s="4" t="inlineStr">
        <is>
          <t>21/09/2026</t>
        </is>
      </c>
      <c r="D1919" s="4" t="inlineStr">
        <is>
          <t>lunes</t>
        </is>
      </c>
      <c r="E1919" s="4" t="n">
        <v>2338</v>
      </c>
      <c r="F1919" s="4" t="inlineStr">
        <is>
          <t>LIM</t>
        </is>
      </c>
      <c r="G1919" s="4" t="inlineStr">
        <is>
          <t>PIU</t>
        </is>
      </c>
      <c r="H1919" s="4" t="inlineStr">
        <is>
          <t>15:00:00</t>
        </is>
      </c>
      <c r="I1919" s="4" t="inlineStr">
        <is>
          <t>16:45:00</t>
        </is>
      </c>
      <c r="J1919" s="4" t="n">
        <v>320</v>
      </c>
      <c r="L1919" s="4" t="inlineStr">
        <is>
          <t>01:45:00</t>
        </is>
      </c>
      <c r="M1919" s="5" t="n"/>
      <c r="N1919" s="6" t="n"/>
      <c r="O1919" s="5" t="n"/>
      <c r="Q1919" s="4">
        <f>B1919</f>
        <v/>
      </c>
      <c r="R1919" s="4">
        <f>C1919</f>
        <v/>
      </c>
      <c r="S1919" s="4">
        <f>D1919</f>
        <v/>
      </c>
      <c r="T1919" s="4">
        <f>E1919&amp;"/"&amp;E1920</f>
        <v/>
      </c>
      <c r="U1919" s="4">
        <f>F1919&amp;"-"&amp;G1919&amp;"-"&amp;F1919</f>
        <v/>
      </c>
      <c r="V1919" s="4">
        <f>IF($M$1919="","",$M$1919)</f>
        <v/>
      </c>
      <c r="W1919" s="4">
        <f>IF($O$1919="","",$O$1919)</f>
        <v/>
      </c>
      <c r="X1919" s="4">
        <f>J1919</f>
        <v/>
      </c>
    </row>
    <row r="1920">
      <c r="B1920" s="4" t="n">
        <v>1864</v>
      </c>
      <c r="C1920" s="4" t="inlineStr">
        <is>
          <t>21/09/2026</t>
        </is>
      </c>
      <c r="D1920" s="4" t="inlineStr">
        <is>
          <t>lunes</t>
        </is>
      </c>
      <c r="E1920" s="4" t="n">
        <v>2339</v>
      </c>
      <c r="F1920" s="4" t="inlineStr">
        <is>
          <t>PIU</t>
        </is>
      </c>
      <c r="G1920" s="4" t="inlineStr">
        <is>
          <t>LIM</t>
        </is>
      </c>
      <c r="H1920" s="4" t="inlineStr">
        <is>
          <t>17:20:00</t>
        </is>
      </c>
      <c r="I1920" s="4" t="inlineStr">
        <is>
          <t>18:50:00</t>
        </is>
      </c>
      <c r="J1920" s="4" t="n">
        <v>320</v>
      </c>
      <c r="K1920">
        <f>TEXT(TIMEVALUE(H1920)-TIMEVALUE(I1919)+(TIMEVALUE(H1920)&lt;TIMEVALUE(I1919)),"[h]:mm")</f>
        <v/>
      </c>
      <c r="L1920" s="4" t="inlineStr">
        <is>
          <t>01:30:00</t>
        </is>
      </c>
      <c r="O1920">
        <f>"LIM-"&amp;G1919&amp;"-LIM   LA "&amp;E1919&amp;" ("&amp;LEFT(H1919,5)&amp;"-"&amp;LEFT(I1919,5)&amp;" hrs)  /  LA "&amp;E1920&amp;" ("&amp;LEFT(H1920,5)&amp;"-"&amp;LEFT(I1920,5)&amp;" hrs)"</f>
        <v/>
      </c>
    </row>
    <row r="1921">
      <c r="J1921" s="8" t="inlineStr">
        <is>
          <t>PSV total:</t>
        </is>
      </c>
      <c r="K1921" s="9">
        <f>TEXT(TIMEVALUE(I1920)-TIMEVALUE(H1919)+(I1920&lt;H1919),"[h]:mm")</f>
        <v/>
      </c>
    </row>
    <row r="1923">
      <c r="B1923" s="3" t="inlineStr">
        <is>
          <t>Pairing ID</t>
        </is>
      </c>
      <c r="C1923" s="3" t="inlineStr">
        <is>
          <t>FECHA REAL</t>
        </is>
      </c>
      <c r="D1923" s="3" t="inlineStr">
        <is>
          <t>Day of Week</t>
        </is>
      </c>
      <c r="E1923" s="3" t="inlineStr">
        <is>
          <t>Flight No</t>
        </is>
      </c>
      <c r="F1923" s="3" t="inlineStr">
        <is>
          <t>Dep Stn</t>
        </is>
      </c>
      <c r="G1923" s="3" t="inlineStr">
        <is>
          <t>Arr Stn</t>
        </is>
      </c>
      <c r="H1923" s="3" t="inlineStr">
        <is>
          <t>STD</t>
        </is>
      </c>
      <c r="I1923" s="3" t="inlineStr">
        <is>
          <t>STA</t>
        </is>
      </c>
      <c r="J1923" s="3" t="inlineStr">
        <is>
          <t>subflota</t>
        </is>
      </c>
      <c r="K1923" s="3" t="inlineStr">
        <is>
          <t>Conexion</t>
        </is>
      </c>
      <c r="L1923" s="3" t="inlineStr">
        <is>
          <t>HBT</t>
        </is>
      </c>
    </row>
    <row r="1924">
      <c r="B1924" s="4" t="n">
        <v>1868</v>
      </c>
      <c r="C1924" s="4" t="inlineStr">
        <is>
          <t>21/09/2026</t>
        </is>
      </c>
      <c r="D1924" s="4" t="inlineStr">
        <is>
          <t>lunes</t>
        </is>
      </c>
      <c r="E1924" s="4" t="n">
        <v>2360</v>
      </c>
      <c r="F1924" s="4" t="inlineStr">
        <is>
          <t>LIM</t>
        </is>
      </c>
      <c r="G1924" s="4" t="inlineStr">
        <is>
          <t>PCL</t>
        </is>
      </c>
      <c r="H1924" s="4" t="inlineStr">
        <is>
          <t>15:25:00</t>
        </is>
      </c>
      <c r="I1924" s="4" t="inlineStr">
        <is>
          <t>16:40:00</t>
        </is>
      </c>
      <c r="J1924" s="4" t="n">
        <v>320</v>
      </c>
      <c r="L1924" s="4" t="inlineStr">
        <is>
          <t>01:15:00</t>
        </is>
      </c>
      <c r="M1924" s="5" t="n"/>
      <c r="N1924" s="6" t="n"/>
      <c r="O1924" s="5" t="n"/>
      <c r="Q1924" s="4">
        <f>B1924</f>
        <v/>
      </c>
      <c r="R1924" s="4">
        <f>C1924</f>
        <v/>
      </c>
      <c r="S1924" s="4">
        <f>D1924</f>
        <v/>
      </c>
      <c r="T1924" s="4">
        <f>E1924&amp;"/"&amp;E1925</f>
        <v/>
      </c>
      <c r="U1924" s="4">
        <f>F1924&amp;"-"&amp;G1924&amp;"-"&amp;F1924</f>
        <v/>
      </c>
      <c r="V1924" s="4">
        <f>IF($M$1924="","",$M$1924)</f>
        <v/>
      </c>
      <c r="W1924" s="4">
        <f>IF($O$1924="","",$O$1924)</f>
        <v/>
      </c>
      <c r="X1924" s="4">
        <f>J1924</f>
        <v/>
      </c>
    </row>
    <row r="1925">
      <c r="B1925" s="4" t="n">
        <v>1868</v>
      </c>
      <c r="C1925" s="4" t="inlineStr">
        <is>
          <t>21/09/2026</t>
        </is>
      </c>
      <c r="D1925" s="4" t="inlineStr">
        <is>
          <t>lunes</t>
        </is>
      </c>
      <c r="E1925" s="4" t="n">
        <v>2361</v>
      </c>
      <c r="F1925" s="4" t="inlineStr">
        <is>
          <t>PCL</t>
        </is>
      </c>
      <c r="G1925" s="4" t="inlineStr">
        <is>
          <t>LIM</t>
        </is>
      </c>
      <c r="H1925" s="4" t="inlineStr">
        <is>
          <t>17:20:00</t>
        </is>
      </c>
      <c r="I1925" s="4" t="inlineStr">
        <is>
          <t>18:35:00</t>
        </is>
      </c>
      <c r="J1925" s="4" t="n">
        <v>320</v>
      </c>
      <c r="K1925">
        <f>TEXT(TIMEVALUE(H1925)-TIMEVALUE(I1924)+(TIMEVALUE(H1925)&lt;TIMEVALUE(I1924)),"[h]:mm")</f>
        <v/>
      </c>
      <c r="L1925" s="4" t="inlineStr">
        <is>
          <t>01:15:00</t>
        </is>
      </c>
      <c r="O1925">
        <f>"LIM-"&amp;G1924&amp;"-LIM   LA "&amp;E1924&amp;" ("&amp;LEFT(H1924,5)&amp;"-"&amp;LEFT(I1924,5)&amp;" hrs)  /  LA "&amp;E1925&amp;" ("&amp;LEFT(H1925,5)&amp;"-"&amp;LEFT(I1925,5)&amp;" hrs)"</f>
        <v/>
      </c>
    </row>
    <row r="1926">
      <c r="J1926" s="8" t="inlineStr">
        <is>
          <t>PSV total:</t>
        </is>
      </c>
      <c r="K1926" s="9">
        <f>TEXT(TIMEVALUE(I1925)-TIMEVALUE(H1924)+(I1925&lt;H1924),"[h]:mm")</f>
        <v/>
      </c>
    </row>
    <row r="1928">
      <c r="B1928" s="3" t="inlineStr">
        <is>
          <t>Pairing ID</t>
        </is>
      </c>
      <c r="C1928" s="3" t="inlineStr">
        <is>
          <t>FECHA REAL</t>
        </is>
      </c>
      <c r="D1928" s="3" t="inlineStr">
        <is>
          <t>Day of Week</t>
        </is>
      </c>
      <c r="E1928" s="3" t="inlineStr">
        <is>
          <t>Flight No</t>
        </is>
      </c>
      <c r="F1928" s="3" t="inlineStr">
        <is>
          <t>Dep Stn</t>
        </is>
      </c>
      <c r="G1928" s="3" t="inlineStr">
        <is>
          <t>Arr Stn</t>
        </is>
      </c>
      <c r="H1928" s="3" t="inlineStr">
        <is>
          <t>STD</t>
        </is>
      </c>
      <c r="I1928" s="3" t="inlineStr">
        <is>
          <t>STA</t>
        </is>
      </c>
      <c r="J1928" s="3" t="inlineStr">
        <is>
          <t>subflota</t>
        </is>
      </c>
      <c r="K1928" s="3" t="inlineStr">
        <is>
          <t>Conexion</t>
        </is>
      </c>
      <c r="L1928" s="3" t="inlineStr">
        <is>
          <t>HBT</t>
        </is>
      </c>
    </row>
    <row r="1929">
      <c r="B1929" s="4" t="n">
        <v>1869</v>
      </c>
      <c r="C1929" s="4" t="inlineStr">
        <is>
          <t>21/09/2026</t>
        </is>
      </c>
      <c r="D1929" s="4" t="inlineStr">
        <is>
          <t>lunes</t>
        </is>
      </c>
      <c r="E1929" s="4" t="n">
        <v>2360</v>
      </c>
      <c r="F1929" s="4" t="inlineStr">
        <is>
          <t>LIM</t>
        </is>
      </c>
      <c r="G1929" s="4" t="inlineStr">
        <is>
          <t>PCL</t>
        </is>
      </c>
      <c r="H1929" s="4" t="inlineStr">
        <is>
          <t>15:25:00</t>
        </is>
      </c>
      <c r="I1929" s="4" t="inlineStr">
        <is>
          <t>16:40:00</t>
        </is>
      </c>
      <c r="J1929" s="4" t="n">
        <v>320</v>
      </c>
      <c r="L1929" s="4" t="inlineStr">
        <is>
          <t>01:15:00</t>
        </is>
      </c>
      <c r="M1929" s="5" t="n"/>
      <c r="N1929" s="6" t="n"/>
      <c r="O1929" s="5" t="n"/>
      <c r="Q1929" s="4">
        <f>B1929</f>
        <v/>
      </c>
      <c r="R1929" s="4">
        <f>C1929</f>
        <v/>
      </c>
      <c r="S1929" s="4">
        <f>D1929</f>
        <v/>
      </c>
      <c r="T1929" s="4">
        <f>E1929&amp;"/"&amp;E1930</f>
        <v/>
      </c>
      <c r="U1929" s="4">
        <f>F1929&amp;"-"&amp;G1929&amp;"-"&amp;F1929</f>
        <v/>
      </c>
      <c r="V1929" s="4">
        <f>IF($M$1929="","",$M$1929)</f>
        <v/>
      </c>
      <c r="W1929" s="4">
        <f>IF($O$1929="","",$O$1929)</f>
        <v/>
      </c>
      <c r="X1929" s="4">
        <f>J1929</f>
        <v/>
      </c>
    </row>
    <row r="1930">
      <c r="B1930" s="4" t="n">
        <v>1869</v>
      </c>
      <c r="C1930" s="4" t="inlineStr">
        <is>
          <t>21/09/2026</t>
        </is>
      </c>
      <c r="D1930" s="4" t="inlineStr">
        <is>
          <t>lunes</t>
        </is>
      </c>
      <c r="E1930" s="4" t="n">
        <v>2361</v>
      </c>
      <c r="F1930" s="4" t="inlineStr">
        <is>
          <t>PCL</t>
        </is>
      </c>
      <c r="G1930" s="4" t="inlineStr">
        <is>
          <t>LIM</t>
        </is>
      </c>
      <c r="H1930" s="4" t="inlineStr">
        <is>
          <t>17:20:00</t>
        </is>
      </c>
      <c r="I1930" s="4" t="inlineStr">
        <is>
          <t>18:35:00</t>
        </is>
      </c>
      <c r="J1930" s="4" t="n">
        <v>320</v>
      </c>
      <c r="K1930">
        <f>TEXT(TIMEVALUE(H1930)-TIMEVALUE(I1929)+(TIMEVALUE(H1930)&lt;TIMEVALUE(I1929)),"[h]:mm")</f>
        <v/>
      </c>
      <c r="L1930" s="4" t="inlineStr">
        <is>
          <t>01:15:00</t>
        </is>
      </c>
      <c r="O1930">
        <f>"LIM-"&amp;G1929&amp;"-LIM   LA "&amp;E1929&amp;" ("&amp;LEFT(H1929,5)&amp;"-"&amp;LEFT(I1929,5)&amp;" hrs)  /  LA "&amp;E1930&amp;" ("&amp;LEFT(H1930,5)&amp;"-"&amp;LEFT(I1930,5)&amp;" hrs)"</f>
        <v/>
      </c>
    </row>
    <row r="1931">
      <c r="J1931" s="8" t="inlineStr">
        <is>
          <t>PSV total:</t>
        </is>
      </c>
      <c r="K1931" s="9">
        <f>TEXT(TIMEVALUE(I1930)-TIMEVALUE(H1929)+(I1930&lt;H1929),"[h]:mm")</f>
        <v/>
      </c>
    </row>
    <row r="1933">
      <c r="B1933" s="3" t="inlineStr">
        <is>
          <t>Pairing ID</t>
        </is>
      </c>
      <c r="C1933" s="3" t="inlineStr">
        <is>
          <t>FECHA REAL</t>
        </is>
      </c>
      <c r="D1933" s="3" t="inlineStr">
        <is>
          <t>Day of Week</t>
        </is>
      </c>
      <c r="E1933" s="3" t="inlineStr">
        <is>
          <t>Flight No</t>
        </is>
      </c>
      <c r="F1933" s="3" t="inlineStr">
        <is>
          <t>Dep Stn</t>
        </is>
      </c>
      <c r="G1933" s="3" t="inlineStr">
        <is>
          <t>Arr Stn</t>
        </is>
      </c>
      <c r="H1933" s="3" t="inlineStr">
        <is>
          <t>STD</t>
        </is>
      </c>
      <c r="I1933" s="3" t="inlineStr">
        <is>
          <t>STA</t>
        </is>
      </c>
      <c r="J1933" s="3" t="inlineStr">
        <is>
          <t>subflota</t>
        </is>
      </c>
      <c r="K1933" s="3" t="inlineStr">
        <is>
          <t>Conexion</t>
        </is>
      </c>
      <c r="L1933" s="3" t="inlineStr">
        <is>
          <t>HBT</t>
        </is>
      </c>
    </row>
    <row r="1934">
      <c r="B1934" s="4" t="n">
        <v>1870</v>
      </c>
      <c r="C1934" s="4" t="inlineStr">
        <is>
          <t>21/09/2026</t>
        </is>
      </c>
      <c r="D1934" s="4" t="inlineStr">
        <is>
          <t>lunes</t>
        </is>
      </c>
      <c r="E1934" s="4" t="n">
        <v>2312</v>
      </c>
      <c r="F1934" s="4" t="inlineStr">
        <is>
          <t>LIM</t>
        </is>
      </c>
      <c r="G1934" s="4" t="inlineStr">
        <is>
          <t>CIX</t>
        </is>
      </c>
      <c r="H1934" s="4" t="inlineStr">
        <is>
          <t>15:35:00</t>
        </is>
      </c>
      <c r="I1934" s="4" t="inlineStr">
        <is>
          <t>17:05:00</t>
        </is>
      </c>
      <c r="J1934" s="4" t="n">
        <v>319</v>
      </c>
      <c r="L1934" s="4" t="inlineStr">
        <is>
          <t>01:30:00</t>
        </is>
      </c>
      <c r="M1934" s="5" t="n"/>
      <c r="N1934" s="6" t="n"/>
      <c r="O1934" s="5" t="n"/>
      <c r="Q1934" s="4">
        <f>B1934</f>
        <v/>
      </c>
      <c r="R1934" s="4">
        <f>C1934</f>
        <v/>
      </c>
      <c r="S1934" s="4">
        <f>D1934</f>
        <v/>
      </c>
      <c r="T1934" s="4">
        <f>E1934&amp;"/"&amp;E1935</f>
        <v/>
      </c>
      <c r="U1934" s="4">
        <f>F1934&amp;"-"&amp;G1934&amp;"-"&amp;F1934</f>
        <v/>
      </c>
      <c r="V1934" s="4">
        <f>IF($M$1934="","",$M$1934)</f>
        <v/>
      </c>
      <c r="W1934" s="4">
        <f>IF($O$1934="","",$O$1934)</f>
        <v/>
      </c>
      <c r="X1934" s="4">
        <f>J1934</f>
        <v/>
      </c>
    </row>
    <row r="1935">
      <c r="B1935" s="4" t="n">
        <v>1870</v>
      </c>
      <c r="C1935" s="4" t="inlineStr">
        <is>
          <t>21/09/2026</t>
        </is>
      </c>
      <c r="D1935" s="4" t="inlineStr">
        <is>
          <t>lunes</t>
        </is>
      </c>
      <c r="E1935" s="4" t="n">
        <v>2313</v>
      </c>
      <c r="F1935" s="4" t="inlineStr">
        <is>
          <t>CIX</t>
        </is>
      </c>
      <c r="G1935" s="4" t="inlineStr">
        <is>
          <t>LIM</t>
        </is>
      </c>
      <c r="H1935" s="4" t="inlineStr">
        <is>
          <t>17:50:00</t>
        </is>
      </c>
      <c r="I1935" s="4" t="inlineStr">
        <is>
          <t>19:10:00</t>
        </is>
      </c>
      <c r="J1935" s="4" t="n">
        <v>319</v>
      </c>
      <c r="K1935">
        <f>TEXT(TIMEVALUE(H1935)-TIMEVALUE(I1934)+(TIMEVALUE(H1935)&lt;TIMEVALUE(I1934)),"[h]:mm")</f>
        <v/>
      </c>
      <c r="L1935" s="4" t="inlineStr">
        <is>
          <t>01:20:00</t>
        </is>
      </c>
      <c r="O1935">
        <f>"LIM-"&amp;G1934&amp;"-LIM   LA "&amp;E1934&amp;" ("&amp;LEFT(H1934,5)&amp;"-"&amp;LEFT(I1934,5)&amp;" hrs)  /  LA "&amp;E1935&amp;" ("&amp;LEFT(H1935,5)&amp;"-"&amp;LEFT(I1935,5)&amp;" hrs)"</f>
        <v/>
      </c>
    </row>
    <row r="1936">
      <c r="J1936" s="8" t="inlineStr">
        <is>
          <t>PSV total:</t>
        </is>
      </c>
      <c r="K1936" s="9">
        <f>TEXT(TIMEVALUE(I1935)-TIMEVALUE(H1934)+(I1935&lt;H1934),"[h]:mm")</f>
        <v/>
      </c>
    </row>
    <row r="1938">
      <c r="B1938" s="3" t="inlineStr">
        <is>
          <t>Pairing ID</t>
        </is>
      </c>
      <c r="C1938" s="3" t="inlineStr">
        <is>
          <t>FECHA REAL</t>
        </is>
      </c>
      <c r="D1938" s="3" t="inlineStr">
        <is>
          <t>Day of Week</t>
        </is>
      </c>
      <c r="E1938" s="3" t="inlineStr">
        <is>
          <t>Flight No</t>
        </is>
      </c>
      <c r="F1938" s="3" t="inlineStr">
        <is>
          <t>Dep Stn</t>
        </is>
      </c>
      <c r="G1938" s="3" t="inlineStr">
        <is>
          <t>Arr Stn</t>
        </is>
      </c>
      <c r="H1938" s="3" t="inlineStr">
        <is>
          <t>STD</t>
        </is>
      </c>
      <c r="I1938" s="3" t="inlineStr">
        <is>
          <t>STA</t>
        </is>
      </c>
      <c r="J1938" s="3" t="inlineStr">
        <is>
          <t>subflota</t>
        </is>
      </c>
      <c r="K1938" s="3" t="inlineStr">
        <is>
          <t>Conexion</t>
        </is>
      </c>
      <c r="L1938" s="3" t="inlineStr">
        <is>
          <t>HBT</t>
        </is>
      </c>
    </row>
    <row r="1939">
      <c r="B1939" s="4" t="n">
        <v>1871</v>
      </c>
      <c r="C1939" s="4" t="inlineStr">
        <is>
          <t>21/09/2026</t>
        </is>
      </c>
      <c r="D1939" s="4" t="inlineStr">
        <is>
          <t>lunes</t>
        </is>
      </c>
      <c r="E1939" s="4" t="n">
        <v>2301</v>
      </c>
      <c r="F1939" s="4" t="inlineStr">
        <is>
          <t>LIM</t>
        </is>
      </c>
      <c r="G1939" s="4" t="inlineStr">
        <is>
          <t>TPP</t>
        </is>
      </c>
      <c r="H1939" s="4" t="inlineStr">
        <is>
          <t>15:40:00</t>
        </is>
      </c>
      <c r="I1939" s="4" t="inlineStr">
        <is>
          <t>17:05:00</t>
        </is>
      </c>
      <c r="J1939" s="4" t="n">
        <v>320</v>
      </c>
      <c r="L1939" s="4" t="inlineStr">
        <is>
          <t>01:25:00</t>
        </is>
      </c>
      <c r="M1939" s="5" t="n"/>
      <c r="N1939" s="6" t="n"/>
      <c r="O1939" s="5" t="n"/>
      <c r="Q1939" s="4">
        <f>B1939</f>
        <v/>
      </c>
      <c r="R1939" s="4">
        <f>C1939</f>
        <v/>
      </c>
      <c r="S1939" s="4">
        <f>D1939</f>
        <v/>
      </c>
      <c r="T1939" s="4">
        <f>E1939&amp;"/"&amp;E1940</f>
        <v/>
      </c>
      <c r="U1939" s="4">
        <f>F1939&amp;"-"&amp;G1939&amp;"-"&amp;F1939</f>
        <v/>
      </c>
      <c r="V1939" s="4">
        <f>IF($M$1939="","",$M$1939)</f>
        <v/>
      </c>
      <c r="W1939" s="4">
        <f>IF($O$1939="","",$O$1939)</f>
        <v/>
      </c>
      <c r="X1939" s="4">
        <f>J1939</f>
        <v/>
      </c>
    </row>
    <row r="1940">
      <c r="B1940" s="4" t="n">
        <v>1871</v>
      </c>
      <c r="C1940" s="4" t="inlineStr">
        <is>
          <t>21/09/2026</t>
        </is>
      </c>
      <c r="D1940" s="4" t="inlineStr">
        <is>
          <t>lunes</t>
        </is>
      </c>
      <c r="E1940" s="4" t="n">
        <v>2300</v>
      </c>
      <c r="F1940" s="4" t="inlineStr">
        <is>
          <t>TPP</t>
        </is>
      </c>
      <c r="G1940" s="4" t="inlineStr">
        <is>
          <t>LIM</t>
        </is>
      </c>
      <c r="H1940" s="4" t="inlineStr">
        <is>
          <t>17:50:00</t>
        </is>
      </c>
      <c r="I1940" s="4" t="inlineStr">
        <is>
          <t>19:15:00</t>
        </is>
      </c>
      <c r="J1940" s="4" t="n">
        <v>320</v>
      </c>
      <c r="K1940">
        <f>TEXT(TIMEVALUE(H1940)-TIMEVALUE(I1939)+(TIMEVALUE(H1940)&lt;TIMEVALUE(I1939)),"[h]:mm")</f>
        <v/>
      </c>
      <c r="L1940" s="4" t="inlineStr">
        <is>
          <t>01:25:00</t>
        </is>
      </c>
      <c r="O1940">
        <f>"LIM-"&amp;G1939&amp;"-LIM   LA "&amp;E1939&amp;" ("&amp;LEFT(H1939,5)&amp;"-"&amp;LEFT(I1939,5)&amp;" hrs)  /  LA "&amp;E1940&amp;" ("&amp;LEFT(H1940,5)&amp;"-"&amp;LEFT(I1940,5)&amp;" hrs)"</f>
        <v/>
      </c>
    </row>
    <row r="1941">
      <c r="J1941" s="8" t="inlineStr">
        <is>
          <t>PSV total:</t>
        </is>
      </c>
      <c r="K1941" s="9">
        <f>TEXT(TIMEVALUE(I1940)-TIMEVALUE(H1939)+(I1940&lt;H1939),"[h]:mm")</f>
        <v/>
      </c>
    </row>
    <row r="1943">
      <c r="B1943" s="3" t="inlineStr">
        <is>
          <t>Pairing ID</t>
        </is>
      </c>
      <c r="C1943" s="3" t="inlineStr">
        <is>
          <t>FECHA REAL</t>
        </is>
      </c>
      <c r="D1943" s="3" t="inlineStr">
        <is>
          <t>Day of Week</t>
        </is>
      </c>
      <c r="E1943" s="3" t="inlineStr">
        <is>
          <t>Flight No</t>
        </is>
      </c>
      <c r="F1943" s="3" t="inlineStr">
        <is>
          <t>Dep Stn</t>
        </is>
      </c>
      <c r="G1943" s="3" t="inlineStr">
        <is>
          <t>Arr Stn</t>
        </is>
      </c>
      <c r="H1943" s="3" t="inlineStr">
        <is>
          <t>STD</t>
        </is>
      </c>
      <c r="I1943" s="3" t="inlineStr">
        <is>
          <t>STA</t>
        </is>
      </c>
      <c r="J1943" s="3" t="inlineStr">
        <is>
          <t>subflota</t>
        </is>
      </c>
      <c r="K1943" s="3" t="inlineStr">
        <is>
          <t>Conexion</t>
        </is>
      </c>
      <c r="L1943" s="3" t="inlineStr">
        <is>
          <t>HBT</t>
        </is>
      </c>
    </row>
    <row r="1944">
      <c r="B1944" s="4" t="n">
        <v>1879</v>
      </c>
      <c r="C1944" s="4" t="inlineStr">
        <is>
          <t>21/09/2026</t>
        </is>
      </c>
      <c r="D1944" s="4" t="inlineStr">
        <is>
          <t>lunes</t>
        </is>
      </c>
      <c r="E1944" s="4" t="n">
        <v>2221</v>
      </c>
      <c r="F1944" s="4" t="inlineStr">
        <is>
          <t>LIM</t>
        </is>
      </c>
      <c r="G1944" s="4" t="inlineStr">
        <is>
          <t>CUZ</t>
        </is>
      </c>
      <c r="H1944" s="4" t="inlineStr">
        <is>
          <t>22:00:00</t>
        </is>
      </c>
      <c r="I1944" s="4" t="inlineStr">
        <is>
          <t>23:25:00</t>
        </is>
      </c>
      <c r="J1944" s="4" t="n">
        <v>320</v>
      </c>
      <c r="L1944" s="4" t="inlineStr">
        <is>
          <t>01:25:00</t>
        </is>
      </c>
      <c r="M1944" s="5" t="n"/>
      <c r="N1944" s="6" t="n"/>
      <c r="O1944" s="5" t="n"/>
      <c r="Q1944" s="4">
        <f>B1944</f>
        <v/>
      </c>
      <c r="R1944" s="4">
        <f>C1944</f>
        <v/>
      </c>
      <c r="S1944" s="4">
        <f>D1944</f>
        <v/>
      </c>
      <c r="T1944" s="4">
        <f>E1944&amp;"/"&amp;E1945</f>
        <v/>
      </c>
      <c r="U1944" s="4">
        <f>F1944&amp;"-"&amp;G1944&amp;"-"&amp;F1944</f>
        <v/>
      </c>
      <c r="V1944" s="4">
        <f>IF($M$1944="","",$M$1944)</f>
        <v/>
      </c>
      <c r="W1944" s="4">
        <f>IF($O$1944="","",$O$1944)</f>
        <v/>
      </c>
      <c r="X1944" s="4">
        <f>J1944</f>
        <v/>
      </c>
    </row>
    <row r="1945">
      <c r="B1945" s="4" t="n">
        <v>1879</v>
      </c>
      <c r="C1945" s="4" t="inlineStr">
        <is>
          <t>21/09/2026</t>
        </is>
      </c>
      <c r="D1945" s="4" t="inlineStr">
        <is>
          <t>lunes</t>
        </is>
      </c>
      <c r="E1945" s="4" t="n">
        <v>2222</v>
      </c>
      <c r="F1945" s="4" t="inlineStr">
        <is>
          <t>CUZ</t>
        </is>
      </c>
      <c r="G1945" s="4" t="inlineStr">
        <is>
          <t>LIM</t>
        </is>
      </c>
      <c r="H1945" s="4" t="inlineStr">
        <is>
          <t>00:05:00</t>
        </is>
      </c>
      <c r="I1945" s="4" t="inlineStr">
        <is>
          <t>01:35:00</t>
        </is>
      </c>
      <c r="J1945" s="4" t="n">
        <v>320</v>
      </c>
      <c r="K1945">
        <f>TEXT(TIMEVALUE(H1945)-TIMEVALUE(I1944)+(TIMEVALUE(H1945)&lt;TIMEVALUE(I1944)),"[h]:mm")</f>
        <v/>
      </c>
      <c r="L1945" s="4" t="inlineStr">
        <is>
          <t>01:30:00</t>
        </is>
      </c>
      <c r="O1945">
        <f>"LIM-"&amp;G1944&amp;"-LIM   LA "&amp;E1944&amp;" ("&amp;LEFT(H1944,5)&amp;"-"&amp;LEFT(I1944,5)&amp;" hrs)  /  LA "&amp;E1945&amp;" ("&amp;LEFT(H1945,5)&amp;"-"&amp;LEFT(I1945,5)&amp;" hrs)"</f>
        <v/>
      </c>
    </row>
    <row r="1946">
      <c r="J1946" s="8" t="inlineStr">
        <is>
          <t>PSV total:</t>
        </is>
      </c>
      <c r="K1946" s="9">
        <f>TEXT(TIMEVALUE(I1945)-TIMEVALUE(H1944)+(I1945&lt;H1944),"[h]:mm")</f>
        <v/>
      </c>
    </row>
    <row r="1948">
      <c r="B1948" s="3" t="inlineStr">
        <is>
          <t>Pairing ID</t>
        </is>
      </c>
      <c r="C1948" s="3" t="inlineStr">
        <is>
          <t>FECHA REAL</t>
        </is>
      </c>
      <c r="D1948" s="3" t="inlineStr">
        <is>
          <t>Day of Week</t>
        </is>
      </c>
      <c r="E1948" s="3" t="inlineStr">
        <is>
          <t>Flight No</t>
        </is>
      </c>
      <c r="F1948" s="3" t="inlineStr">
        <is>
          <t>Dep Stn</t>
        </is>
      </c>
      <c r="G1948" s="3" t="inlineStr">
        <is>
          <t>Arr Stn</t>
        </is>
      </c>
      <c r="H1948" s="3" t="inlineStr">
        <is>
          <t>STD</t>
        </is>
      </c>
      <c r="I1948" s="3" t="inlineStr">
        <is>
          <t>STA</t>
        </is>
      </c>
      <c r="J1948" s="3" t="inlineStr">
        <is>
          <t>subflota</t>
        </is>
      </c>
      <c r="K1948" s="3" t="inlineStr">
        <is>
          <t>Conexion</t>
        </is>
      </c>
      <c r="L1948" s="3" t="inlineStr">
        <is>
          <t>HBT</t>
        </is>
      </c>
    </row>
    <row r="1949">
      <c r="B1949" s="4" t="n">
        <v>1922</v>
      </c>
      <c r="C1949" s="4" t="inlineStr">
        <is>
          <t>22/09/2026</t>
        </is>
      </c>
      <c r="D1949" s="4" t="inlineStr">
        <is>
          <t>martes</t>
        </is>
      </c>
      <c r="E1949" s="4" t="n">
        <v>2015</v>
      </c>
      <c r="F1949" s="4" t="inlineStr">
        <is>
          <t>LIM</t>
        </is>
      </c>
      <c r="G1949" s="4" t="inlineStr">
        <is>
          <t>PIU</t>
        </is>
      </c>
      <c r="H1949" s="4" t="inlineStr">
        <is>
          <t>10:55:00</t>
        </is>
      </c>
      <c r="I1949" s="4" t="inlineStr">
        <is>
          <t>12:40:00</t>
        </is>
      </c>
      <c r="J1949" s="4" t="n">
        <v>320</v>
      </c>
      <c r="L1949" s="4" t="inlineStr">
        <is>
          <t>01:45:00</t>
        </is>
      </c>
      <c r="M1949" s="5" t="n"/>
      <c r="N1949" s="6" t="n"/>
      <c r="O1949" s="5" t="n"/>
      <c r="Q1949" s="4">
        <f>B1949</f>
        <v/>
      </c>
      <c r="R1949" s="4">
        <f>C1949</f>
        <v/>
      </c>
      <c r="S1949" s="4">
        <f>D1949</f>
        <v/>
      </c>
      <c r="T1949" s="4">
        <f>E1949&amp;"/"&amp;E1950</f>
        <v/>
      </c>
      <c r="U1949" s="4">
        <f>F1949&amp;"-"&amp;G1949&amp;"-"&amp;F1949</f>
        <v/>
      </c>
      <c r="V1949" s="4">
        <f>IF($M$1949="","",$M$1949)</f>
        <v/>
      </c>
      <c r="W1949" s="4">
        <f>IF($O$1949="","",$O$1949)</f>
        <v/>
      </c>
      <c r="X1949" s="4">
        <f>J1949</f>
        <v/>
      </c>
    </row>
    <row r="1950">
      <c r="B1950" s="4" t="n">
        <v>1922</v>
      </c>
      <c r="C1950" s="4" t="inlineStr">
        <is>
          <t>22/09/2026</t>
        </is>
      </c>
      <c r="D1950" s="4" t="inlineStr">
        <is>
          <t>martes</t>
        </is>
      </c>
      <c r="E1950" s="4" t="n">
        <v>2016</v>
      </c>
      <c r="F1950" s="4" t="inlineStr">
        <is>
          <t>PIU</t>
        </is>
      </c>
      <c r="G1950" s="4" t="inlineStr">
        <is>
          <t>LIM</t>
        </is>
      </c>
      <c r="H1950" s="4" t="inlineStr">
        <is>
          <t>13:20:00</t>
        </is>
      </c>
      <c r="I1950" s="4" t="inlineStr">
        <is>
          <t>14:55:00</t>
        </is>
      </c>
      <c r="J1950" s="4" t="n">
        <v>320</v>
      </c>
      <c r="K1950">
        <f>TEXT(TIMEVALUE(H1950)-TIMEVALUE(I1949)+(TIMEVALUE(H1950)&lt;TIMEVALUE(I1949)),"[h]:mm")</f>
        <v/>
      </c>
      <c r="L1950" s="4" t="inlineStr">
        <is>
          <t>01:35:00</t>
        </is>
      </c>
      <c r="O1950">
        <f>"LIM-"&amp;G1949&amp;"-LIM   LA "&amp;E1949&amp;" ("&amp;LEFT(H1949,5)&amp;"-"&amp;LEFT(I1949,5)&amp;" hrs)  /  LA "&amp;E1950&amp;" ("&amp;LEFT(H1950,5)&amp;"-"&amp;LEFT(I1950,5)&amp;" hrs)"</f>
        <v/>
      </c>
    </row>
    <row r="1951">
      <c r="J1951" s="8" t="inlineStr">
        <is>
          <t>PSV total:</t>
        </is>
      </c>
      <c r="K1951" s="9">
        <f>TEXT(TIMEVALUE(I1950)-TIMEVALUE(H1949)+(I1950&lt;H1949),"[h]:mm")</f>
        <v/>
      </c>
    </row>
    <row r="1953">
      <c r="B1953" s="3" t="inlineStr">
        <is>
          <t>Pairing ID</t>
        </is>
      </c>
      <c r="C1953" s="3" t="inlineStr">
        <is>
          <t>FECHA REAL</t>
        </is>
      </c>
      <c r="D1953" s="3" t="inlineStr">
        <is>
          <t>Day of Week</t>
        </is>
      </c>
      <c r="E1953" s="3" t="inlineStr">
        <is>
          <t>Flight No</t>
        </is>
      </c>
      <c r="F1953" s="3" t="inlineStr">
        <is>
          <t>Dep Stn</t>
        </is>
      </c>
      <c r="G1953" s="3" t="inlineStr">
        <is>
          <t>Arr Stn</t>
        </is>
      </c>
      <c r="H1953" s="3" t="inlineStr">
        <is>
          <t>STD</t>
        </is>
      </c>
      <c r="I1953" s="3" t="inlineStr">
        <is>
          <t>STA</t>
        </is>
      </c>
      <c r="J1953" s="3" t="inlineStr">
        <is>
          <t>subflota</t>
        </is>
      </c>
      <c r="K1953" s="3" t="inlineStr">
        <is>
          <t>Conexion</t>
        </is>
      </c>
      <c r="L1953" s="3" t="inlineStr">
        <is>
          <t>HBT</t>
        </is>
      </c>
    </row>
    <row r="1954">
      <c r="B1954" s="4" t="n">
        <v>1927</v>
      </c>
      <c r="C1954" s="4" t="inlineStr">
        <is>
          <t>22/09/2026</t>
        </is>
      </c>
      <c r="D1954" s="4" t="inlineStr">
        <is>
          <t>martes</t>
        </is>
      </c>
      <c r="E1954" s="4" t="n">
        <v>2120</v>
      </c>
      <c r="F1954" s="4" t="inlineStr">
        <is>
          <t>LIM</t>
        </is>
      </c>
      <c r="G1954" s="4" t="inlineStr">
        <is>
          <t>CUZ</t>
        </is>
      </c>
      <c r="H1954" s="4" t="inlineStr">
        <is>
          <t>12:35:00</t>
        </is>
      </c>
      <c r="I1954" s="4" t="inlineStr">
        <is>
          <t>13:55:00</t>
        </is>
      </c>
      <c r="J1954" s="4" t="n">
        <v>320</v>
      </c>
      <c r="L1954" s="4" t="inlineStr">
        <is>
          <t>01:20:00</t>
        </is>
      </c>
      <c r="M1954" s="5" t="n"/>
      <c r="N1954" s="6" t="n"/>
      <c r="O1954" s="5" t="n"/>
      <c r="Q1954" s="4">
        <f>B1954</f>
        <v/>
      </c>
      <c r="R1954" s="4">
        <f>C1954</f>
        <v/>
      </c>
      <c r="S1954" s="4">
        <f>D1954</f>
        <v/>
      </c>
      <c r="T1954" s="4">
        <f>E1954&amp;"/"&amp;E1955</f>
        <v/>
      </c>
      <c r="U1954" s="4">
        <f>F1954&amp;"-"&amp;G1954&amp;"-"&amp;F1954</f>
        <v/>
      </c>
      <c r="V1954" s="4">
        <f>IF($M$1954="","",$M$1954)</f>
        <v/>
      </c>
      <c r="W1954" s="4">
        <f>IF($O$1954="","",$O$1954)</f>
        <v/>
      </c>
      <c r="X1954" s="4">
        <f>J1954</f>
        <v/>
      </c>
    </row>
    <row r="1955">
      <c r="B1955" s="4" t="n">
        <v>1927</v>
      </c>
      <c r="C1955" s="4" t="inlineStr">
        <is>
          <t>22/09/2026</t>
        </is>
      </c>
      <c r="D1955" s="4" t="inlineStr">
        <is>
          <t>martes</t>
        </is>
      </c>
      <c r="E1955" s="4" t="n">
        <v>2121</v>
      </c>
      <c r="F1955" s="4" t="inlineStr">
        <is>
          <t>CUZ</t>
        </is>
      </c>
      <c r="G1955" s="4" t="inlineStr">
        <is>
          <t>LIM</t>
        </is>
      </c>
      <c r="H1955" s="4" t="inlineStr">
        <is>
          <t>17:35:00</t>
        </is>
      </c>
      <c r="I1955" s="4" t="inlineStr">
        <is>
          <t>19:10:00</t>
        </is>
      </c>
      <c r="J1955" s="4" t="n">
        <v>320</v>
      </c>
      <c r="K1955">
        <f>TEXT(TIMEVALUE(H1955)-TIMEVALUE(I1954)+(TIMEVALUE(H1955)&lt;TIMEVALUE(I1954)),"[h]:mm")</f>
        <v/>
      </c>
      <c r="L1955" s="4" t="inlineStr">
        <is>
          <t>01:35:00</t>
        </is>
      </c>
      <c r="O1955">
        <f>"LIM-"&amp;G1954&amp;"-LIM   LA "&amp;E1954&amp;" ("&amp;LEFT(H1954,5)&amp;"-"&amp;LEFT(I1954,5)&amp;" hrs)  /  LA "&amp;E1955&amp;" ("&amp;LEFT(H1955,5)&amp;"-"&amp;LEFT(I1955,5)&amp;" hrs)"</f>
        <v/>
      </c>
    </row>
    <row r="1956">
      <c r="B1956" s="4" t="n">
        <v>1955</v>
      </c>
      <c r="C1956" s="4" t="inlineStr">
        <is>
          <t>22/09/2026</t>
        </is>
      </c>
      <c r="D1956" s="4" t="inlineStr">
        <is>
          <t>martes</t>
        </is>
      </c>
      <c r="E1956" s="4" t="n">
        <v>2278</v>
      </c>
      <c r="F1956" s="4" t="inlineStr">
        <is>
          <t>LIM</t>
        </is>
      </c>
      <c r="G1956" s="4" t="inlineStr">
        <is>
          <t>CIX</t>
        </is>
      </c>
      <c r="H1956" s="4" t="inlineStr">
        <is>
          <t>20:10:00</t>
        </is>
      </c>
      <c r="I1956" s="4" t="inlineStr">
        <is>
          <t>21:40:00</t>
        </is>
      </c>
      <c r="J1956" s="4" t="n">
        <v>320</v>
      </c>
      <c r="K1956" s="7">
        <f>TEXT(TIMEVALUE(H1956)-TIMEVALUE(I1955)+(TIMEVALUE(H1956)&lt;TIMEVALUE(I1955)),"[h]:mm")</f>
        <v/>
      </c>
      <c r="L1956" s="4" t="inlineStr">
        <is>
          <t>01:30:00</t>
        </is>
      </c>
      <c r="M1956">
        <f>IF($M$1954="","",$M$1954)</f>
        <v/>
      </c>
      <c r="O1956">
        <f>IF($O$1954="","",$O$1954)</f>
        <v/>
      </c>
      <c r="Q1956" s="4">
        <f>B1956</f>
        <v/>
      </c>
      <c r="R1956" s="4">
        <f>C1956</f>
        <v/>
      </c>
      <c r="S1956" s="4">
        <f>D1956</f>
        <v/>
      </c>
      <c r="T1956" s="4">
        <f>E1956&amp;"/"&amp;E1957</f>
        <v/>
      </c>
      <c r="U1956" s="4">
        <f>F1956&amp;"-"&amp;G1956&amp;"-"&amp;F1956</f>
        <v/>
      </c>
      <c r="V1956" s="4">
        <f>IF($M$1954="","",$M$1954)</f>
        <v/>
      </c>
      <c r="W1956" s="4">
        <f>IF($O$1954="","",$O$1954)</f>
        <v/>
      </c>
      <c r="X1956" s="4">
        <f>J1956</f>
        <v/>
      </c>
    </row>
    <row r="1957">
      <c r="B1957" s="4" t="n">
        <v>1955</v>
      </c>
      <c r="C1957" s="4" t="inlineStr">
        <is>
          <t>22/09/2026</t>
        </is>
      </c>
      <c r="D1957" s="4" t="inlineStr">
        <is>
          <t>martes</t>
        </is>
      </c>
      <c r="E1957" s="4" t="n">
        <v>2279</v>
      </c>
      <c r="F1957" s="4" t="inlineStr">
        <is>
          <t>CIX</t>
        </is>
      </c>
      <c r="G1957" s="4" t="inlineStr">
        <is>
          <t>LIM</t>
        </is>
      </c>
      <c r="H1957" s="4" t="inlineStr">
        <is>
          <t>22:15:00</t>
        </is>
      </c>
      <c r="I1957" s="4" t="inlineStr">
        <is>
          <t>23:35:00</t>
        </is>
      </c>
      <c r="J1957" s="4" t="n">
        <v>320</v>
      </c>
      <c r="K1957">
        <f>TEXT(TIMEVALUE(H1957)-TIMEVALUE(I1956)+(TIMEVALUE(H1957)&lt;TIMEVALUE(I1956)),"[h]:mm")</f>
        <v/>
      </c>
      <c r="L1957" s="4" t="inlineStr">
        <is>
          <t>01:20:00</t>
        </is>
      </c>
      <c r="O1957">
        <f>"LIM-"&amp;G1956&amp;"-LIM   LA "&amp;E1956&amp;" ("&amp;LEFT(H1956,5)&amp;"-"&amp;LEFT(I1956,5)&amp;" hrs)  /  LA "&amp;E1957&amp;" ("&amp;LEFT(H1957,5)&amp;"-"&amp;LEFT(I1957,5)&amp;" hrs)"</f>
        <v/>
      </c>
    </row>
    <row r="1958">
      <c r="J1958" s="8" t="inlineStr">
        <is>
          <t>PSV total:</t>
        </is>
      </c>
      <c r="K1958" s="9">
        <f>TEXT(TIMEVALUE(I1957)-TIMEVALUE(H1954)+(I1957&lt;H1954),"[h]:mm")</f>
        <v/>
      </c>
    </row>
    <row r="1960">
      <c r="B1960" s="3" t="inlineStr">
        <is>
          <t>Pairing ID</t>
        </is>
      </c>
      <c r="C1960" s="3" t="inlineStr">
        <is>
          <t>FECHA REAL</t>
        </is>
      </c>
      <c r="D1960" s="3" t="inlineStr">
        <is>
          <t>Day of Week</t>
        </is>
      </c>
      <c r="E1960" s="3" t="inlineStr">
        <is>
          <t>Flight No</t>
        </is>
      </c>
      <c r="F1960" s="3" t="inlineStr">
        <is>
          <t>Dep Stn</t>
        </is>
      </c>
      <c r="G1960" s="3" t="inlineStr">
        <is>
          <t>Arr Stn</t>
        </is>
      </c>
      <c r="H1960" s="3" t="inlineStr">
        <is>
          <t>STD</t>
        </is>
      </c>
      <c r="I1960" s="3" t="inlineStr">
        <is>
          <t>STA</t>
        </is>
      </c>
      <c r="J1960" s="3" t="inlineStr">
        <is>
          <t>subflota</t>
        </is>
      </c>
      <c r="K1960" s="3" t="inlineStr">
        <is>
          <t>Conexion</t>
        </is>
      </c>
      <c r="L1960" s="3" t="inlineStr">
        <is>
          <t>HBT</t>
        </is>
      </c>
    </row>
    <row r="1961">
      <c r="B1961" s="4" t="n">
        <v>1930</v>
      </c>
      <c r="C1961" s="4" t="inlineStr">
        <is>
          <t>22/09/2026</t>
        </is>
      </c>
      <c r="D1961" s="4" t="inlineStr">
        <is>
          <t>martes</t>
        </is>
      </c>
      <c r="E1961" s="4" t="n">
        <v>2043</v>
      </c>
      <c r="F1961" s="4" t="inlineStr">
        <is>
          <t>LIM</t>
        </is>
      </c>
      <c r="G1961" s="4" t="inlineStr">
        <is>
          <t>AQP</t>
        </is>
      </c>
      <c r="H1961" s="4" t="inlineStr">
        <is>
          <t>12:45:00</t>
        </is>
      </c>
      <c r="I1961" s="4" t="inlineStr">
        <is>
          <t>14:15:00</t>
        </is>
      </c>
      <c r="J1961" s="4" t="n">
        <v>320</v>
      </c>
      <c r="L1961" s="4" t="inlineStr">
        <is>
          <t>01:30:00</t>
        </is>
      </c>
      <c r="M1961" s="5" t="n"/>
      <c r="N1961" s="6" t="n"/>
      <c r="O1961" s="5" t="n"/>
      <c r="Q1961" s="4">
        <f>B1961</f>
        <v/>
      </c>
      <c r="R1961" s="4">
        <f>C1961</f>
        <v/>
      </c>
      <c r="S1961" s="4">
        <f>D1961</f>
        <v/>
      </c>
      <c r="T1961" s="4">
        <f>E1961&amp;"/"&amp;E1962</f>
        <v/>
      </c>
      <c r="U1961" s="4">
        <f>F1961&amp;"-"&amp;G1961&amp;"-"&amp;F1961</f>
        <v/>
      </c>
      <c r="V1961" s="4">
        <f>IF($M$1961="","",$M$1961)</f>
        <v/>
      </c>
      <c r="W1961" s="4">
        <f>IF($O$1961="","",$O$1961)</f>
        <v/>
      </c>
      <c r="X1961" s="4">
        <f>J1961</f>
        <v/>
      </c>
    </row>
    <row r="1962">
      <c r="B1962" s="4" t="n">
        <v>1930</v>
      </c>
      <c r="C1962" s="4" t="inlineStr">
        <is>
          <t>22/09/2026</t>
        </is>
      </c>
      <c r="D1962" s="4" t="inlineStr">
        <is>
          <t>martes</t>
        </is>
      </c>
      <c r="E1962" s="4" t="n">
        <v>2044</v>
      </c>
      <c r="F1962" s="4" t="inlineStr">
        <is>
          <t>AQP</t>
        </is>
      </c>
      <c r="G1962" s="4" t="inlineStr">
        <is>
          <t>LIM</t>
        </is>
      </c>
      <c r="H1962" s="4" t="inlineStr">
        <is>
          <t>15:00:00</t>
        </is>
      </c>
      <c r="I1962" s="4" t="inlineStr">
        <is>
          <t>16:35:00</t>
        </is>
      </c>
      <c r="J1962" s="4" t="n">
        <v>320</v>
      </c>
      <c r="K1962">
        <f>TEXT(TIMEVALUE(H1962)-TIMEVALUE(I1961)+(TIMEVALUE(H1962)&lt;TIMEVALUE(I1961)),"[h]:mm")</f>
        <v/>
      </c>
      <c r="L1962" s="4" t="inlineStr">
        <is>
          <t>01:35:00</t>
        </is>
      </c>
      <c r="O1962">
        <f>"LIM-"&amp;G1961&amp;"-LIM   LA "&amp;E1961&amp;" ("&amp;LEFT(H1961,5)&amp;"-"&amp;LEFT(I1961,5)&amp;" hrs)  /  LA "&amp;E1962&amp;" ("&amp;LEFT(H1962,5)&amp;"-"&amp;LEFT(I1962,5)&amp;" hrs)"</f>
        <v/>
      </c>
    </row>
    <row r="1963">
      <c r="B1963" s="4" t="n">
        <v>1953</v>
      </c>
      <c r="C1963" s="4" t="inlineStr">
        <is>
          <t>22/09/2026</t>
        </is>
      </c>
      <c r="D1963" s="4" t="inlineStr">
        <is>
          <t>martes</t>
        </is>
      </c>
      <c r="E1963" s="4" t="n">
        <v>2236</v>
      </c>
      <c r="F1963" s="4" t="inlineStr">
        <is>
          <t>LIM</t>
        </is>
      </c>
      <c r="G1963" s="4" t="inlineStr">
        <is>
          <t>PIU</t>
        </is>
      </c>
      <c r="H1963" s="4" t="inlineStr">
        <is>
          <t>18:00:00</t>
        </is>
      </c>
      <c r="I1963" s="4" t="inlineStr">
        <is>
          <t>19:40:00</t>
        </is>
      </c>
      <c r="J1963" s="4" t="n">
        <v>320</v>
      </c>
      <c r="K1963" s="7">
        <f>TEXT(TIMEVALUE(H1963)-TIMEVALUE(I1962)+(TIMEVALUE(H1963)&lt;TIMEVALUE(I1962)),"[h]:mm")</f>
        <v/>
      </c>
      <c r="L1963" s="4" t="inlineStr">
        <is>
          <t>01:40:00</t>
        </is>
      </c>
      <c r="M1963">
        <f>IF($M$1961="","",$M$1961)</f>
        <v/>
      </c>
      <c r="O1963">
        <f>IF($O$1961="","",$O$1961)</f>
        <v/>
      </c>
      <c r="Q1963" s="4">
        <f>B1963</f>
        <v/>
      </c>
      <c r="R1963" s="4">
        <f>C1963</f>
        <v/>
      </c>
      <c r="S1963" s="4">
        <f>D1963</f>
        <v/>
      </c>
      <c r="T1963" s="4">
        <f>E1963&amp;"/"&amp;E1964</f>
        <v/>
      </c>
      <c r="U1963" s="4">
        <f>F1963&amp;"-"&amp;G1963&amp;"-"&amp;F1963</f>
        <v/>
      </c>
      <c r="V1963" s="4">
        <f>IF($M$1961="","",$M$1961)</f>
        <v/>
      </c>
      <c r="W1963" s="4">
        <f>IF($O$1961="","",$O$1961)</f>
        <v/>
      </c>
      <c r="X1963" s="4">
        <f>J1963</f>
        <v/>
      </c>
    </row>
    <row r="1964">
      <c r="B1964" s="4" t="n">
        <v>1953</v>
      </c>
      <c r="C1964" s="4" t="inlineStr">
        <is>
          <t>22/09/2026</t>
        </is>
      </c>
      <c r="D1964" s="4" t="inlineStr">
        <is>
          <t>martes</t>
        </is>
      </c>
      <c r="E1964" s="4" t="n">
        <v>2237</v>
      </c>
      <c r="F1964" s="4" t="inlineStr">
        <is>
          <t>PIU</t>
        </is>
      </c>
      <c r="G1964" s="4" t="inlineStr">
        <is>
          <t>LIM</t>
        </is>
      </c>
      <c r="H1964" s="4" t="inlineStr">
        <is>
          <t>20:20:00</t>
        </is>
      </c>
      <c r="I1964" s="4" t="inlineStr">
        <is>
          <t>21:50:00</t>
        </is>
      </c>
      <c r="J1964" s="4" t="n">
        <v>320</v>
      </c>
      <c r="K1964">
        <f>TEXT(TIMEVALUE(H1964)-TIMEVALUE(I1963)+(TIMEVALUE(H1964)&lt;TIMEVALUE(I1963)),"[h]:mm")</f>
        <v/>
      </c>
      <c r="L1964" s="4" t="inlineStr">
        <is>
          <t>01:30:00</t>
        </is>
      </c>
      <c r="O1964">
        <f>"LIM-"&amp;G1963&amp;"-LIM   LA "&amp;E1963&amp;" ("&amp;LEFT(H1963,5)&amp;"-"&amp;LEFT(I1963,5)&amp;" hrs)  /  LA "&amp;E1964&amp;" ("&amp;LEFT(H1964,5)&amp;"-"&amp;LEFT(I1964,5)&amp;" hrs)"</f>
        <v/>
      </c>
    </row>
    <row r="1965">
      <c r="J1965" s="8" t="inlineStr">
        <is>
          <t>PSV total:</t>
        </is>
      </c>
      <c r="K1965" s="9">
        <f>TEXT(TIMEVALUE(I1964)-TIMEVALUE(H1961)+(I1964&lt;H1961),"[h]:mm")</f>
        <v/>
      </c>
    </row>
    <row r="1967">
      <c r="B1967" s="3" t="inlineStr">
        <is>
          <t>Pairing ID</t>
        </is>
      </c>
      <c r="C1967" s="3" t="inlineStr">
        <is>
          <t>FECHA REAL</t>
        </is>
      </c>
      <c r="D1967" s="3" t="inlineStr">
        <is>
          <t>Day of Week</t>
        </is>
      </c>
      <c r="E1967" s="3" t="inlineStr">
        <is>
          <t>Flight No</t>
        </is>
      </c>
      <c r="F1967" s="3" t="inlineStr">
        <is>
          <t>Dep Stn</t>
        </is>
      </c>
      <c r="G1967" s="3" t="inlineStr">
        <is>
          <t>Arr Stn</t>
        </is>
      </c>
      <c r="H1967" s="3" t="inlineStr">
        <is>
          <t>STD</t>
        </is>
      </c>
      <c r="I1967" s="3" t="inlineStr">
        <is>
          <t>STA</t>
        </is>
      </c>
      <c r="J1967" s="3" t="inlineStr">
        <is>
          <t>subflota</t>
        </is>
      </c>
      <c r="K1967" s="3" t="inlineStr">
        <is>
          <t>Conexion</t>
        </is>
      </c>
      <c r="L1967" s="3" t="inlineStr">
        <is>
          <t>HBT</t>
        </is>
      </c>
    </row>
    <row r="1968">
      <c r="B1968" s="4" t="n">
        <v>1931</v>
      </c>
      <c r="C1968" s="4" t="inlineStr">
        <is>
          <t>22/09/2026</t>
        </is>
      </c>
      <c r="D1968" s="4" t="inlineStr">
        <is>
          <t>martes</t>
        </is>
      </c>
      <c r="E1968" s="4" t="n">
        <v>2308</v>
      </c>
      <c r="F1968" s="4" t="inlineStr">
        <is>
          <t>LIM</t>
        </is>
      </c>
      <c r="G1968" s="4" t="inlineStr">
        <is>
          <t>PIU</t>
        </is>
      </c>
      <c r="H1968" s="4" t="inlineStr">
        <is>
          <t>12:50:00</t>
        </is>
      </c>
      <c r="I1968" s="4" t="inlineStr">
        <is>
          <t>14:35:00</t>
        </is>
      </c>
      <c r="J1968" s="4" t="n">
        <v>319</v>
      </c>
      <c r="L1968" s="4" t="inlineStr">
        <is>
          <t>01:45:00</t>
        </is>
      </c>
      <c r="M1968" s="5" t="n"/>
      <c r="N1968" s="6" t="n"/>
      <c r="O1968" s="5" t="n"/>
      <c r="Q1968" s="4">
        <f>B1968</f>
        <v/>
      </c>
      <c r="R1968" s="4">
        <f>C1968</f>
        <v/>
      </c>
      <c r="S1968" s="4">
        <f>D1968</f>
        <v/>
      </c>
      <c r="T1968" s="4">
        <f>E1968&amp;"/"&amp;E1969</f>
        <v/>
      </c>
      <c r="U1968" s="4">
        <f>F1968&amp;"-"&amp;G1968&amp;"-"&amp;F1968</f>
        <v/>
      </c>
      <c r="V1968" s="4">
        <f>IF($M$1968="","",$M$1968)</f>
        <v/>
      </c>
      <c r="W1968" s="4">
        <f>IF($O$1968="","",$O$1968)</f>
        <v/>
      </c>
      <c r="X1968" s="4">
        <f>J1968</f>
        <v/>
      </c>
    </row>
    <row r="1969">
      <c r="B1969" s="4" t="n">
        <v>1931</v>
      </c>
      <c r="C1969" s="4" t="inlineStr">
        <is>
          <t>22/09/2026</t>
        </is>
      </c>
      <c r="D1969" s="4" t="inlineStr">
        <is>
          <t>martes</t>
        </is>
      </c>
      <c r="E1969" s="4" t="n">
        <v>2309</v>
      </c>
      <c r="F1969" s="4" t="inlineStr">
        <is>
          <t>PIU</t>
        </is>
      </c>
      <c r="G1969" s="4" t="inlineStr">
        <is>
          <t>LIM</t>
        </is>
      </c>
      <c r="H1969" s="4" t="inlineStr">
        <is>
          <t>15:25:00</t>
        </is>
      </c>
      <c r="I1969" s="4" t="inlineStr">
        <is>
          <t>16:55:00</t>
        </is>
      </c>
      <c r="J1969" s="4" t="n">
        <v>319</v>
      </c>
      <c r="K1969">
        <f>TEXT(TIMEVALUE(H1969)-TIMEVALUE(I1968)+(TIMEVALUE(H1969)&lt;TIMEVALUE(I1968)),"[h]:mm")</f>
        <v/>
      </c>
      <c r="L1969" s="4" t="inlineStr">
        <is>
          <t>01:30:00</t>
        </is>
      </c>
      <c r="O1969">
        <f>"LIM-"&amp;G1968&amp;"-LIM   LA "&amp;E1968&amp;" ("&amp;LEFT(H1968,5)&amp;"-"&amp;LEFT(I1968,5)&amp;" hrs)  /  LA "&amp;E1969&amp;" ("&amp;LEFT(H1969,5)&amp;"-"&amp;LEFT(I1969,5)&amp;" hrs)"</f>
        <v/>
      </c>
    </row>
    <row r="1970">
      <c r="B1970" s="4" t="n">
        <v>1954</v>
      </c>
      <c r="C1970" s="4" t="inlineStr">
        <is>
          <t>22/09/2026</t>
        </is>
      </c>
      <c r="D1970" s="4" t="inlineStr">
        <is>
          <t>martes</t>
        </is>
      </c>
      <c r="E1970" s="4" t="n">
        <v>2039</v>
      </c>
      <c r="F1970" s="4" t="inlineStr">
        <is>
          <t>LIM</t>
        </is>
      </c>
      <c r="G1970" s="4" t="inlineStr">
        <is>
          <t>PCL</t>
        </is>
      </c>
      <c r="H1970" s="4" t="inlineStr">
        <is>
          <t>18:15:00</t>
        </is>
      </c>
      <c r="I1970" s="4" t="inlineStr">
        <is>
          <t>19:30:00</t>
        </is>
      </c>
      <c r="J1970" s="4" t="n">
        <v>319</v>
      </c>
      <c r="K1970" s="7">
        <f>TEXT(TIMEVALUE(H1970)-TIMEVALUE(I1969)+(TIMEVALUE(H1970)&lt;TIMEVALUE(I1969)),"[h]:mm")</f>
        <v/>
      </c>
      <c r="L1970" s="4" t="inlineStr">
        <is>
          <t>01:15:00</t>
        </is>
      </c>
      <c r="M1970">
        <f>IF($M$1968="","",$M$1968)</f>
        <v/>
      </c>
      <c r="O1970">
        <f>IF($O$1968="","",$O$1968)</f>
        <v/>
      </c>
      <c r="Q1970" s="4">
        <f>B1970</f>
        <v/>
      </c>
      <c r="R1970" s="4">
        <f>C1970</f>
        <v/>
      </c>
      <c r="S1970" s="4">
        <f>D1970</f>
        <v/>
      </c>
      <c r="T1970" s="4">
        <f>E1970&amp;"/"&amp;E1971</f>
        <v/>
      </c>
      <c r="U1970" s="4">
        <f>F1970&amp;"-"&amp;G1970&amp;"-"&amp;F1970</f>
        <v/>
      </c>
      <c r="V1970" s="4">
        <f>IF($M$1968="","",$M$1968)</f>
        <v/>
      </c>
      <c r="W1970" s="4">
        <f>IF($O$1968="","",$O$1968)</f>
        <v/>
      </c>
      <c r="X1970" s="4">
        <f>J1970</f>
        <v/>
      </c>
    </row>
    <row r="1971">
      <c r="B1971" s="4" t="n">
        <v>1954</v>
      </c>
      <c r="C1971" s="4" t="inlineStr">
        <is>
          <t>22/09/2026</t>
        </is>
      </c>
      <c r="D1971" s="4" t="inlineStr">
        <is>
          <t>martes</t>
        </is>
      </c>
      <c r="E1971" s="4" t="n">
        <v>2040</v>
      </c>
      <c r="F1971" s="4" t="inlineStr">
        <is>
          <t>PCL</t>
        </is>
      </c>
      <c r="G1971" s="4" t="inlineStr">
        <is>
          <t>LIM</t>
        </is>
      </c>
      <c r="H1971" s="4" t="inlineStr">
        <is>
          <t>20:15:00</t>
        </is>
      </c>
      <c r="I1971" s="4" t="inlineStr">
        <is>
          <t>21:30:00</t>
        </is>
      </c>
      <c r="J1971" s="4" t="n">
        <v>319</v>
      </c>
      <c r="K1971">
        <f>TEXT(TIMEVALUE(H1971)-TIMEVALUE(I1970)+(TIMEVALUE(H1971)&lt;TIMEVALUE(I1970)),"[h]:mm")</f>
        <v/>
      </c>
      <c r="L1971" s="4" t="inlineStr">
        <is>
          <t>01:15:00</t>
        </is>
      </c>
      <c r="O1971">
        <f>"LIM-"&amp;G1970&amp;"-LIM   LA "&amp;E1970&amp;" ("&amp;LEFT(H1970,5)&amp;"-"&amp;LEFT(I1970,5)&amp;" hrs)  /  LA "&amp;E1971&amp;" ("&amp;LEFT(H1971,5)&amp;"-"&amp;LEFT(I1971,5)&amp;" hrs)"</f>
        <v/>
      </c>
    </row>
    <row r="1972">
      <c r="J1972" s="8" t="inlineStr">
        <is>
          <t>PSV total:</t>
        </is>
      </c>
      <c r="K1972" s="9">
        <f>TEXT(TIMEVALUE(I1971)-TIMEVALUE(H1968)+(I1971&lt;H1968),"[h]:mm")</f>
        <v/>
      </c>
    </row>
    <row r="1974">
      <c r="B1974" s="3" t="inlineStr">
        <is>
          <t>Pairing ID</t>
        </is>
      </c>
      <c r="C1974" s="3" t="inlineStr">
        <is>
          <t>FECHA REAL</t>
        </is>
      </c>
      <c r="D1974" s="3" t="inlineStr">
        <is>
          <t>Day of Week</t>
        </is>
      </c>
      <c r="E1974" s="3" t="inlineStr">
        <is>
          <t>Flight No</t>
        </is>
      </c>
      <c r="F1974" s="3" t="inlineStr">
        <is>
          <t>Dep Stn</t>
        </is>
      </c>
      <c r="G1974" s="3" t="inlineStr">
        <is>
          <t>Arr Stn</t>
        </is>
      </c>
      <c r="H1974" s="3" t="inlineStr">
        <is>
          <t>STD</t>
        </is>
      </c>
      <c r="I1974" s="3" t="inlineStr">
        <is>
          <t>STA</t>
        </is>
      </c>
      <c r="J1974" s="3" t="inlineStr">
        <is>
          <t>subflota</t>
        </is>
      </c>
      <c r="K1974" s="3" t="inlineStr">
        <is>
          <t>Conexion</t>
        </is>
      </c>
      <c r="L1974" s="3" t="inlineStr">
        <is>
          <t>HBT</t>
        </is>
      </c>
    </row>
    <row r="1975">
      <c r="B1975" s="4" t="n">
        <v>1935</v>
      </c>
      <c r="C1975" s="4" t="inlineStr">
        <is>
          <t>22/09/2026</t>
        </is>
      </c>
      <c r="D1975" s="4" t="inlineStr">
        <is>
          <t>martes</t>
        </is>
      </c>
      <c r="E1975" s="4" t="n">
        <v>2234</v>
      </c>
      <c r="F1975" s="4" t="inlineStr">
        <is>
          <t>LIM</t>
        </is>
      </c>
      <c r="G1975" s="4" t="inlineStr">
        <is>
          <t>IQT</t>
        </is>
      </c>
      <c r="H1975" s="4" t="inlineStr">
        <is>
          <t>13:35:00</t>
        </is>
      </c>
      <c r="I1975" s="4" t="inlineStr">
        <is>
          <t>15:25:00</t>
        </is>
      </c>
      <c r="J1975" s="4" t="n">
        <v>320</v>
      </c>
      <c r="L1975" s="4" t="inlineStr">
        <is>
          <t>01:50:00</t>
        </is>
      </c>
      <c r="M1975" s="5" t="n"/>
      <c r="N1975" s="6" t="n"/>
      <c r="O1975" s="5" t="n"/>
      <c r="Q1975" s="4">
        <f>B1975</f>
        <v/>
      </c>
      <c r="R1975" s="4">
        <f>C1975</f>
        <v/>
      </c>
      <c r="S1975" s="4">
        <f>D1975</f>
        <v/>
      </c>
      <c r="T1975" s="4">
        <f>E1975&amp;"/"&amp;E1976</f>
        <v/>
      </c>
      <c r="U1975" s="4">
        <f>F1975&amp;"-"&amp;G1975&amp;"-"&amp;F1975</f>
        <v/>
      </c>
      <c r="V1975" s="4">
        <f>IF($M$1975="","",$M$1975)</f>
        <v/>
      </c>
      <c r="W1975" s="4">
        <f>IF($O$1975="","",$O$1975)</f>
        <v/>
      </c>
      <c r="X1975" s="4">
        <f>J1975</f>
        <v/>
      </c>
    </row>
    <row r="1976">
      <c r="B1976" s="4" t="n">
        <v>1935</v>
      </c>
      <c r="C1976" s="4" t="inlineStr">
        <is>
          <t>22/09/2026</t>
        </is>
      </c>
      <c r="D1976" s="4" t="inlineStr">
        <is>
          <t>martes</t>
        </is>
      </c>
      <c r="E1976" s="4" t="n">
        <v>2235</v>
      </c>
      <c r="F1976" s="4" t="inlineStr">
        <is>
          <t>IQT</t>
        </is>
      </c>
      <c r="G1976" s="4" t="inlineStr">
        <is>
          <t>LIM</t>
        </is>
      </c>
      <c r="H1976" s="4" t="inlineStr">
        <is>
          <t>16:05:00</t>
        </is>
      </c>
      <c r="I1976" s="4" t="inlineStr">
        <is>
          <t>17:55:00</t>
        </is>
      </c>
      <c r="J1976" s="4" t="n">
        <v>320</v>
      </c>
      <c r="K1976">
        <f>TEXT(TIMEVALUE(H1976)-TIMEVALUE(I1975)+(TIMEVALUE(H1976)&lt;TIMEVALUE(I1975)),"[h]:mm")</f>
        <v/>
      </c>
      <c r="L1976" s="4" t="inlineStr">
        <is>
          <t>01:50:00</t>
        </is>
      </c>
      <c r="O1976">
        <f>"LIM-"&amp;G1975&amp;"-LIM   LA "&amp;E1975&amp;" ("&amp;LEFT(H1975,5)&amp;"-"&amp;LEFT(I1975,5)&amp;" hrs)  /  LA "&amp;E1976&amp;" ("&amp;LEFT(H1976,5)&amp;"-"&amp;LEFT(I1976,5)&amp;" hrs)"</f>
        <v/>
      </c>
    </row>
    <row r="1977">
      <c r="J1977" s="8" t="inlineStr">
        <is>
          <t>PSV total:</t>
        </is>
      </c>
      <c r="K1977" s="9">
        <f>TEXT(TIMEVALUE(I1976)-TIMEVALUE(H1975)+(I1976&lt;H1975),"[h]:mm")</f>
        <v/>
      </c>
    </row>
    <row r="1979">
      <c r="B1979" s="3" t="inlineStr">
        <is>
          <t>Pairing ID</t>
        </is>
      </c>
      <c r="C1979" s="3" t="inlineStr">
        <is>
          <t>FECHA REAL</t>
        </is>
      </c>
      <c r="D1979" s="3" t="inlineStr">
        <is>
          <t>Day of Week</t>
        </is>
      </c>
      <c r="E1979" s="3" t="inlineStr">
        <is>
          <t>Flight No</t>
        </is>
      </c>
      <c r="F1979" s="3" t="inlineStr">
        <is>
          <t>Dep Stn</t>
        </is>
      </c>
      <c r="G1979" s="3" t="inlineStr">
        <is>
          <t>Arr Stn</t>
        </is>
      </c>
      <c r="H1979" s="3" t="inlineStr">
        <is>
          <t>STD</t>
        </is>
      </c>
      <c r="I1979" s="3" t="inlineStr">
        <is>
          <t>STA</t>
        </is>
      </c>
      <c r="J1979" s="3" t="inlineStr">
        <is>
          <t>subflota</t>
        </is>
      </c>
      <c r="K1979" s="3" t="inlineStr">
        <is>
          <t>Conexion</t>
        </is>
      </c>
      <c r="L1979" s="3" t="inlineStr">
        <is>
          <t>HBT</t>
        </is>
      </c>
    </row>
    <row r="1980">
      <c r="B1980" s="4" t="n">
        <v>1938</v>
      </c>
      <c r="C1980" s="4" t="inlineStr">
        <is>
          <t>22/09/2026</t>
        </is>
      </c>
      <c r="D1980" s="4" t="inlineStr">
        <is>
          <t>martes</t>
        </is>
      </c>
      <c r="E1980" s="4" t="n">
        <v>2295</v>
      </c>
      <c r="F1980" s="4" t="inlineStr">
        <is>
          <t>LIM</t>
        </is>
      </c>
      <c r="G1980" s="4" t="inlineStr">
        <is>
          <t>CJA</t>
        </is>
      </c>
      <c r="H1980" s="4" t="inlineStr">
        <is>
          <t>14:10:00</t>
        </is>
      </c>
      <c r="I1980" s="4" t="inlineStr">
        <is>
          <t>15:30:00</t>
        </is>
      </c>
      <c r="J1980" s="4" t="n">
        <v>319</v>
      </c>
      <c r="L1980" s="4" t="inlineStr">
        <is>
          <t>01:20:00</t>
        </is>
      </c>
      <c r="M1980" s="5" t="n"/>
      <c r="N1980" s="6" t="n"/>
      <c r="O1980" s="5" t="n"/>
      <c r="Q1980" s="4">
        <f>B1980</f>
        <v/>
      </c>
      <c r="R1980" s="4">
        <f>C1980</f>
        <v/>
      </c>
      <c r="S1980" s="4">
        <f>D1980</f>
        <v/>
      </c>
      <c r="T1980" s="4">
        <f>E1980&amp;"/"&amp;E1981</f>
        <v/>
      </c>
      <c r="U1980" s="4">
        <f>F1980&amp;"-"&amp;G1980&amp;"-"&amp;F1980</f>
        <v/>
      </c>
      <c r="V1980" s="4">
        <f>IF($M$1980="","",$M$1980)</f>
        <v/>
      </c>
      <c r="W1980" s="4">
        <f>IF($O$1980="","",$O$1980)</f>
        <v/>
      </c>
      <c r="X1980" s="4">
        <f>J1980</f>
        <v/>
      </c>
    </row>
    <row r="1981">
      <c r="B1981" s="4" t="n">
        <v>1938</v>
      </c>
      <c r="C1981" s="4" t="inlineStr">
        <is>
          <t>22/09/2026</t>
        </is>
      </c>
      <c r="D1981" s="4" t="inlineStr">
        <is>
          <t>martes</t>
        </is>
      </c>
      <c r="E1981" s="4" t="n">
        <v>2294</v>
      </c>
      <c r="F1981" s="4" t="inlineStr">
        <is>
          <t>CJA</t>
        </is>
      </c>
      <c r="G1981" s="4" t="inlineStr">
        <is>
          <t>LIM</t>
        </is>
      </c>
      <c r="H1981" s="4" t="inlineStr">
        <is>
          <t>16:10:00</t>
        </is>
      </c>
      <c r="I1981" s="4" t="inlineStr">
        <is>
          <t>17:15:00</t>
        </is>
      </c>
      <c r="J1981" s="4" t="n">
        <v>319</v>
      </c>
      <c r="K1981">
        <f>TEXT(TIMEVALUE(H1981)-TIMEVALUE(I1980)+(TIMEVALUE(H1981)&lt;TIMEVALUE(I1980)),"[h]:mm")</f>
        <v/>
      </c>
      <c r="L1981" s="4" t="inlineStr">
        <is>
          <t>01:05:00</t>
        </is>
      </c>
      <c r="O1981">
        <f>"LIM-"&amp;G1980&amp;"-LIM   LA "&amp;E1980&amp;" ("&amp;LEFT(H1980,5)&amp;"-"&amp;LEFT(I1980,5)&amp;" hrs)  /  LA "&amp;E1981&amp;" ("&amp;LEFT(H1981,5)&amp;"-"&amp;LEFT(I1981,5)&amp;" hrs)"</f>
        <v/>
      </c>
    </row>
    <row r="1982">
      <c r="J1982" s="8" t="inlineStr">
        <is>
          <t>PSV total:</t>
        </is>
      </c>
      <c r="K1982" s="9">
        <f>TEXT(TIMEVALUE(I1981)-TIMEVALUE(H1980)+(I1981&lt;H1980),"[h]:mm")</f>
        <v/>
      </c>
    </row>
    <row r="1984">
      <c r="B1984" s="3" t="inlineStr">
        <is>
          <t>Pairing ID</t>
        </is>
      </c>
      <c r="C1984" s="3" t="inlineStr">
        <is>
          <t>FECHA REAL</t>
        </is>
      </c>
      <c r="D1984" s="3" t="inlineStr">
        <is>
          <t>Day of Week</t>
        </is>
      </c>
      <c r="E1984" s="3" t="inlineStr">
        <is>
          <t>Flight No</t>
        </is>
      </c>
      <c r="F1984" s="3" t="inlineStr">
        <is>
          <t>Dep Stn</t>
        </is>
      </c>
      <c r="G1984" s="3" t="inlineStr">
        <is>
          <t>Arr Stn</t>
        </is>
      </c>
      <c r="H1984" s="3" t="inlineStr">
        <is>
          <t>STD</t>
        </is>
      </c>
      <c r="I1984" s="3" t="inlineStr">
        <is>
          <t>STA</t>
        </is>
      </c>
      <c r="J1984" s="3" t="inlineStr">
        <is>
          <t>subflota</t>
        </is>
      </c>
      <c r="K1984" s="3" t="inlineStr">
        <is>
          <t>Conexion</t>
        </is>
      </c>
      <c r="L1984" s="3" t="inlineStr">
        <is>
          <t>HBT</t>
        </is>
      </c>
    </row>
    <row r="1985">
      <c r="B1985" s="4" t="n">
        <v>1941</v>
      </c>
      <c r="C1985" s="4" t="inlineStr">
        <is>
          <t>22/09/2026</t>
        </is>
      </c>
      <c r="D1985" s="4" t="inlineStr">
        <is>
          <t>martes</t>
        </is>
      </c>
      <c r="E1985" s="4" t="n">
        <v>2338</v>
      </c>
      <c r="F1985" s="4" t="inlineStr">
        <is>
          <t>LIM</t>
        </is>
      </c>
      <c r="G1985" s="4" t="inlineStr">
        <is>
          <t>PIU</t>
        </is>
      </c>
      <c r="H1985" s="4" t="inlineStr">
        <is>
          <t>15:00:00</t>
        </is>
      </c>
      <c r="I1985" s="4" t="inlineStr">
        <is>
          <t>16:45:00</t>
        </is>
      </c>
      <c r="J1985" s="4" t="n">
        <v>320</v>
      </c>
      <c r="L1985" s="4" t="inlineStr">
        <is>
          <t>01:45:00</t>
        </is>
      </c>
      <c r="M1985" s="5" t="n"/>
      <c r="N1985" s="6" t="n"/>
      <c r="O1985" s="5" t="n"/>
      <c r="Q1985" s="4">
        <f>B1985</f>
        <v/>
      </c>
      <c r="R1985" s="4">
        <f>C1985</f>
        <v/>
      </c>
      <c r="S1985" s="4">
        <f>D1985</f>
        <v/>
      </c>
      <c r="T1985" s="4">
        <f>E1985&amp;"/"&amp;E1986</f>
        <v/>
      </c>
      <c r="U1985" s="4">
        <f>F1985&amp;"-"&amp;G1985&amp;"-"&amp;F1985</f>
        <v/>
      </c>
      <c r="V1985" s="4">
        <f>IF($M$1985="","",$M$1985)</f>
        <v/>
      </c>
      <c r="W1985" s="4">
        <f>IF($O$1985="","",$O$1985)</f>
        <v/>
      </c>
      <c r="X1985" s="4">
        <f>J1985</f>
        <v/>
      </c>
    </row>
    <row r="1986">
      <c r="B1986" s="4" t="n">
        <v>1941</v>
      </c>
      <c r="C1986" s="4" t="inlineStr">
        <is>
          <t>22/09/2026</t>
        </is>
      </c>
      <c r="D1986" s="4" t="inlineStr">
        <is>
          <t>martes</t>
        </is>
      </c>
      <c r="E1986" s="4" t="n">
        <v>2339</v>
      </c>
      <c r="F1986" s="4" t="inlineStr">
        <is>
          <t>PIU</t>
        </is>
      </c>
      <c r="G1986" s="4" t="inlineStr">
        <is>
          <t>LIM</t>
        </is>
      </c>
      <c r="H1986" s="4" t="inlineStr">
        <is>
          <t>17:20:00</t>
        </is>
      </c>
      <c r="I1986" s="4" t="inlineStr">
        <is>
          <t>18:50:00</t>
        </is>
      </c>
      <c r="J1986" s="4" t="n">
        <v>320</v>
      </c>
      <c r="K1986">
        <f>TEXT(TIMEVALUE(H1986)-TIMEVALUE(I1985)+(TIMEVALUE(H1986)&lt;TIMEVALUE(I1985)),"[h]:mm")</f>
        <v/>
      </c>
      <c r="L1986" s="4" t="inlineStr">
        <is>
          <t>01:30:00</t>
        </is>
      </c>
      <c r="O1986">
        <f>"LIM-"&amp;G1985&amp;"-LIM   LA "&amp;E1985&amp;" ("&amp;LEFT(H1985,5)&amp;"-"&amp;LEFT(I1985,5)&amp;" hrs)  /  LA "&amp;E1986&amp;" ("&amp;LEFT(H1986,5)&amp;"-"&amp;LEFT(I1986,5)&amp;" hrs)"</f>
        <v/>
      </c>
    </row>
    <row r="1987">
      <c r="J1987" s="8" t="inlineStr">
        <is>
          <t>PSV total:</t>
        </is>
      </c>
      <c r="K1987" s="9">
        <f>TEXT(TIMEVALUE(I1986)-TIMEVALUE(H1985)+(I1986&lt;H1985),"[h]:mm")</f>
        <v/>
      </c>
    </row>
    <row r="1989">
      <c r="B1989" s="3" t="inlineStr">
        <is>
          <t>Pairing ID</t>
        </is>
      </c>
      <c r="C1989" s="3" t="inlineStr">
        <is>
          <t>FECHA REAL</t>
        </is>
      </c>
      <c r="D1989" s="3" t="inlineStr">
        <is>
          <t>Day of Week</t>
        </is>
      </c>
      <c r="E1989" s="3" t="inlineStr">
        <is>
          <t>Flight No</t>
        </is>
      </c>
      <c r="F1989" s="3" t="inlineStr">
        <is>
          <t>Dep Stn</t>
        </is>
      </c>
      <c r="G1989" s="3" t="inlineStr">
        <is>
          <t>Arr Stn</t>
        </is>
      </c>
      <c r="H1989" s="3" t="inlineStr">
        <is>
          <t>STD</t>
        </is>
      </c>
      <c r="I1989" s="3" t="inlineStr">
        <is>
          <t>STA</t>
        </is>
      </c>
      <c r="J1989" s="3" t="inlineStr">
        <is>
          <t>subflota</t>
        </is>
      </c>
      <c r="K1989" s="3" t="inlineStr">
        <is>
          <t>Conexion</t>
        </is>
      </c>
      <c r="L1989" s="3" t="inlineStr">
        <is>
          <t>HBT</t>
        </is>
      </c>
    </row>
    <row r="1990">
      <c r="B1990" s="4" t="n">
        <v>1943</v>
      </c>
      <c r="C1990" s="4" t="inlineStr">
        <is>
          <t>22/09/2026</t>
        </is>
      </c>
      <c r="D1990" s="4" t="inlineStr">
        <is>
          <t>martes</t>
        </is>
      </c>
      <c r="E1990" s="4" t="n">
        <v>2297</v>
      </c>
      <c r="F1990" s="4" t="inlineStr">
        <is>
          <t>LIM</t>
        </is>
      </c>
      <c r="G1990" s="4" t="inlineStr">
        <is>
          <t>CJA</t>
        </is>
      </c>
      <c r="H1990" s="4" t="inlineStr">
        <is>
          <t>15:15:00</t>
        </is>
      </c>
      <c r="I1990" s="4" t="inlineStr">
        <is>
          <t>16:35:00</t>
        </is>
      </c>
      <c r="J1990" s="4" t="n">
        <v>319</v>
      </c>
      <c r="L1990" s="4" t="inlineStr">
        <is>
          <t>01:20:00</t>
        </is>
      </c>
      <c r="M1990" s="5" t="n"/>
      <c r="N1990" s="6" t="n"/>
      <c r="O1990" s="5" t="n"/>
      <c r="Q1990" s="4">
        <f>B1990</f>
        <v/>
      </c>
      <c r="R1990" s="4">
        <f>C1990</f>
        <v/>
      </c>
      <c r="S1990" s="4">
        <f>D1990</f>
        <v/>
      </c>
      <c r="T1990" s="4">
        <f>E1990&amp;"/"&amp;E1991</f>
        <v/>
      </c>
      <c r="U1990" s="4">
        <f>F1990&amp;"-"&amp;G1990&amp;"-"&amp;F1990</f>
        <v/>
      </c>
      <c r="V1990" s="4">
        <f>IF($M$1990="","",$M$1990)</f>
        <v/>
      </c>
      <c r="W1990" s="4">
        <f>IF($O$1990="","",$O$1990)</f>
        <v/>
      </c>
      <c r="X1990" s="4">
        <f>J1990</f>
        <v/>
      </c>
    </row>
    <row r="1991">
      <c r="B1991" s="4" t="n">
        <v>1943</v>
      </c>
      <c r="C1991" s="4" t="inlineStr">
        <is>
          <t>22/09/2026</t>
        </is>
      </c>
      <c r="D1991" s="4" t="inlineStr">
        <is>
          <t>martes</t>
        </is>
      </c>
      <c r="E1991" s="4" t="n">
        <v>2296</v>
      </c>
      <c r="F1991" s="4" t="inlineStr">
        <is>
          <t>CJA</t>
        </is>
      </c>
      <c r="G1991" s="4" t="inlineStr">
        <is>
          <t>LIM</t>
        </is>
      </c>
      <c r="H1991" s="4" t="inlineStr">
        <is>
          <t>17:20:00</t>
        </is>
      </c>
      <c r="I1991" s="4" t="inlineStr">
        <is>
          <t>18:25:00</t>
        </is>
      </c>
      <c r="J1991" s="4" t="n">
        <v>319</v>
      </c>
      <c r="K1991">
        <f>TEXT(TIMEVALUE(H1991)-TIMEVALUE(I1990)+(TIMEVALUE(H1991)&lt;TIMEVALUE(I1990)),"[h]:mm")</f>
        <v/>
      </c>
      <c r="L1991" s="4" t="inlineStr">
        <is>
          <t>01:05:00</t>
        </is>
      </c>
      <c r="O1991">
        <f>"LIM-"&amp;G1990&amp;"-LIM   LA "&amp;E1990&amp;" ("&amp;LEFT(H1990,5)&amp;"-"&amp;LEFT(I1990,5)&amp;" hrs)  /  LA "&amp;E1991&amp;" ("&amp;LEFT(H1991,5)&amp;"-"&amp;LEFT(I1991,5)&amp;" hrs)"</f>
        <v/>
      </c>
    </row>
    <row r="1992">
      <c r="J1992" s="8" t="inlineStr">
        <is>
          <t>PSV total:</t>
        </is>
      </c>
      <c r="K1992" s="9">
        <f>TEXT(TIMEVALUE(I1991)-TIMEVALUE(H1990)+(I1991&lt;H1990),"[h]:mm")</f>
        <v/>
      </c>
    </row>
    <row r="1994">
      <c r="B1994" s="3" t="inlineStr">
        <is>
          <t>Pairing ID</t>
        </is>
      </c>
      <c r="C1994" s="3" t="inlineStr">
        <is>
          <t>FECHA REAL</t>
        </is>
      </c>
      <c r="D1994" s="3" t="inlineStr">
        <is>
          <t>Day of Week</t>
        </is>
      </c>
      <c r="E1994" s="3" t="inlineStr">
        <is>
          <t>Flight No</t>
        </is>
      </c>
      <c r="F1994" s="3" t="inlineStr">
        <is>
          <t>Dep Stn</t>
        </is>
      </c>
      <c r="G1994" s="3" t="inlineStr">
        <is>
          <t>Arr Stn</t>
        </is>
      </c>
      <c r="H1994" s="3" t="inlineStr">
        <is>
          <t>STD</t>
        </is>
      </c>
      <c r="I1994" s="3" t="inlineStr">
        <is>
          <t>STA</t>
        </is>
      </c>
      <c r="J1994" s="3" t="inlineStr">
        <is>
          <t>subflota</t>
        </is>
      </c>
      <c r="K1994" s="3" t="inlineStr">
        <is>
          <t>Conexion</t>
        </is>
      </c>
      <c r="L1994" s="3" t="inlineStr">
        <is>
          <t>HBT</t>
        </is>
      </c>
    </row>
    <row r="1995">
      <c r="B1995" s="4" t="n">
        <v>1944</v>
      </c>
      <c r="C1995" s="4" t="inlineStr">
        <is>
          <t>22/09/2026</t>
        </is>
      </c>
      <c r="D1995" s="4" t="inlineStr">
        <is>
          <t>martes</t>
        </is>
      </c>
      <c r="E1995" s="4" t="n">
        <v>2360</v>
      </c>
      <c r="F1995" s="4" t="inlineStr">
        <is>
          <t>LIM</t>
        </is>
      </c>
      <c r="G1995" s="4" t="inlineStr">
        <is>
          <t>PCL</t>
        </is>
      </c>
      <c r="H1995" s="4" t="inlineStr">
        <is>
          <t>15:25:00</t>
        </is>
      </c>
      <c r="I1995" s="4" t="inlineStr">
        <is>
          <t>16:40:00</t>
        </is>
      </c>
      <c r="J1995" s="4" t="n">
        <v>320</v>
      </c>
      <c r="L1995" s="4" t="inlineStr">
        <is>
          <t>01:15:00</t>
        </is>
      </c>
      <c r="M1995" s="5" t="n"/>
      <c r="N1995" s="6" t="n"/>
      <c r="O1995" s="5" t="n"/>
      <c r="Q1995" s="4">
        <f>B1995</f>
        <v/>
      </c>
      <c r="R1995" s="4">
        <f>C1995</f>
        <v/>
      </c>
      <c r="S1995" s="4">
        <f>D1995</f>
        <v/>
      </c>
      <c r="T1995" s="4">
        <f>E1995&amp;"/"&amp;E1996</f>
        <v/>
      </c>
      <c r="U1995" s="4">
        <f>F1995&amp;"-"&amp;G1995&amp;"-"&amp;F1995</f>
        <v/>
      </c>
      <c r="V1995" s="4">
        <f>IF($M$1995="","",$M$1995)</f>
        <v/>
      </c>
      <c r="W1995" s="4">
        <f>IF($O$1995="","",$O$1995)</f>
        <v/>
      </c>
      <c r="X1995" s="4">
        <f>J1995</f>
        <v/>
      </c>
    </row>
    <row r="1996">
      <c r="B1996" s="4" t="n">
        <v>1944</v>
      </c>
      <c r="C1996" s="4" t="inlineStr">
        <is>
          <t>22/09/2026</t>
        </is>
      </c>
      <c r="D1996" s="4" t="inlineStr">
        <is>
          <t>martes</t>
        </is>
      </c>
      <c r="E1996" s="4" t="n">
        <v>2361</v>
      </c>
      <c r="F1996" s="4" t="inlineStr">
        <is>
          <t>PCL</t>
        </is>
      </c>
      <c r="G1996" s="4" t="inlineStr">
        <is>
          <t>LIM</t>
        </is>
      </c>
      <c r="H1996" s="4" t="inlineStr">
        <is>
          <t>17:20:00</t>
        </is>
      </c>
      <c r="I1996" s="4" t="inlineStr">
        <is>
          <t>18:35:00</t>
        </is>
      </c>
      <c r="J1996" s="4" t="n">
        <v>320</v>
      </c>
      <c r="K1996">
        <f>TEXT(TIMEVALUE(H1996)-TIMEVALUE(I1995)+(TIMEVALUE(H1996)&lt;TIMEVALUE(I1995)),"[h]:mm")</f>
        <v/>
      </c>
      <c r="L1996" s="4" t="inlineStr">
        <is>
          <t>01:15:00</t>
        </is>
      </c>
      <c r="O1996">
        <f>"LIM-"&amp;G1995&amp;"-LIM   LA "&amp;E1995&amp;" ("&amp;LEFT(H1995,5)&amp;"-"&amp;LEFT(I1995,5)&amp;" hrs)  /  LA "&amp;E1996&amp;" ("&amp;LEFT(H1996,5)&amp;"-"&amp;LEFT(I1996,5)&amp;" hrs)"</f>
        <v/>
      </c>
    </row>
    <row r="1997">
      <c r="J1997" s="8" t="inlineStr">
        <is>
          <t>PSV total:</t>
        </is>
      </c>
      <c r="K1997" s="9">
        <f>TEXT(TIMEVALUE(I1996)-TIMEVALUE(H1995)+(I1996&lt;H1995),"[h]:mm")</f>
        <v/>
      </c>
    </row>
    <row r="1999">
      <c r="B1999" s="3" t="inlineStr">
        <is>
          <t>Pairing ID</t>
        </is>
      </c>
      <c r="C1999" s="3" t="inlineStr">
        <is>
          <t>FECHA REAL</t>
        </is>
      </c>
      <c r="D1999" s="3" t="inlineStr">
        <is>
          <t>Day of Week</t>
        </is>
      </c>
      <c r="E1999" s="3" t="inlineStr">
        <is>
          <t>Flight No</t>
        </is>
      </c>
      <c r="F1999" s="3" t="inlineStr">
        <is>
          <t>Dep Stn</t>
        </is>
      </c>
      <c r="G1999" s="3" t="inlineStr">
        <is>
          <t>Arr Stn</t>
        </is>
      </c>
      <c r="H1999" s="3" t="inlineStr">
        <is>
          <t>STD</t>
        </is>
      </c>
      <c r="I1999" s="3" t="inlineStr">
        <is>
          <t>STA</t>
        </is>
      </c>
      <c r="J1999" s="3" t="inlineStr">
        <is>
          <t>subflota</t>
        </is>
      </c>
      <c r="K1999" s="3" t="inlineStr">
        <is>
          <t>Conexion</t>
        </is>
      </c>
      <c r="L1999" s="3" t="inlineStr">
        <is>
          <t>HBT</t>
        </is>
      </c>
    </row>
    <row r="2000">
      <c r="B2000" s="4" t="n">
        <v>1945</v>
      </c>
      <c r="C2000" s="4" t="inlineStr">
        <is>
          <t>22/09/2026</t>
        </is>
      </c>
      <c r="D2000" s="4" t="inlineStr">
        <is>
          <t>martes</t>
        </is>
      </c>
      <c r="E2000" s="4" t="n">
        <v>2312</v>
      </c>
      <c r="F2000" s="4" t="inlineStr">
        <is>
          <t>LIM</t>
        </is>
      </c>
      <c r="G2000" s="4" t="inlineStr">
        <is>
          <t>CIX</t>
        </is>
      </c>
      <c r="H2000" s="4" t="inlineStr">
        <is>
          <t>15:35:00</t>
        </is>
      </c>
      <c r="I2000" s="4" t="inlineStr">
        <is>
          <t>17:05:00</t>
        </is>
      </c>
      <c r="J2000" s="4" t="n">
        <v>320</v>
      </c>
      <c r="L2000" s="4" t="inlineStr">
        <is>
          <t>01:30:00</t>
        </is>
      </c>
      <c r="M2000" s="5" t="n"/>
      <c r="N2000" s="6" t="n"/>
      <c r="O2000" s="5" t="n"/>
      <c r="Q2000" s="4">
        <f>B2000</f>
        <v/>
      </c>
      <c r="R2000" s="4">
        <f>C2000</f>
        <v/>
      </c>
      <c r="S2000" s="4">
        <f>D2000</f>
        <v/>
      </c>
      <c r="T2000" s="4">
        <f>E2000&amp;"/"&amp;E2001</f>
        <v/>
      </c>
      <c r="U2000" s="4">
        <f>F2000&amp;"-"&amp;G2000&amp;"-"&amp;F2000</f>
        <v/>
      </c>
      <c r="V2000" s="4">
        <f>IF($M$2000="","",$M$2000)</f>
        <v/>
      </c>
      <c r="W2000" s="4">
        <f>IF($O$2000="","",$O$2000)</f>
        <v/>
      </c>
      <c r="X2000" s="4">
        <f>J2000</f>
        <v/>
      </c>
    </row>
    <row r="2001">
      <c r="B2001" s="4" t="n">
        <v>1945</v>
      </c>
      <c r="C2001" s="4" t="inlineStr">
        <is>
          <t>22/09/2026</t>
        </is>
      </c>
      <c r="D2001" s="4" t="inlineStr">
        <is>
          <t>martes</t>
        </is>
      </c>
      <c r="E2001" s="4" t="n">
        <v>2313</v>
      </c>
      <c r="F2001" s="4" t="inlineStr">
        <is>
          <t>CIX</t>
        </is>
      </c>
      <c r="G2001" s="4" t="inlineStr">
        <is>
          <t>LIM</t>
        </is>
      </c>
      <c r="H2001" s="4" t="inlineStr">
        <is>
          <t>17:50:00</t>
        </is>
      </c>
      <c r="I2001" s="4" t="inlineStr">
        <is>
          <t>19:10:00</t>
        </is>
      </c>
      <c r="J2001" s="4" t="n">
        <v>320</v>
      </c>
      <c r="K2001">
        <f>TEXT(TIMEVALUE(H2001)-TIMEVALUE(I2000)+(TIMEVALUE(H2001)&lt;TIMEVALUE(I2000)),"[h]:mm")</f>
        <v/>
      </c>
      <c r="L2001" s="4" t="inlineStr">
        <is>
          <t>01:20:00</t>
        </is>
      </c>
      <c r="O2001">
        <f>"LIM-"&amp;G2000&amp;"-LIM   LA "&amp;E2000&amp;" ("&amp;LEFT(H2000,5)&amp;"-"&amp;LEFT(I2000,5)&amp;" hrs)  /  LA "&amp;E2001&amp;" ("&amp;LEFT(H2001,5)&amp;"-"&amp;LEFT(I2001,5)&amp;" hrs)"</f>
        <v/>
      </c>
    </row>
    <row r="2002">
      <c r="J2002" s="8" t="inlineStr">
        <is>
          <t>PSV total:</t>
        </is>
      </c>
      <c r="K2002" s="9">
        <f>TEXT(TIMEVALUE(I2001)-TIMEVALUE(H2000)+(I2001&lt;H2000),"[h]:mm")</f>
        <v/>
      </c>
    </row>
    <row r="2004">
      <c r="B2004" s="3" t="inlineStr">
        <is>
          <t>Pairing ID</t>
        </is>
      </c>
      <c r="C2004" s="3" t="inlineStr">
        <is>
          <t>FECHA REAL</t>
        </is>
      </c>
      <c r="D2004" s="3" t="inlineStr">
        <is>
          <t>Day of Week</t>
        </is>
      </c>
      <c r="E2004" s="3" t="inlineStr">
        <is>
          <t>Flight No</t>
        </is>
      </c>
      <c r="F2004" s="3" t="inlineStr">
        <is>
          <t>Dep Stn</t>
        </is>
      </c>
      <c r="G2004" s="3" t="inlineStr">
        <is>
          <t>Arr Stn</t>
        </is>
      </c>
      <c r="H2004" s="3" t="inlineStr">
        <is>
          <t>STD</t>
        </is>
      </c>
      <c r="I2004" s="3" t="inlineStr">
        <is>
          <t>STA</t>
        </is>
      </c>
      <c r="J2004" s="3" t="inlineStr">
        <is>
          <t>subflota</t>
        </is>
      </c>
      <c r="K2004" s="3" t="inlineStr">
        <is>
          <t>Conexion</t>
        </is>
      </c>
      <c r="L2004" s="3" t="inlineStr">
        <is>
          <t>HBT</t>
        </is>
      </c>
    </row>
    <row r="2005">
      <c r="B2005" s="4" t="n">
        <v>1946</v>
      </c>
      <c r="C2005" s="4" t="inlineStr">
        <is>
          <t>22/09/2026</t>
        </is>
      </c>
      <c r="D2005" s="4" t="inlineStr">
        <is>
          <t>martes</t>
        </is>
      </c>
      <c r="E2005" s="4" t="n">
        <v>2301</v>
      </c>
      <c r="F2005" s="4" t="inlineStr">
        <is>
          <t>LIM</t>
        </is>
      </c>
      <c r="G2005" s="4" t="inlineStr">
        <is>
          <t>TPP</t>
        </is>
      </c>
      <c r="H2005" s="4" t="inlineStr">
        <is>
          <t>15:40:00</t>
        </is>
      </c>
      <c r="I2005" s="4" t="inlineStr">
        <is>
          <t>17:05:00</t>
        </is>
      </c>
      <c r="J2005" s="4" t="n">
        <v>320</v>
      </c>
      <c r="L2005" s="4" t="inlineStr">
        <is>
          <t>01:25:00</t>
        </is>
      </c>
      <c r="M2005" s="5" t="n"/>
      <c r="N2005" s="6" t="n"/>
      <c r="O2005" s="5" t="n"/>
      <c r="Q2005" s="4">
        <f>B2005</f>
        <v/>
      </c>
      <c r="R2005" s="4">
        <f>C2005</f>
        <v/>
      </c>
      <c r="S2005" s="4">
        <f>D2005</f>
        <v/>
      </c>
      <c r="T2005" s="4">
        <f>E2005&amp;"/"&amp;E2006</f>
        <v/>
      </c>
      <c r="U2005" s="4">
        <f>F2005&amp;"-"&amp;G2005&amp;"-"&amp;F2005</f>
        <v/>
      </c>
      <c r="V2005" s="4">
        <f>IF($M$2005="","",$M$2005)</f>
        <v/>
      </c>
      <c r="W2005" s="4">
        <f>IF($O$2005="","",$O$2005)</f>
        <v/>
      </c>
      <c r="X2005" s="4">
        <f>J2005</f>
        <v/>
      </c>
    </row>
    <row r="2006">
      <c r="B2006" s="4" t="n">
        <v>1946</v>
      </c>
      <c r="C2006" s="4" t="inlineStr">
        <is>
          <t>22/09/2026</t>
        </is>
      </c>
      <c r="D2006" s="4" t="inlineStr">
        <is>
          <t>martes</t>
        </is>
      </c>
      <c r="E2006" s="4" t="n">
        <v>2300</v>
      </c>
      <c r="F2006" s="4" t="inlineStr">
        <is>
          <t>TPP</t>
        </is>
      </c>
      <c r="G2006" s="4" t="inlineStr">
        <is>
          <t>LIM</t>
        </is>
      </c>
      <c r="H2006" s="4" t="inlineStr">
        <is>
          <t>17:50:00</t>
        </is>
      </c>
      <c r="I2006" s="4" t="inlineStr">
        <is>
          <t>19:15:00</t>
        </is>
      </c>
      <c r="J2006" s="4" t="n">
        <v>320</v>
      </c>
      <c r="K2006">
        <f>TEXT(TIMEVALUE(H2006)-TIMEVALUE(I2005)+(TIMEVALUE(H2006)&lt;TIMEVALUE(I2005)),"[h]:mm")</f>
        <v/>
      </c>
      <c r="L2006" s="4" t="inlineStr">
        <is>
          <t>01:25:00</t>
        </is>
      </c>
      <c r="O2006">
        <f>"LIM-"&amp;G2005&amp;"-LIM   LA "&amp;E2005&amp;" ("&amp;LEFT(H2005,5)&amp;"-"&amp;LEFT(I2005,5)&amp;" hrs)  /  LA "&amp;E2006&amp;" ("&amp;LEFT(H2006,5)&amp;"-"&amp;LEFT(I2006,5)&amp;" hrs)"</f>
        <v/>
      </c>
    </row>
    <row r="2007">
      <c r="J2007" s="8" t="inlineStr">
        <is>
          <t>PSV total:</t>
        </is>
      </c>
      <c r="K2007" s="9">
        <f>TEXT(TIMEVALUE(I2006)-TIMEVALUE(H2005)+(I2006&lt;H2005),"[h]:mm")</f>
        <v/>
      </c>
    </row>
    <row r="2009">
      <c r="B2009" s="3" t="inlineStr">
        <is>
          <t>Pairing ID</t>
        </is>
      </c>
      <c r="C2009" s="3" t="inlineStr">
        <is>
          <t>FECHA REAL</t>
        </is>
      </c>
      <c r="D2009" s="3" t="inlineStr">
        <is>
          <t>Day of Week</t>
        </is>
      </c>
      <c r="E2009" s="3" t="inlineStr">
        <is>
          <t>Flight No</t>
        </is>
      </c>
      <c r="F2009" s="3" t="inlineStr">
        <is>
          <t>Dep Stn</t>
        </is>
      </c>
      <c r="G2009" s="3" t="inlineStr">
        <is>
          <t>Arr Stn</t>
        </is>
      </c>
      <c r="H2009" s="3" t="inlineStr">
        <is>
          <t>STD</t>
        </is>
      </c>
      <c r="I2009" s="3" t="inlineStr">
        <is>
          <t>STA</t>
        </is>
      </c>
      <c r="J2009" s="3" t="inlineStr">
        <is>
          <t>subflota</t>
        </is>
      </c>
      <c r="K2009" s="3" t="inlineStr">
        <is>
          <t>Conexion</t>
        </is>
      </c>
      <c r="L2009" s="3" t="inlineStr">
        <is>
          <t>HBT</t>
        </is>
      </c>
    </row>
    <row r="2010">
      <c r="B2010" s="4" t="n">
        <v>1950</v>
      </c>
      <c r="C2010" s="4" t="inlineStr">
        <is>
          <t>22/09/2026</t>
        </is>
      </c>
      <c r="D2010" s="4" t="inlineStr">
        <is>
          <t>martes</t>
        </is>
      </c>
      <c r="E2010" s="4" t="n">
        <v>2276</v>
      </c>
      <c r="F2010" s="4" t="inlineStr">
        <is>
          <t>LIM</t>
        </is>
      </c>
      <c r="G2010" s="4" t="inlineStr">
        <is>
          <t>CUZ</t>
        </is>
      </c>
      <c r="H2010" s="4" t="inlineStr">
        <is>
          <t>16:35:00</t>
        </is>
      </c>
      <c r="I2010" s="4" t="inlineStr">
        <is>
          <t>17:55:00</t>
        </is>
      </c>
      <c r="J2010" s="4" t="n">
        <v>320</v>
      </c>
      <c r="L2010" s="4" t="inlineStr">
        <is>
          <t>01:20:00</t>
        </is>
      </c>
      <c r="M2010" s="5" t="n"/>
      <c r="N2010" s="6" t="n"/>
      <c r="O2010" s="5" t="n"/>
      <c r="Q2010" s="4">
        <f>B2010</f>
        <v/>
      </c>
      <c r="R2010" s="4">
        <f>C2010</f>
        <v/>
      </c>
      <c r="S2010" s="4">
        <f>D2010</f>
        <v/>
      </c>
      <c r="T2010" s="4">
        <f>E2010&amp;"/"&amp;E2011</f>
        <v/>
      </c>
      <c r="U2010" s="4">
        <f>F2010&amp;"-"&amp;G2010&amp;"-"&amp;F2010</f>
        <v/>
      </c>
      <c r="V2010" s="4">
        <f>IF($M$2010="","",$M$2010)</f>
        <v/>
      </c>
      <c r="W2010" s="4">
        <f>IF($O$2010="","",$O$2010)</f>
        <v/>
      </c>
      <c r="X2010" s="4">
        <f>J2010</f>
        <v/>
      </c>
    </row>
    <row r="2011">
      <c r="B2011" s="4" t="n">
        <v>1950</v>
      </c>
      <c r="C2011" s="4" t="inlineStr">
        <is>
          <t>22/09/2026</t>
        </is>
      </c>
      <c r="D2011" s="4" t="inlineStr">
        <is>
          <t>martes</t>
        </is>
      </c>
      <c r="E2011" s="4" t="n">
        <v>2277</v>
      </c>
      <c r="F2011" s="4" t="inlineStr">
        <is>
          <t>CUZ</t>
        </is>
      </c>
      <c r="G2011" s="4" t="inlineStr">
        <is>
          <t>LIM</t>
        </is>
      </c>
      <c r="H2011" s="4" t="inlineStr">
        <is>
          <t>18:50:00</t>
        </is>
      </c>
      <c r="I2011" s="4" t="inlineStr">
        <is>
          <t>20:25:00</t>
        </is>
      </c>
      <c r="J2011" s="4" t="n">
        <v>320</v>
      </c>
      <c r="K2011">
        <f>TEXT(TIMEVALUE(H2011)-TIMEVALUE(I2010)+(TIMEVALUE(H2011)&lt;TIMEVALUE(I2010)),"[h]:mm")</f>
        <v/>
      </c>
      <c r="L2011" s="4" t="inlineStr">
        <is>
          <t>01:35:00</t>
        </is>
      </c>
      <c r="O2011">
        <f>"LIM-"&amp;G2010&amp;"-LIM   LA "&amp;E2010&amp;" ("&amp;LEFT(H2010,5)&amp;"-"&amp;LEFT(I2010,5)&amp;" hrs)  /  LA "&amp;E2011&amp;" ("&amp;LEFT(H2011,5)&amp;"-"&amp;LEFT(I2011,5)&amp;" hrs)"</f>
        <v/>
      </c>
    </row>
    <row r="2012">
      <c r="J2012" s="8" t="inlineStr">
        <is>
          <t>PSV total:</t>
        </is>
      </c>
      <c r="K2012" s="9">
        <f>TEXT(TIMEVALUE(I2011)-TIMEVALUE(H2010)+(I2011&lt;H2010),"[h]:mm")</f>
        <v/>
      </c>
    </row>
    <row r="2014">
      <c r="B2014" s="3" t="inlineStr">
        <is>
          <t>Pairing ID</t>
        </is>
      </c>
      <c r="C2014" s="3" t="inlineStr">
        <is>
          <t>FECHA REAL</t>
        </is>
      </c>
      <c r="D2014" s="3" t="inlineStr">
        <is>
          <t>Day of Week</t>
        </is>
      </c>
      <c r="E2014" s="3" t="inlineStr">
        <is>
          <t>Flight No</t>
        </is>
      </c>
      <c r="F2014" s="3" t="inlineStr">
        <is>
          <t>Dep Stn</t>
        </is>
      </c>
      <c r="G2014" s="3" t="inlineStr">
        <is>
          <t>Arr Stn</t>
        </is>
      </c>
      <c r="H2014" s="3" t="inlineStr">
        <is>
          <t>STD</t>
        </is>
      </c>
      <c r="I2014" s="3" t="inlineStr">
        <is>
          <t>STA</t>
        </is>
      </c>
      <c r="J2014" s="3" t="inlineStr">
        <is>
          <t>subflota</t>
        </is>
      </c>
      <c r="K2014" s="3" t="inlineStr">
        <is>
          <t>Conexion</t>
        </is>
      </c>
      <c r="L2014" s="3" t="inlineStr">
        <is>
          <t>HBT</t>
        </is>
      </c>
    </row>
    <row r="2015">
      <c r="B2015" s="4" t="n">
        <v>1951</v>
      </c>
      <c r="C2015" s="4" t="inlineStr">
        <is>
          <t>22/09/2026</t>
        </is>
      </c>
      <c r="D2015" s="4" t="inlineStr">
        <is>
          <t>martes</t>
        </is>
      </c>
      <c r="E2015" s="4" t="n">
        <v>2276</v>
      </c>
      <c r="F2015" s="4" t="inlineStr">
        <is>
          <t>LIM</t>
        </is>
      </c>
      <c r="G2015" s="4" t="inlineStr">
        <is>
          <t>CUZ</t>
        </is>
      </c>
      <c r="H2015" s="4" t="inlineStr">
        <is>
          <t>16:35:00</t>
        </is>
      </c>
      <c r="I2015" s="4" t="inlineStr">
        <is>
          <t>17:55:00</t>
        </is>
      </c>
      <c r="J2015" s="4" t="n">
        <v>320</v>
      </c>
      <c r="L2015" s="4" t="inlineStr">
        <is>
          <t>01:20:00</t>
        </is>
      </c>
      <c r="M2015" s="5" t="n"/>
      <c r="N2015" s="6" t="n"/>
      <c r="O2015" s="5" t="n"/>
      <c r="Q2015" s="4">
        <f>B2015</f>
        <v/>
      </c>
      <c r="R2015" s="4">
        <f>C2015</f>
        <v/>
      </c>
      <c r="S2015" s="4">
        <f>D2015</f>
        <v/>
      </c>
      <c r="T2015" s="4">
        <f>E2015&amp;"/"&amp;E2016</f>
        <v/>
      </c>
      <c r="U2015" s="4">
        <f>F2015&amp;"-"&amp;G2015&amp;"-"&amp;F2015</f>
        <v/>
      </c>
      <c r="V2015" s="4">
        <f>IF($M$2015="","",$M$2015)</f>
        <v/>
      </c>
      <c r="W2015" s="4">
        <f>IF($O$2015="","",$O$2015)</f>
        <v/>
      </c>
      <c r="X2015" s="4">
        <f>J2015</f>
        <v/>
      </c>
    </row>
    <row r="2016">
      <c r="B2016" s="4" t="n">
        <v>1951</v>
      </c>
      <c r="C2016" s="4" t="inlineStr">
        <is>
          <t>22/09/2026</t>
        </is>
      </c>
      <c r="D2016" s="4" t="inlineStr">
        <is>
          <t>martes</t>
        </is>
      </c>
      <c r="E2016" s="4" t="n">
        <v>2277</v>
      </c>
      <c r="F2016" s="4" t="inlineStr">
        <is>
          <t>CUZ</t>
        </is>
      </c>
      <c r="G2016" s="4" t="inlineStr">
        <is>
          <t>LIM</t>
        </is>
      </c>
      <c r="H2016" s="4" t="inlineStr">
        <is>
          <t>18:50:00</t>
        </is>
      </c>
      <c r="I2016" s="4" t="inlineStr">
        <is>
          <t>20:25:00</t>
        </is>
      </c>
      <c r="J2016" s="4" t="n">
        <v>320</v>
      </c>
      <c r="K2016">
        <f>TEXT(TIMEVALUE(H2016)-TIMEVALUE(I2015)+(TIMEVALUE(H2016)&lt;TIMEVALUE(I2015)),"[h]:mm")</f>
        <v/>
      </c>
      <c r="L2016" s="4" t="inlineStr">
        <is>
          <t>01:35:00</t>
        </is>
      </c>
      <c r="O2016">
        <f>"LIM-"&amp;G2015&amp;"-LIM   LA "&amp;E2015&amp;" ("&amp;LEFT(H2015,5)&amp;"-"&amp;LEFT(I2015,5)&amp;" hrs)  /  LA "&amp;E2016&amp;" ("&amp;LEFT(H2016,5)&amp;"-"&amp;LEFT(I2016,5)&amp;" hrs)"</f>
        <v/>
      </c>
    </row>
    <row r="2017">
      <c r="J2017" s="8" t="inlineStr">
        <is>
          <t>PSV total:</t>
        </is>
      </c>
      <c r="K2017" s="9">
        <f>TEXT(TIMEVALUE(I2016)-TIMEVALUE(H2015)+(I2016&lt;H2015),"[h]:mm")</f>
        <v/>
      </c>
    </row>
    <row r="2019">
      <c r="B2019" s="3" t="inlineStr">
        <is>
          <t>Pairing ID</t>
        </is>
      </c>
      <c r="C2019" s="3" t="inlineStr">
        <is>
          <t>FECHA REAL</t>
        </is>
      </c>
      <c r="D2019" s="3" t="inlineStr">
        <is>
          <t>Day of Week</t>
        </is>
      </c>
      <c r="E2019" s="3" t="inlineStr">
        <is>
          <t>Flight No</t>
        </is>
      </c>
      <c r="F2019" s="3" t="inlineStr">
        <is>
          <t>Dep Stn</t>
        </is>
      </c>
      <c r="G2019" s="3" t="inlineStr">
        <is>
          <t>Arr Stn</t>
        </is>
      </c>
      <c r="H2019" s="3" t="inlineStr">
        <is>
          <t>STD</t>
        </is>
      </c>
      <c r="I2019" s="3" t="inlineStr">
        <is>
          <t>STA</t>
        </is>
      </c>
      <c r="J2019" s="3" t="inlineStr">
        <is>
          <t>subflota</t>
        </is>
      </c>
      <c r="K2019" s="3" t="inlineStr">
        <is>
          <t>Conexion</t>
        </is>
      </c>
      <c r="L2019" s="3" t="inlineStr">
        <is>
          <t>HBT</t>
        </is>
      </c>
    </row>
    <row r="2020">
      <c r="B2020" s="4" t="n">
        <v>1952</v>
      </c>
      <c r="C2020" s="4" t="inlineStr">
        <is>
          <t>22/09/2026</t>
        </is>
      </c>
      <c r="D2020" s="4" t="inlineStr">
        <is>
          <t>martes</t>
        </is>
      </c>
      <c r="E2020" s="4" t="n">
        <v>2115</v>
      </c>
      <c r="F2020" s="4" t="inlineStr">
        <is>
          <t>LIM</t>
        </is>
      </c>
      <c r="G2020" s="4" t="inlineStr">
        <is>
          <t>AQP</t>
        </is>
      </c>
      <c r="H2020" s="4" t="inlineStr">
        <is>
          <t>17:15:00</t>
        </is>
      </c>
      <c r="I2020" s="4" t="inlineStr">
        <is>
          <t>18:45:00</t>
        </is>
      </c>
      <c r="J2020" s="4" t="n">
        <v>320</v>
      </c>
      <c r="L2020" s="4" t="inlineStr">
        <is>
          <t>01:30:00</t>
        </is>
      </c>
      <c r="M2020" s="5" t="n"/>
      <c r="N2020" s="6" t="n"/>
      <c r="O2020" s="5" t="n"/>
      <c r="Q2020" s="4">
        <f>B2020</f>
        <v/>
      </c>
      <c r="R2020" s="4">
        <f>C2020</f>
        <v/>
      </c>
      <c r="S2020" s="4">
        <f>D2020</f>
        <v/>
      </c>
      <c r="T2020" s="4">
        <f>E2020&amp;"/"&amp;E2021</f>
        <v/>
      </c>
      <c r="U2020" s="4">
        <f>F2020&amp;"-"&amp;G2020&amp;"-"&amp;F2020</f>
        <v/>
      </c>
      <c r="V2020" s="4">
        <f>IF($M$2020="","",$M$2020)</f>
        <v/>
      </c>
      <c r="W2020" s="4">
        <f>IF($O$2020="","",$O$2020)</f>
        <v/>
      </c>
      <c r="X2020" s="4">
        <f>J2020</f>
        <v/>
      </c>
    </row>
    <row r="2021">
      <c r="B2021" s="4" t="n">
        <v>1952</v>
      </c>
      <c r="C2021" s="4" t="inlineStr">
        <is>
          <t>22/09/2026</t>
        </is>
      </c>
      <c r="D2021" s="4" t="inlineStr">
        <is>
          <t>martes</t>
        </is>
      </c>
      <c r="E2021" s="4" t="n">
        <v>2114</v>
      </c>
      <c r="F2021" s="4" t="inlineStr">
        <is>
          <t>AQP</t>
        </is>
      </c>
      <c r="G2021" s="4" t="inlineStr">
        <is>
          <t>LIM</t>
        </is>
      </c>
      <c r="H2021" s="4" t="inlineStr">
        <is>
          <t>19:20:00</t>
        </is>
      </c>
      <c r="I2021" s="4" t="inlineStr">
        <is>
          <t>20:55:00</t>
        </is>
      </c>
      <c r="J2021" s="4" t="n">
        <v>320</v>
      </c>
      <c r="K2021">
        <f>TEXT(TIMEVALUE(H2021)-TIMEVALUE(I2020)+(TIMEVALUE(H2021)&lt;TIMEVALUE(I2020)),"[h]:mm")</f>
        <v/>
      </c>
      <c r="L2021" s="4" t="inlineStr">
        <is>
          <t>01:35:00</t>
        </is>
      </c>
      <c r="O2021">
        <f>"LIM-"&amp;G2020&amp;"-LIM   LA "&amp;E2020&amp;" ("&amp;LEFT(H2020,5)&amp;"-"&amp;LEFT(I2020,5)&amp;" hrs)  /  LA "&amp;E2021&amp;" ("&amp;LEFT(H2021,5)&amp;"-"&amp;LEFT(I2021,5)&amp;" hrs)"</f>
        <v/>
      </c>
    </row>
    <row r="2022">
      <c r="J2022" s="8" t="inlineStr">
        <is>
          <t>PSV total:</t>
        </is>
      </c>
      <c r="K2022" s="9">
        <f>TEXT(TIMEVALUE(I2021)-TIMEVALUE(H2020)+(I2021&lt;H2020),"[h]:mm")</f>
        <v/>
      </c>
    </row>
    <row r="2024">
      <c r="B2024" s="3" t="inlineStr">
        <is>
          <t>Pairing ID</t>
        </is>
      </c>
      <c r="C2024" s="3" t="inlineStr">
        <is>
          <t>FECHA REAL</t>
        </is>
      </c>
      <c r="D2024" s="3" t="inlineStr">
        <is>
          <t>Day of Week</t>
        </is>
      </c>
      <c r="E2024" s="3" t="inlineStr">
        <is>
          <t>Flight No</t>
        </is>
      </c>
      <c r="F2024" s="3" t="inlineStr">
        <is>
          <t>Dep Stn</t>
        </is>
      </c>
      <c r="G2024" s="3" t="inlineStr">
        <is>
          <t>Arr Stn</t>
        </is>
      </c>
      <c r="H2024" s="3" t="inlineStr">
        <is>
          <t>STD</t>
        </is>
      </c>
      <c r="I2024" s="3" t="inlineStr">
        <is>
          <t>STA</t>
        </is>
      </c>
      <c r="J2024" s="3" t="inlineStr">
        <is>
          <t>subflota</t>
        </is>
      </c>
      <c r="K2024" s="3" t="inlineStr">
        <is>
          <t>Conexion</t>
        </is>
      </c>
      <c r="L2024" s="3" t="inlineStr">
        <is>
          <t>HBT</t>
        </is>
      </c>
    </row>
    <row r="2025">
      <c r="B2025" s="4" t="n">
        <v>1993</v>
      </c>
      <c r="C2025" s="4" t="inlineStr">
        <is>
          <t>23/09/2026</t>
        </is>
      </c>
      <c r="D2025" s="4" t="inlineStr">
        <is>
          <t>miércoles</t>
        </is>
      </c>
      <c r="E2025" s="4" t="n">
        <v>2013</v>
      </c>
      <c r="F2025" s="4" t="inlineStr">
        <is>
          <t>LIM</t>
        </is>
      </c>
      <c r="G2025" s="4" t="inlineStr">
        <is>
          <t>CUZ</t>
        </is>
      </c>
      <c r="H2025" s="4" t="inlineStr">
        <is>
          <t>08:35:00</t>
        </is>
      </c>
      <c r="I2025" s="4" t="inlineStr">
        <is>
          <t>09:55:00</t>
        </is>
      </c>
      <c r="J2025" s="4" t="n">
        <v>319</v>
      </c>
      <c r="L2025" s="4" t="inlineStr">
        <is>
          <t>01:20:00</t>
        </is>
      </c>
      <c r="M2025" s="5" t="n"/>
      <c r="N2025" s="6" t="n"/>
      <c r="O2025" s="5" t="n"/>
      <c r="Q2025" s="4">
        <f>B2025</f>
        <v/>
      </c>
      <c r="R2025" s="4">
        <f>C2025</f>
        <v/>
      </c>
      <c r="S2025" s="4">
        <f>D2025</f>
        <v/>
      </c>
      <c r="T2025" s="4">
        <f>E2025&amp;"/"&amp;E2026</f>
        <v/>
      </c>
      <c r="U2025" s="4">
        <f>F2025&amp;"-"&amp;G2025&amp;"-"&amp;F2025</f>
        <v/>
      </c>
      <c r="V2025" s="4">
        <f>IF($M$2025="","",$M$2025)</f>
        <v/>
      </c>
      <c r="W2025" s="4">
        <f>IF($O$2025="","",$O$2025)</f>
        <v/>
      </c>
      <c r="X2025" s="4">
        <f>J2025</f>
        <v/>
      </c>
    </row>
    <row r="2026">
      <c r="B2026" s="4" t="n">
        <v>1993</v>
      </c>
      <c r="C2026" s="4" t="inlineStr">
        <is>
          <t>23/09/2026</t>
        </is>
      </c>
      <c r="D2026" s="4" t="inlineStr">
        <is>
          <t>miércoles</t>
        </is>
      </c>
      <c r="E2026" s="4" t="n">
        <v>2014</v>
      </c>
      <c r="F2026" s="4" t="inlineStr">
        <is>
          <t>CUZ</t>
        </is>
      </c>
      <c r="G2026" s="4" t="inlineStr">
        <is>
          <t>LIM</t>
        </is>
      </c>
      <c r="H2026" s="4" t="inlineStr">
        <is>
          <t>10:40:00</t>
        </is>
      </c>
      <c r="I2026" s="4" t="inlineStr">
        <is>
          <t>12:15:00</t>
        </is>
      </c>
      <c r="J2026" s="4" t="n">
        <v>319</v>
      </c>
      <c r="K2026">
        <f>TEXT(TIMEVALUE(H2026)-TIMEVALUE(I2025)+(TIMEVALUE(H2026)&lt;TIMEVALUE(I2025)),"[h]:mm")</f>
        <v/>
      </c>
      <c r="L2026" s="4" t="inlineStr">
        <is>
          <t>01:35:00</t>
        </is>
      </c>
      <c r="O2026">
        <f>"LIM-"&amp;G2025&amp;"-LIM   LA "&amp;E2025&amp;" ("&amp;LEFT(H2025,5)&amp;"-"&amp;LEFT(I2025,5)&amp;" hrs)  /  LA "&amp;E2026&amp;" ("&amp;LEFT(H2026,5)&amp;"-"&amp;LEFT(I2026,5)&amp;" hrs)"</f>
        <v/>
      </c>
    </row>
    <row r="2027">
      <c r="B2027" s="4" t="n">
        <v>2015</v>
      </c>
      <c r="C2027" s="4" t="inlineStr">
        <is>
          <t>23/09/2026</t>
        </is>
      </c>
      <c r="D2027" s="4" t="inlineStr">
        <is>
          <t>miércoles</t>
        </is>
      </c>
      <c r="E2027" s="4" t="n">
        <v>2234</v>
      </c>
      <c r="F2027" s="4" t="inlineStr">
        <is>
          <t>LIM</t>
        </is>
      </c>
      <c r="G2027" s="4" t="inlineStr">
        <is>
          <t>IQT</t>
        </is>
      </c>
      <c r="H2027" s="4" t="inlineStr">
        <is>
          <t>13:35:00</t>
        </is>
      </c>
      <c r="I2027" s="4" t="inlineStr">
        <is>
          <t>15:25:00</t>
        </is>
      </c>
      <c r="J2027" s="4" t="n">
        <v>320</v>
      </c>
      <c r="K2027" s="7">
        <f>TEXT(TIMEVALUE(H2027)-TIMEVALUE(I2026)+(TIMEVALUE(H2027)&lt;TIMEVALUE(I2026)),"[h]:mm")</f>
        <v/>
      </c>
      <c r="L2027" s="4" t="inlineStr">
        <is>
          <t>01:50:00</t>
        </is>
      </c>
      <c r="M2027">
        <f>IF($M$2025="","",$M$2025)</f>
        <v/>
      </c>
      <c r="O2027">
        <f>IF($O$2025="","",$O$2025)</f>
        <v/>
      </c>
      <c r="Q2027" s="4">
        <f>B2027</f>
        <v/>
      </c>
      <c r="R2027" s="4">
        <f>C2027</f>
        <v/>
      </c>
      <c r="S2027" s="4">
        <f>D2027</f>
        <v/>
      </c>
      <c r="T2027" s="4">
        <f>E2027&amp;"/"&amp;E2028</f>
        <v/>
      </c>
      <c r="U2027" s="4">
        <f>F2027&amp;"-"&amp;G2027&amp;"-"&amp;F2027</f>
        <v/>
      </c>
      <c r="V2027" s="4">
        <f>IF($M$2025="","",$M$2025)</f>
        <v/>
      </c>
      <c r="W2027" s="4">
        <f>IF($O$2025="","",$O$2025)</f>
        <v/>
      </c>
      <c r="X2027" s="4">
        <f>J2027</f>
        <v/>
      </c>
    </row>
    <row r="2028">
      <c r="B2028" s="4" t="n">
        <v>2015</v>
      </c>
      <c r="C2028" s="4" t="inlineStr">
        <is>
          <t>23/09/2026</t>
        </is>
      </c>
      <c r="D2028" s="4" t="inlineStr">
        <is>
          <t>miércoles</t>
        </is>
      </c>
      <c r="E2028" s="4" t="n">
        <v>2235</v>
      </c>
      <c r="F2028" s="4" t="inlineStr">
        <is>
          <t>IQT</t>
        </is>
      </c>
      <c r="G2028" s="4" t="inlineStr">
        <is>
          <t>LIM</t>
        </is>
      </c>
      <c r="H2028" s="4" t="inlineStr">
        <is>
          <t>16:05:00</t>
        </is>
      </c>
      <c r="I2028" s="4" t="inlineStr">
        <is>
          <t>17:55:00</t>
        </is>
      </c>
      <c r="J2028" s="4" t="n">
        <v>320</v>
      </c>
      <c r="K2028">
        <f>TEXT(TIMEVALUE(H2028)-TIMEVALUE(I2027)+(TIMEVALUE(H2028)&lt;TIMEVALUE(I2027)),"[h]:mm")</f>
        <v/>
      </c>
      <c r="L2028" s="4" t="inlineStr">
        <is>
          <t>01:50:00</t>
        </is>
      </c>
      <c r="O2028">
        <f>"LIM-"&amp;G2027&amp;"-LIM   LA "&amp;E2027&amp;" ("&amp;LEFT(H2027,5)&amp;"-"&amp;LEFT(I2027,5)&amp;" hrs)  /  LA "&amp;E2028&amp;" ("&amp;LEFT(H2028,5)&amp;"-"&amp;LEFT(I2028,5)&amp;" hrs)"</f>
        <v/>
      </c>
    </row>
    <row r="2029">
      <c r="J2029" s="8" t="inlineStr">
        <is>
          <t>PSV total:</t>
        </is>
      </c>
      <c r="K2029" s="9">
        <f>TEXT(TIMEVALUE(I2028)-TIMEVALUE(H2025)+(I2028&lt;H2025),"[h]:mm")</f>
        <v/>
      </c>
    </row>
    <row r="2031">
      <c r="B2031" s="3" t="inlineStr">
        <is>
          <t>Pairing ID</t>
        </is>
      </c>
      <c r="C2031" s="3" t="inlineStr">
        <is>
          <t>FECHA REAL</t>
        </is>
      </c>
      <c r="D2031" s="3" t="inlineStr">
        <is>
          <t>Day of Week</t>
        </is>
      </c>
      <c r="E2031" s="3" t="inlineStr">
        <is>
          <t>Flight No</t>
        </is>
      </c>
      <c r="F2031" s="3" t="inlineStr">
        <is>
          <t>Dep Stn</t>
        </is>
      </c>
      <c r="G2031" s="3" t="inlineStr">
        <is>
          <t>Arr Stn</t>
        </is>
      </c>
      <c r="H2031" s="3" t="inlineStr">
        <is>
          <t>STD</t>
        </is>
      </c>
      <c r="I2031" s="3" t="inlineStr">
        <is>
          <t>STA</t>
        </is>
      </c>
      <c r="J2031" s="3" t="inlineStr">
        <is>
          <t>subflota</t>
        </is>
      </c>
      <c r="K2031" s="3" t="inlineStr">
        <is>
          <t>Conexion</t>
        </is>
      </c>
      <c r="L2031" s="3" t="inlineStr">
        <is>
          <t>HBT</t>
        </is>
      </c>
    </row>
    <row r="2032">
      <c r="B2032" s="4" t="n">
        <v>1997</v>
      </c>
      <c r="C2032" s="4" t="inlineStr">
        <is>
          <t>23/09/2026</t>
        </is>
      </c>
      <c r="D2032" s="4" t="inlineStr">
        <is>
          <t>miércoles</t>
        </is>
      </c>
      <c r="E2032" s="4" t="n">
        <v>2007</v>
      </c>
      <c r="F2032" s="4" t="inlineStr">
        <is>
          <t>LIM</t>
        </is>
      </c>
      <c r="G2032" s="4" t="inlineStr">
        <is>
          <t>CUZ</t>
        </is>
      </c>
      <c r="H2032" s="4" t="inlineStr">
        <is>
          <t>09:10:00</t>
        </is>
      </c>
      <c r="I2032" s="4" t="inlineStr">
        <is>
          <t>10:30:00</t>
        </is>
      </c>
      <c r="J2032" s="4" t="n">
        <v>319</v>
      </c>
      <c r="L2032" s="4" t="inlineStr">
        <is>
          <t>01:20:00</t>
        </is>
      </c>
      <c r="M2032" s="5" t="n"/>
      <c r="N2032" s="6" t="n"/>
      <c r="O2032" s="5" t="n"/>
      <c r="Q2032" s="4">
        <f>B2032</f>
        <v/>
      </c>
      <c r="R2032" s="4">
        <f>C2032</f>
        <v/>
      </c>
      <c r="S2032" s="4">
        <f>D2032</f>
        <v/>
      </c>
      <c r="T2032" s="4">
        <f>E2032&amp;"/"&amp;E2033</f>
        <v/>
      </c>
      <c r="U2032" s="4">
        <f>F2032&amp;"-"&amp;G2032&amp;"-"&amp;F2032</f>
        <v/>
      </c>
      <c r="V2032" s="4">
        <f>IF($M$2032="","",$M$2032)</f>
        <v/>
      </c>
      <c r="W2032" s="4">
        <f>IF($O$2032="","",$O$2032)</f>
        <v/>
      </c>
      <c r="X2032" s="4">
        <f>J2032</f>
        <v/>
      </c>
    </row>
    <row r="2033">
      <c r="B2033" s="4" t="n">
        <v>1997</v>
      </c>
      <c r="C2033" s="4" t="inlineStr">
        <is>
          <t>23/09/2026</t>
        </is>
      </c>
      <c r="D2033" s="4" t="inlineStr">
        <is>
          <t>miércoles</t>
        </is>
      </c>
      <c r="E2033" s="4" t="n">
        <v>2008</v>
      </c>
      <c r="F2033" s="4" t="inlineStr">
        <is>
          <t>CUZ</t>
        </is>
      </c>
      <c r="G2033" s="4" t="inlineStr">
        <is>
          <t>LIM</t>
        </is>
      </c>
      <c r="H2033" s="4" t="inlineStr">
        <is>
          <t>11:20:00</t>
        </is>
      </c>
      <c r="I2033" s="4" t="inlineStr">
        <is>
          <t>12:55:00</t>
        </is>
      </c>
      <c r="J2033" s="4" t="n">
        <v>319</v>
      </c>
      <c r="K2033">
        <f>TEXT(TIMEVALUE(H2033)-TIMEVALUE(I2032)+(TIMEVALUE(H2033)&lt;TIMEVALUE(I2032)),"[h]:mm")</f>
        <v/>
      </c>
      <c r="L2033" s="4" t="inlineStr">
        <is>
          <t>01:35:00</t>
        </is>
      </c>
      <c r="O2033">
        <f>"LIM-"&amp;G2032&amp;"-LIM   LA "&amp;E2032&amp;" ("&amp;LEFT(H2032,5)&amp;"-"&amp;LEFT(I2032,5)&amp;" hrs)  /  LA "&amp;E2033&amp;" ("&amp;LEFT(H2033,5)&amp;"-"&amp;LEFT(I2033,5)&amp;" hrs)"</f>
        <v/>
      </c>
    </row>
    <row r="2034">
      <c r="B2034" s="4" t="n">
        <v>2017</v>
      </c>
      <c r="C2034" s="4" t="inlineStr">
        <is>
          <t>23/09/2026</t>
        </is>
      </c>
      <c r="D2034" s="4" t="inlineStr">
        <is>
          <t>miércoles</t>
        </is>
      </c>
      <c r="E2034" s="4" t="n">
        <v>2055</v>
      </c>
      <c r="F2034" s="4" t="inlineStr">
        <is>
          <t>LIM</t>
        </is>
      </c>
      <c r="G2034" s="4" t="inlineStr">
        <is>
          <t>AQP</t>
        </is>
      </c>
      <c r="H2034" s="4" t="inlineStr">
        <is>
          <t>13:50:00</t>
        </is>
      </c>
      <c r="I2034" s="4" t="inlineStr">
        <is>
          <t>15:20:00</t>
        </is>
      </c>
      <c r="J2034" s="4" t="n">
        <v>319</v>
      </c>
      <c r="K2034" s="7">
        <f>TEXT(TIMEVALUE(H2034)-TIMEVALUE(I2033)+(TIMEVALUE(H2034)&lt;TIMEVALUE(I2033)),"[h]:mm")</f>
        <v/>
      </c>
      <c r="L2034" s="4" t="inlineStr">
        <is>
          <t>01:30:00</t>
        </is>
      </c>
      <c r="M2034">
        <f>IF($M$2032="","",$M$2032)</f>
        <v/>
      </c>
      <c r="O2034">
        <f>IF($O$2032="","",$O$2032)</f>
        <v/>
      </c>
      <c r="Q2034" s="4">
        <f>B2034</f>
        <v/>
      </c>
      <c r="R2034" s="4">
        <f>C2034</f>
        <v/>
      </c>
      <c r="S2034" s="4">
        <f>D2034</f>
        <v/>
      </c>
      <c r="T2034" s="4">
        <f>E2034&amp;"/"&amp;E2035</f>
        <v/>
      </c>
      <c r="U2034" s="4">
        <f>F2034&amp;"-"&amp;G2034&amp;"-"&amp;F2034</f>
        <v/>
      </c>
      <c r="V2034" s="4">
        <f>IF($M$2032="","",$M$2032)</f>
        <v/>
      </c>
      <c r="W2034" s="4">
        <f>IF($O$2032="","",$O$2032)</f>
        <v/>
      </c>
      <c r="X2034" s="4">
        <f>J2034</f>
        <v/>
      </c>
    </row>
    <row r="2035">
      <c r="B2035" s="4" t="n">
        <v>2017</v>
      </c>
      <c r="C2035" s="4" t="inlineStr">
        <is>
          <t>23/09/2026</t>
        </is>
      </c>
      <c r="D2035" s="4" t="inlineStr">
        <is>
          <t>miércoles</t>
        </is>
      </c>
      <c r="E2035" s="4" t="n">
        <v>2056</v>
      </c>
      <c r="F2035" s="4" t="inlineStr">
        <is>
          <t>AQP</t>
        </is>
      </c>
      <c r="G2035" s="4" t="inlineStr">
        <is>
          <t>LIM</t>
        </is>
      </c>
      <c r="H2035" s="4" t="inlineStr">
        <is>
          <t>16:10:00</t>
        </is>
      </c>
      <c r="I2035" s="4" t="inlineStr">
        <is>
          <t>17:50:00</t>
        </is>
      </c>
      <c r="J2035" s="4" t="n">
        <v>319</v>
      </c>
      <c r="K2035">
        <f>TEXT(TIMEVALUE(H2035)-TIMEVALUE(I2034)+(TIMEVALUE(H2035)&lt;TIMEVALUE(I2034)),"[h]:mm")</f>
        <v/>
      </c>
      <c r="L2035" s="4" t="inlineStr">
        <is>
          <t>01:40:00</t>
        </is>
      </c>
      <c r="O2035">
        <f>"LIM-"&amp;G2034&amp;"-LIM   LA "&amp;E2034&amp;" ("&amp;LEFT(H2034,5)&amp;"-"&amp;LEFT(I2034,5)&amp;" hrs)  /  LA "&amp;E2035&amp;" ("&amp;LEFT(H2035,5)&amp;"-"&amp;LEFT(I2035,5)&amp;" hrs)"</f>
        <v/>
      </c>
    </row>
    <row r="2036">
      <c r="J2036" s="8" t="inlineStr">
        <is>
          <t>PSV total:</t>
        </is>
      </c>
      <c r="K2036" s="9">
        <f>TEXT(TIMEVALUE(I2035)-TIMEVALUE(H2032)+(I2035&lt;H2032),"[h]:mm")</f>
        <v/>
      </c>
    </row>
    <row r="2038">
      <c r="B2038" s="3" t="inlineStr">
        <is>
          <t>Pairing ID</t>
        </is>
      </c>
      <c r="C2038" s="3" t="inlineStr">
        <is>
          <t>FECHA REAL</t>
        </is>
      </c>
      <c r="D2038" s="3" t="inlineStr">
        <is>
          <t>Day of Week</t>
        </is>
      </c>
      <c r="E2038" s="3" t="inlineStr">
        <is>
          <t>Flight No</t>
        </is>
      </c>
      <c r="F2038" s="3" t="inlineStr">
        <is>
          <t>Dep Stn</t>
        </is>
      </c>
      <c r="G2038" s="3" t="inlineStr">
        <is>
          <t>Arr Stn</t>
        </is>
      </c>
      <c r="H2038" s="3" t="inlineStr">
        <is>
          <t>STD</t>
        </is>
      </c>
      <c r="I2038" s="3" t="inlineStr">
        <is>
          <t>STA</t>
        </is>
      </c>
      <c r="J2038" s="3" t="inlineStr">
        <is>
          <t>subflota</t>
        </is>
      </c>
      <c r="K2038" s="3" t="inlineStr">
        <is>
          <t>Conexion</t>
        </is>
      </c>
      <c r="L2038" s="3" t="inlineStr">
        <is>
          <t>HBT</t>
        </is>
      </c>
    </row>
    <row r="2039">
      <c r="B2039" s="4" t="n">
        <v>2002</v>
      </c>
      <c r="C2039" s="4" t="inlineStr">
        <is>
          <t>23/09/2026</t>
        </is>
      </c>
      <c r="D2039" s="4" t="inlineStr">
        <is>
          <t>miércoles</t>
        </is>
      </c>
      <c r="E2039" s="4" t="n">
        <v>2266</v>
      </c>
      <c r="F2039" s="4" t="inlineStr">
        <is>
          <t>LIM</t>
        </is>
      </c>
      <c r="G2039" s="4" t="inlineStr">
        <is>
          <t>CUZ</t>
        </is>
      </c>
      <c r="H2039" s="4" t="inlineStr">
        <is>
          <t>11:10:00</t>
        </is>
      </c>
      <c r="I2039" s="4" t="inlineStr">
        <is>
          <t>12:30:00</t>
        </is>
      </c>
      <c r="J2039" s="4" t="n">
        <v>320</v>
      </c>
      <c r="L2039" s="4" t="inlineStr">
        <is>
          <t>01:20:00</t>
        </is>
      </c>
      <c r="M2039" s="5" t="n"/>
      <c r="N2039" s="6" t="n"/>
      <c r="O2039" s="5" t="n"/>
      <c r="Q2039" s="4">
        <f>B2039</f>
        <v/>
      </c>
      <c r="R2039" s="4">
        <f>C2039</f>
        <v/>
      </c>
      <c r="S2039" s="4">
        <f>D2039</f>
        <v/>
      </c>
      <c r="T2039" s="4">
        <f>E2039&amp;"/"&amp;E2040</f>
        <v/>
      </c>
      <c r="U2039" s="4">
        <f>F2039&amp;"-"&amp;G2039&amp;"-"&amp;F2039</f>
        <v/>
      </c>
      <c r="V2039" s="4">
        <f>IF($M$2039="","",$M$2039)</f>
        <v/>
      </c>
      <c r="W2039" s="4">
        <f>IF($O$2039="","",$O$2039)</f>
        <v/>
      </c>
      <c r="X2039" s="4">
        <f>J2039</f>
        <v/>
      </c>
    </row>
    <row r="2040">
      <c r="B2040" s="4" t="n">
        <v>2002</v>
      </c>
      <c r="C2040" s="4" t="inlineStr">
        <is>
          <t>23/09/2026</t>
        </is>
      </c>
      <c r="D2040" s="4" t="inlineStr">
        <is>
          <t>miércoles</t>
        </is>
      </c>
      <c r="E2040" s="4" t="n">
        <v>2267</v>
      </c>
      <c r="F2040" s="4" t="inlineStr">
        <is>
          <t>CUZ</t>
        </is>
      </c>
      <c r="G2040" s="4" t="inlineStr">
        <is>
          <t>LIM</t>
        </is>
      </c>
      <c r="H2040" s="4" t="inlineStr">
        <is>
          <t>13:10:00</t>
        </is>
      </c>
      <c r="I2040" s="4" t="inlineStr">
        <is>
          <t>14:45:00</t>
        </is>
      </c>
      <c r="J2040" s="4" t="n">
        <v>320</v>
      </c>
      <c r="K2040">
        <f>TEXT(TIMEVALUE(H2040)-TIMEVALUE(I2039)+(TIMEVALUE(H2040)&lt;TIMEVALUE(I2039)),"[h]:mm")</f>
        <v/>
      </c>
      <c r="L2040" s="4" t="inlineStr">
        <is>
          <t>01:35:00</t>
        </is>
      </c>
      <c r="O2040">
        <f>"LIM-"&amp;G2039&amp;"-LIM   LA "&amp;E2039&amp;" ("&amp;LEFT(H2039,5)&amp;"-"&amp;LEFT(I2039,5)&amp;" hrs)  /  LA "&amp;E2040&amp;" ("&amp;LEFT(H2040,5)&amp;"-"&amp;LEFT(I2040,5)&amp;" hrs)"</f>
        <v/>
      </c>
    </row>
    <row r="2041">
      <c r="B2041" s="4" t="n">
        <v>2030</v>
      </c>
      <c r="C2041" s="4" t="inlineStr">
        <is>
          <t>23/09/2026</t>
        </is>
      </c>
      <c r="D2041" s="4" t="inlineStr">
        <is>
          <t>miércoles</t>
        </is>
      </c>
      <c r="E2041" s="4" t="n">
        <v>2301</v>
      </c>
      <c r="F2041" s="4" t="inlineStr">
        <is>
          <t>LIM</t>
        </is>
      </c>
      <c r="G2041" s="4" t="inlineStr">
        <is>
          <t>TPP</t>
        </is>
      </c>
      <c r="H2041" s="4" t="inlineStr">
        <is>
          <t>15:40:00</t>
        </is>
      </c>
      <c r="I2041" s="4" t="inlineStr">
        <is>
          <t>17:05:00</t>
        </is>
      </c>
      <c r="J2041" s="4" t="n">
        <v>320</v>
      </c>
      <c r="K2041" s="7">
        <f>TEXT(TIMEVALUE(H2041)-TIMEVALUE(I2040)+(TIMEVALUE(H2041)&lt;TIMEVALUE(I2040)),"[h]:mm")</f>
        <v/>
      </c>
      <c r="L2041" s="4" t="inlineStr">
        <is>
          <t>01:25:00</t>
        </is>
      </c>
      <c r="M2041">
        <f>IF($M$2039="","",$M$2039)</f>
        <v/>
      </c>
      <c r="O2041">
        <f>IF($O$2039="","",$O$2039)</f>
        <v/>
      </c>
      <c r="Q2041" s="4">
        <f>B2041</f>
        <v/>
      </c>
      <c r="R2041" s="4">
        <f>C2041</f>
        <v/>
      </c>
      <c r="S2041" s="4">
        <f>D2041</f>
        <v/>
      </c>
      <c r="T2041" s="4">
        <f>E2041&amp;"/"&amp;E2042</f>
        <v/>
      </c>
      <c r="U2041" s="4">
        <f>F2041&amp;"-"&amp;G2041&amp;"-"&amp;F2041</f>
        <v/>
      </c>
      <c r="V2041" s="4">
        <f>IF($M$2039="","",$M$2039)</f>
        <v/>
      </c>
      <c r="W2041" s="4">
        <f>IF($O$2039="","",$O$2039)</f>
        <v/>
      </c>
      <c r="X2041" s="4">
        <f>J2041</f>
        <v/>
      </c>
    </row>
    <row r="2042">
      <c r="B2042" s="4" t="n">
        <v>2030</v>
      </c>
      <c r="C2042" s="4" t="inlineStr">
        <is>
          <t>23/09/2026</t>
        </is>
      </c>
      <c r="D2042" s="4" t="inlineStr">
        <is>
          <t>miércoles</t>
        </is>
      </c>
      <c r="E2042" s="4" t="n">
        <v>2300</v>
      </c>
      <c r="F2042" s="4" t="inlineStr">
        <is>
          <t>TPP</t>
        </is>
      </c>
      <c r="G2042" s="4" t="inlineStr">
        <is>
          <t>LIM</t>
        </is>
      </c>
      <c r="H2042" s="4" t="inlineStr">
        <is>
          <t>17:50:00</t>
        </is>
      </c>
      <c r="I2042" s="4" t="inlineStr">
        <is>
          <t>19:20:00</t>
        </is>
      </c>
      <c r="J2042" s="4" t="n">
        <v>320</v>
      </c>
      <c r="K2042">
        <f>TEXT(TIMEVALUE(H2042)-TIMEVALUE(I2041)+(TIMEVALUE(H2042)&lt;TIMEVALUE(I2041)),"[h]:mm")</f>
        <v/>
      </c>
      <c r="L2042" s="4" t="inlineStr">
        <is>
          <t>01:30:00</t>
        </is>
      </c>
      <c r="O2042">
        <f>"LIM-"&amp;G2041&amp;"-LIM   LA "&amp;E2041&amp;" ("&amp;LEFT(H2041,5)&amp;"-"&amp;LEFT(I2041,5)&amp;" hrs)  /  LA "&amp;E2042&amp;" ("&amp;LEFT(H2042,5)&amp;"-"&amp;LEFT(I2042,5)&amp;" hrs)"</f>
        <v/>
      </c>
    </row>
    <row r="2043">
      <c r="J2043" s="8" t="inlineStr">
        <is>
          <t>PSV total:</t>
        </is>
      </c>
      <c r="K2043" s="9">
        <f>TEXT(TIMEVALUE(I2042)-TIMEVALUE(H2039)+(I2042&lt;H2039),"[h]:mm")</f>
        <v/>
      </c>
    </row>
    <row r="2045">
      <c r="B2045" s="3" t="inlineStr">
        <is>
          <t>Pairing ID</t>
        </is>
      </c>
      <c r="C2045" s="3" t="inlineStr">
        <is>
          <t>FECHA REAL</t>
        </is>
      </c>
      <c r="D2045" s="3" t="inlineStr">
        <is>
          <t>Day of Week</t>
        </is>
      </c>
      <c r="E2045" s="3" t="inlineStr">
        <is>
          <t>Flight No</t>
        </is>
      </c>
      <c r="F2045" s="3" t="inlineStr">
        <is>
          <t>Dep Stn</t>
        </is>
      </c>
      <c r="G2045" s="3" t="inlineStr">
        <is>
          <t>Arr Stn</t>
        </is>
      </c>
      <c r="H2045" s="3" t="inlineStr">
        <is>
          <t>STD</t>
        </is>
      </c>
      <c r="I2045" s="3" t="inlineStr">
        <is>
          <t>STA</t>
        </is>
      </c>
      <c r="J2045" s="3" t="inlineStr">
        <is>
          <t>subflota</t>
        </is>
      </c>
      <c r="K2045" s="3" t="inlineStr">
        <is>
          <t>Conexion</t>
        </is>
      </c>
      <c r="L2045" s="3" t="inlineStr">
        <is>
          <t>HBT</t>
        </is>
      </c>
    </row>
    <row r="2046">
      <c r="B2046" s="4" t="n">
        <v>2003</v>
      </c>
      <c r="C2046" s="4" t="inlineStr">
        <is>
          <t>23/09/2026</t>
        </is>
      </c>
      <c r="D2046" s="4" t="inlineStr">
        <is>
          <t>miércoles</t>
        </is>
      </c>
      <c r="E2046" s="4" t="n">
        <v>2019</v>
      </c>
      <c r="F2046" s="4" t="inlineStr">
        <is>
          <t>LIM</t>
        </is>
      </c>
      <c r="G2046" s="4" t="inlineStr">
        <is>
          <t>IQT</t>
        </is>
      </c>
      <c r="H2046" s="4" t="inlineStr">
        <is>
          <t>11:35:00</t>
        </is>
      </c>
      <c r="I2046" s="4" t="inlineStr">
        <is>
          <t>13:25:00</t>
        </is>
      </c>
      <c r="J2046" s="4" t="n">
        <v>320</v>
      </c>
      <c r="L2046" s="4" t="inlineStr">
        <is>
          <t>01:50:00</t>
        </is>
      </c>
      <c r="M2046" s="5" t="n"/>
      <c r="N2046" s="6" t="n"/>
      <c r="O2046" s="5" t="n"/>
      <c r="Q2046" s="4">
        <f>B2046</f>
        <v/>
      </c>
      <c r="R2046" s="4">
        <f>C2046</f>
        <v/>
      </c>
      <c r="S2046" s="4">
        <f>D2046</f>
        <v/>
      </c>
      <c r="T2046" s="4">
        <f>E2046&amp;"/"&amp;E2047</f>
        <v/>
      </c>
      <c r="U2046" s="4">
        <f>F2046&amp;"-"&amp;G2046&amp;"-"&amp;F2046</f>
        <v/>
      </c>
      <c r="V2046" s="4">
        <f>IF($M$2046="","",$M$2046)</f>
        <v/>
      </c>
      <c r="W2046" s="4">
        <f>IF($O$2046="","",$O$2046)</f>
        <v/>
      </c>
      <c r="X2046" s="4">
        <f>J2046</f>
        <v/>
      </c>
    </row>
    <row r="2047">
      <c r="B2047" s="4" t="n">
        <v>2003</v>
      </c>
      <c r="C2047" s="4" t="inlineStr">
        <is>
          <t>23/09/2026</t>
        </is>
      </c>
      <c r="D2047" s="4" t="inlineStr">
        <is>
          <t>miércoles</t>
        </is>
      </c>
      <c r="E2047" s="4" t="n">
        <v>2038</v>
      </c>
      <c r="F2047" s="4" t="inlineStr">
        <is>
          <t>IQT</t>
        </is>
      </c>
      <c r="G2047" s="4" t="inlineStr">
        <is>
          <t>LIM</t>
        </is>
      </c>
      <c r="H2047" s="4" t="inlineStr">
        <is>
          <t>14:05:00</t>
        </is>
      </c>
      <c r="I2047" s="4" t="inlineStr">
        <is>
          <t>15:55:00</t>
        </is>
      </c>
      <c r="J2047" s="4" t="n">
        <v>320</v>
      </c>
      <c r="K2047">
        <f>TEXT(TIMEVALUE(H2047)-TIMEVALUE(I2046)+(TIMEVALUE(H2047)&lt;TIMEVALUE(I2046)),"[h]:mm")</f>
        <v/>
      </c>
      <c r="L2047" s="4" t="inlineStr">
        <is>
          <t>01:50:00</t>
        </is>
      </c>
      <c r="O2047">
        <f>"LIM-"&amp;G2046&amp;"-LIM   LA "&amp;E2046&amp;" ("&amp;LEFT(H2046,5)&amp;"-"&amp;LEFT(I2046,5)&amp;" hrs)  /  LA "&amp;E2047&amp;" ("&amp;LEFT(H2047,5)&amp;"-"&amp;LEFT(I2047,5)&amp;" hrs)"</f>
        <v/>
      </c>
    </row>
    <row r="2048">
      <c r="B2048" s="4" t="n">
        <v>2036</v>
      </c>
      <c r="C2048" s="4" t="inlineStr">
        <is>
          <t>23/09/2026</t>
        </is>
      </c>
      <c r="D2048" s="4" t="inlineStr">
        <is>
          <t>miércoles</t>
        </is>
      </c>
      <c r="E2048" s="4" t="n">
        <v>2213</v>
      </c>
      <c r="F2048" s="4" t="inlineStr">
        <is>
          <t>LIM</t>
        </is>
      </c>
      <c r="G2048" s="4" t="inlineStr">
        <is>
          <t>CIX</t>
        </is>
      </c>
      <c r="H2048" s="4" t="inlineStr">
        <is>
          <t>17:20:00</t>
        </is>
      </c>
      <c r="I2048" s="4" t="inlineStr">
        <is>
          <t>18:50:00</t>
        </is>
      </c>
      <c r="J2048" s="4" t="n">
        <v>319</v>
      </c>
      <c r="K2048" s="7">
        <f>TEXT(TIMEVALUE(H2048)-TIMEVALUE(I2047)+(TIMEVALUE(H2048)&lt;TIMEVALUE(I2047)),"[h]:mm")</f>
        <v/>
      </c>
      <c r="L2048" s="4" t="inlineStr">
        <is>
          <t>01:30:00</t>
        </is>
      </c>
      <c r="M2048">
        <f>IF($M$2046="","",$M$2046)</f>
        <v/>
      </c>
      <c r="O2048">
        <f>IF($O$2046="","",$O$2046)</f>
        <v/>
      </c>
      <c r="Q2048" s="4">
        <f>B2048</f>
        <v/>
      </c>
      <c r="R2048" s="4">
        <f>C2048</f>
        <v/>
      </c>
      <c r="S2048" s="4">
        <f>D2048</f>
        <v/>
      </c>
      <c r="T2048" s="4">
        <f>E2048&amp;"/"&amp;E2049</f>
        <v/>
      </c>
      <c r="U2048" s="4">
        <f>F2048&amp;"-"&amp;G2048&amp;"-"&amp;F2048</f>
        <v/>
      </c>
      <c r="V2048" s="4">
        <f>IF($M$2046="","",$M$2046)</f>
        <v/>
      </c>
      <c r="W2048" s="4">
        <f>IF($O$2046="","",$O$2046)</f>
        <v/>
      </c>
      <c r="X2048" s="4">
        <f>J2048</f>
        <v/>
      </c>
    </row>
    <row r="2049">
      <c r="B2049" s="4" t="n">
        <v>2036</v>
      </c>
      <c r="C2049" s="4" t="inlineStr">
        <is>
          <t>23/09/2026</t>
        </is>
      </c>
      <c r="D2049" s="4" t="inlineStr">
        <is>
          <t>miércoles</t>
        </is>
      </c>
      <c r="E2049" s="4" t="n">
        <v>2214</v>
      </c>
      <c r="F2049" s="4" t="inlineStr">
        <is>
          <t>CIX</t>
        </is>
      </c>
      <c r="G2049" s="4" t="inlineStr">
        <is>
          <t>LIM</t>
        </is>
      </c>
      <c r="H2049" s="4" t="inlineStr">
        <is>
          <t>19:25:00</t>
        </is>
      </c>
      <c r="I2049" s="4" t="inlineStr">
        <is>
          <t>20:40:00</t>
        </is>
      </c>
      <c r="J2049" s="4" t="n">
        <v>319</v>
      </c>
      <c r="K2049">
        <f>TEXT(TIMEVALUE(H2049)-TIMEVALUE(I2048)+(TIMEVALUE(H2049)&lt;TIMEVALUE(I2048)),"[h]:mm")</f>
        <v/>
      </c>
      <c r="L2049" s="4" t="inlineStr">
        <is>
          <t>01:15:00</t>
        </is>
      </c>
      <c r="O2049">
        <f>"LIM-"&amp;G2048&amp;"-LIM   LA "&amp;E2048&amp;" ("&amp;LEFT(H2048,5)&amp;"-"&amp;LEFT(I2048,5)&amp;" hrs)  /  LA "&amp;E2049&amp;" ("&amp;LEFT(H2049,5)&amp;"-"&amp;LEFT(I2049,5)&amp;" hrs)"</f>
        <v/>
      </c>
    </row>
    <row r="2050">
      <c r="J2050" s="8" t="inlineStr">
        <is>
          <t>PSV total:</t>
        </is>
      </c>
      <c r="K2050" s="9">
        <f>TEXT(TIMEVALUE(I2049)-TIMEVALUE(H2046)+(I2049&lt;H2046),"[h]:mm")</f>
        <v/>
      </c>
    </row>
    <row r="2052">
      <c r="B2052" s="3" t="inlineStr">
        <is>
          <t>Pairing ID</t>
        </is>
      </c>
      <c r="C2052" s="3" t="inlineStr">
        <is>
          <t>FECHA REAL</t>
        </is>
      </c>
      <c r="D2052" s="3" t="inlineStr">
        <is>
          <t>Day of Week</t>
        </is>
      </c>
      <c r="E2052" s="3" t="inlineStr">
        <is>
          <t>Flight No</t>
        </is>
      </c>
      <c r="F2052" s="3" t="inlineStr">
        <is>
          <t>Dep Stn</t>
        </is>
      </c>
      <c r="G2052" s="3" t="inlineStr">
        <is>
          <t>Arr Stn</t>
        </is>
      </c>
      <c r="H2052" s="3" t="inlineStr">
        <is>
          <t>STD</t>
        </is>
      </c>
      <c r="I2052" s="3" t="inlineStr">
        <is>
          <t>STA</t>
        </is>
      </c>
      <c r="J2052" s="3" t="inlineStr">
        <is>
          <t>subflota</t>
        </is>
      </c>
      <c r="K2052" s="3" t="inlineStr">
        <is>
          <t>Conexion</t>
        </is>
      </c>
      <c r="L2052" s="3" t="inlineStr">
        <is>
          <t>HBT</t>
        </is>
      </c>
    </row>
    <row r="2053">
      <c r="B2053" s="4" t="n">
        <v>2006</v>
      </c>
      <c r="C2053" s="4" t="inlineStr">
        <is>
          <t>23/09/2026</t>
        </is>
      </c>
      <c r="D2053" s="4" t="inlineStr">
        <is>
          <t>miércoles</t>
        </is>
      </c>
      <c r="E2053" s="4" t="n">
        <v>2061</v>
      </c>
      <c r="F2053" s="4" t="inlineStr">
        <is>
          <t>LIM</t>
        </is>
      </c>
      <c r="G2053" s="4" t="inlineStr">
        <is>
          <t>CUZ</t>
        </is>
      </c>
      <c r="H2053" s="4" t="inlineStr">
        <is>
          <t>11:40:00</t>
        </is>
      </c>
      <c r="I2053" s="4" t="inlineStr">
        <is>
          <t>13:00:00</t>
        </is>
      </c>
      <c r="J2053" s="4" t="n">
        <v>320</v>
      </c>
      <c r="L2053" s="4" t="inlineStr">
        <is>
          <t>01:20:00</t>
        </is>
      </c>
      <c r="M2053" s="5" t="n"/>
      <c r="N2053" s="6" t="n"/>
      <c r="O2053" s="5" t="n"/>
      <c r="Q2053" s="4">
        <f>B2053</f>
        <v/>
      </c>
      <c r="R2053" s="4">
        <f>C2053</f>
        <v/>
      </c>
      <c r="S2053" s="4">
        <f>D2053</f>
        <v/>
      </c>
      <c r="T2053" s="4">
        <f>E2053&amp;"/"&amp;E2054</f>
        <v/>
      </c>
      <c r="U2053" s="4">
        <f>F2053&amp;"-"&amp;G2053&amp;"-"&amp;F2053</f>
        <v/>
      </c>
      <c r="V2053" s="4">
        <f>IF($M$2053="","",$M$2053)</f>
        <v/>
      </c>
      <c r="W2053" s="4">
        <f>IF($O$2053="","",$O$2053)</f>
        <v/>
      </c>
      <c r="X2053" s="4">
        <f>J2053</f>
        <v/>
      </c>
    </row>
    <row r="2054">
      <c r="B2054" s="4" t="n">
        <v>2006</v>
      </c>
      <c r="C2054" s="4" t="inlineStr">
        <is>
          <t>23/09/2026</t>
        </is>
      </c>
      <c r="D2054" s="4" t="inlineStr">
        <is>
          <t>miércoles</t>
        </is>
      </c>
      <c r="E2054" s="4" t="n">
        <v>2062</v>
      </c>
      <c r="F2054" s="4" t="inlineStr">
        <is>
          <t>CUZ</t>
        </is>
      </c>
      <c r="G2054" s="4" t="inlineStr">
        <is>
          <t>LIM</t>
        </is>
      </c>
      <c r="H2054" s="4" t="inlineStr">
        <is>
          <t>13:40:00</t>
        </is>
      </c>
      <c r="I2054" s="4" t="inlineStr">
        <is>
          <t>15:15:00</t>
        </is>
      </c>
      <c r="J2054" s="4" t="n">
        <v>320</v>
      </c>
      <c r="K2054">
        <f>TEXT(TIMEVALUE(H2054)-TIMEVALUE(I2053)+(TIMEVALUE(H2054)&lt;TIMEVALUE(I2053)),"[h]:mm")</f>
        <v/>
      </c>
      <c r="L2054" s="4" t="inlineStr">
        <is>
          <t>01:35:00</t>
        </is>
      </c>
      <c r="O2054">
        <f>"LIM-"&amp;G2053&amp;"-LIM   LA "&amp;E2053&amp;" ("&amp;LEFT(H2053,5)&amp;"-"&amp;LEFT(I2053,5)&amp;" hrs)  /  LA "&amp;E2054&amp;" ("&amp;LEFT(H2054,5)&amp;"-"&amp;LEFT(I2054,5)&amp;" hrs)"</f>
        <v/>
      </c>
    </row>
    <row r="2055">
      <c r="B2055" s="4" t="n">
        <v>2034</v>
      </c>
      <c r="C2055" s="4" t="inlineStr">
        <is>
          <t>23/09/2026</t>
        </is>
      </c>
      <c r="D2055" s="4" t="inlineStr">
        <is>
          <t>miércoles</t>
        </is>
      </c>
      <c r="E2055" s="4" t="n">
        <v>2127</v>
      </c>
      <c r="F2055" s="4" t="inlineStr">
        <is>
          <t>LIM</t>
        </is>
      </c>
      <c r="G2055" s="4" t="inlineStr">
        <is>
          <t>CUZ</t>
        </is>
      </c>
      <c r="H2055" s="4" t="inlineStr">
        <is>
          <t>16:10:00</t>
        </is>
      </c>
      <c r="I2055" s="4" t="inlineStr">
        <is>
          <t>17:30:00</t>
        </is>
      </c>
      <c r="J2055" s="4" t="n">
        <v>320</v>
      </c>
      <c r="K2055" s="7">
        <f>TEXT(TIMEVALUE(H2055)-TIMEVALUE(I2054)+(TIMEVALUE(H2055)&lt;TIMEVALUE(I2054)),"[h]:mm")</f>
        <v/>
      </c>
      <c r="L2055" s="4" t="inlineStr">
        <is>
          <t>01:20:00</t>
        </is>
      </c>
      <c r="M2055">
        <f>IF($M$2053="","",$M$2053)</f>
        <v/>
      </c>
      <c r="O2055">
        <f>IF($O$2053="","",$O$2053)</f>
        <v/>
      </c>
      <c r="Q2055" s="4">
        <f>B2055</f>
        <v/>
      </c>
      <c r="R2055" s="4">
        <f>C2055</f>
        <v/>
      </c>
      <c r="S2055" s="4">
        <f>D2055</f>
        <v/>
      </c>
      <c r="T2055" s="4">
        <f>E2055&amp;"/"&amp;E2056</f>
        <v/>
      </c>
      <c r="U2055" s="4">
        <f>F2055&amp;"-"&amp;G2055&amp;"-"&amp;F2055</f>
        <v/>
      </c>
      <c r="V2055" s="4">
        <f>IF($M$2053="","",$M$2053)</f>
        <v/>
      </c>
      <c r="W2055" s="4">
        <f>IF($O$2053="","",$O$2053)</f>
        <v/>
      </c>
      <c r="X2055" s="4">
        <f>J2055</f>
        <v/>
      </c>
    </row>
    <row r="2056">
      <c r="B2056" s="4" t="n">
        <v>2034</v>
      </c>
      <c r="C2056" s="4" t="inlineStr">
        <is>
          <t>23/09/2026</t>
        </is>
      </c>
      <c r="D2056" s="4" t="inlineStr">
        <is>
          <t>miércoles</t>
        </is>
      </c>
      <c r="E2056" s="4" t="n">
        <v>2026</v>
      </c>
      <c r="F2056" s="4" t="inlineStr">
        <is>
          <t>CUZ</t>
        </is>
      </c>
      <c r="G2056" s="4" t="inlineStr">
        <is>
          <t>LIM</t>
        </is>
      </c>
      <c r="H2056" s="4" t="inlineStr">
        <is>
          <t>18:10:00</t>
        </is>
      </c>
      <c r="I2056" s="4" t="inlineStr">
        <is>
          <t>19:50:00</t>
        </is>
      </c>
      <c r="J2056" s="4" t="n">
        <v>320</v>
      </c>
      <c r="K2056">
        <f>TEXT(TIMEVALUE(H2056)-TIMEVALUE(I2055)+(TIMEVALUE(H2056)&lt;TIMEVALUE(I2055)),"[h]:mm")</f>
        <v/>
      </c>
      <c r="L2056" s="4" t="inlineStr">
        <is>
          <t>01:40:00</t>
        </is>
      </c>
      <c r="O2056">
        <f>"LIM-"&amp;G2055&amp;"-LIM   LA "&amp;E2055&amp;" ("&amp;LEFT(H2055,5)&amp;"-"&amp;LEFT(I2055,5)&amp;" hrs)  /  LA "&amp;E2056&amp;" ("&amp;LEFT(H2056,5)&amp;"-"&amp;LEFT(I2056,5)&amp;" hrs)"</f>
        <v/>
      </c>
    </row>
    <row r="2057">
      <c r="J2057" s="8" t="inlineStr">
        <is>
          <t>PSV total:</t>
        </is>
      </c>
      <c r="K2057" s="9">
        <f>TEXT(TIMEVALUE(I2056)-TIMEVALUE(H2053)+(I2056&lt;H2053),"[h]:mm")</f>
        <v/>
      </c>
    </row>
    <row r="2059">
      <c r="B2059" s="3" t="inlineStr">
        <is>
          <t>Pairing ID</t>
        </is>
      </c>
      <c r="C2059" s="3" t="inlineStr">
        <is>
          <t>FECHA REAL</t>
        </is>
      </c>
      <c r="D2059" s="3" t="inlineStr">
        <is>
          <t>Day of Week</t>
        </is>
      </c>
      <c r="E2059" s="3" t="inlineStr">
        <is>
          <t>Flight No</t>
        </is>
      </c>
      <c r="F2059" s="3" t="inlineStr">
        <is>
          <t>Dep Stn</t>
        </is>
      </c>
      <c r="G2059" s="3" t="inlineStr">
        <is>
          <t>Arr Stn</t>
        </is>
      </c>
      <c r="H2059" s="3" t="inlineStr">
        <is>
          <t>STD</t>
        </is>
      </c>
      <c r="I2059" s="3" t="inlineStr">
        <is>
          <t>STA</t>
        </is>
      </c>
      <c r="J2059" s="3" t="inlineStr">
        <is>
          <t>subflota</t>
        </is>
      </c>
      <c r="K2059" s="3" t="inlineStr">
        <is>
          <t>Conexion</t>
        </is>
      </c>
      <c r="L2059" s="3" t="inlineStr">
        <is>
          <t>HBT</t>
        </is>
      </c>
    </row>
    <row r="2060">
      <c r="B2060" s="4" t="n">
        <v>2008</v>
      </c>
      <c r="C2060" s="4" t="inlineStr">
        <is>
          <t>23/09/2026</t>
        </is>
      </c>
      <c r="D2060" s="4" t="inlineStr">
        <is>
          <t>miércoles</t>
        </is>
      </c>
      <c r="E2060" s="4" t="n">
        <v>2023</v>
      </c>
      <c r="F2060" s="4" t="inlineStr">
        <is>
          <t>LIM</t>
        </is>
      </c>
      <c r="G2060" s="4" t="inlineStr">
        <is>
          <t>PEM</t>
        </is>
      </c>
      <c r="H2060" s="4" t="inlineStr">
        <is>
          <t>12:15:00</t>
        </is>
      </c>
      <c r="I2060" s="4" t="inlineStr">
        <is>
          <t>13:55:00</t>
        </is>
      </c>
      <c r="J2060" s="4" t="n">
        <v>319</v>
      </c>
      <c r="L2060" s="4" t="inlineStr">
        <is>
          <t>01:40:00</t>
        </is>
      </c>
      <c r="M2060" s="5" t="n"/>
      <c r="N2060" s="6" t="n"/>
      <c r="O2060" s="5" t="n"/>
      <c r="Q2060" s="4">
        <f>B2060</f>
        <v/>
      </c>
      <c r="R2060" s="4">
        <f>C2060</f>
        <v/>
      </c>
      <c r="S2060" s="4">
        <f>D2060</f>
        <v/>
      </c>
      <c r="T2060" s="4">
        <f>E2060&amp;"/"&amp;E2061</f>
        <v/>
      </c>
      <c r="U2060" s="4">
        <f>F2060&amp;"-"&amp;G2060&amp;"-"&amp;F2060</f>
        <v/>
      </c>
      <c r="V2060" s="4">
        <f>IF($M$2060="","",$M$2060)</f>
        <v/>
      </c>
      <c r="W2060" s="4">
        <f>IF($O$2060="","",$O$2060)</f>
        <v/>
      </c>
      <c r="X2060" s="4">
        <f>J2060</f>
        <v/>
      </c>
    </row>
    <row r="2061">
      <c r="B2061" s="4" t="n">
        <v>2008</v>
      </c>
      <c r="C2061" s="4" t="inlineStr">
        <is>
          <t>23/09/2026</t>
        </is>
      </c>
      <c r="D2061" s="4" t="inlineStr">
        <is>
          <t>miércoles</t>
        </is>
      </c>
      <c r="E2061" s="4" t="n">
        <v>2024</v>
      </c>
      <c r="F2061" s="4" t="inlineStr">
        <is>
          <t>PEM</t>
        </is>
      </c>
      <c r="G2061" s="4" t="inlineStr">
        <is>
          <t>LIM</t>
        </is>
      </c>
      <c r="H2061" s="4" t="inlineStr">
        <is>
          <t>14:35:00</t>
        </is>
      </c>
      <c r="I2061" s="4" t="inlineStr">
        <is>
          <t>16:10:00</t>
        </is>
      </c>
      <c r="J2061" s="4" t="n">
        <v>319</v>
      </c>
      <c r="K2061">
        <f>TEXT(TIMEVALUE(H2061)-TIMEVALUE(I2060)+(TIMEVALUE(H2061)&lt;TIMEVALUE(I2060)),"[h]:mm")</f>
        <v/>
      </c>
      <c r="L2061" s="4" t="inlineStr">
        <is>
          <t>01:35:00</t>
        </is>
      </c>
      <c r="O2061">
        <f>"LIM-"&amp;G2060&amp;"-LIM   LA "&amp;E2060&amp;" ("&amp;LEFT(H2060,5)&amp;"-"&amp;LEFT(I2060,5)&amp;" hrs)  /  LA "&amp;E2061&amp;" ("&amp;LEFT(H2061,5)&amp;"-"&amp;LEFT(I2061,5)&amp;" hrs)"</f>
        <v/>
      </c>
    </row>
    <row r="2062">
      <c r="J2062" s="8" t="inlineStr">
        <is>
          <t>PSV total:</t>
        </is>
      </c>
      <c r="K2062" s="9">
        <f>TEXT(TIMEVALUE(I2061)-TIMEVALUE(H2060)+(I2061&lt;H2060),"[h]:mm")</f>
        <v/>
      </c>
    </row>
    <row r="2064">
      <c r="B2064" s="3" t="inlineStr">
        <is>
          <t>Pairing ID</t>
        </is>
      </c>
      <c r="C2064" s="3" t="inlineStr">
        <is>
          <t>FECHA REAL</t>
        </is>
      </c>
      <c r="D2064" s="3" t="inlineStr">
        <is>
          <t>Day of Week</t>
        </is>
      </c>
      <c r="E2064" s="3" t="inlineStr">
        <is>
          <t>Flight No</t>
        </is>
      </c>
      <c r="F2064" s="3" t="inlineStr">
        <is>
          <t>Dep Stn</t>
        </is>
      </c>
      <c r="G2064" s="3" t="inlineStr">
        <is>
          <t>Arr Stn</t>
        </is>
      </c>
      <c r="H2064" s="3" t="inlineStr">
        <is>
          <t>STD</t>
        </is>
      </c>
      <c r="I2064" s="3" t="inlineStr">
        <is>
          <t>STA</t>
        </is>
      </c>
      <c r="J2064" s="3" t="inlineStr">
        <is>
          <t>subflota</t>
        </is>
      </c>
      <c r="K2064" s="3" t="inlineStr">
        <is>
          <t>Conexion</t>
        </is>
      </c>
      <c r="L2064" s="3" t="inlineStr">
        <is>
          <t>HBT</t>
        </is>
      </c>
    </row>
    <row r="2065">
      <c r="B2065" s="4" t="n">
        <v>2011</v>
      </c>
      <c r="C2065" s="4" t="inlineStr">
        <is>
          <t>23/09/2026</t>
        </is>
      </c>
      <c r="D2065" s="4" t="inlineStr">
        <is>
          <t>miércoles</t>
        </is>
      </c>
      <c r="E2065" s="4" t="n">
        <v>2308</v>
      </c>
      <c r="F2065" s="4" t="inlineStr">
        <is>
          <t>LIM</t>
        </is>
      </c>
      <c r="G2065" s="4" t="inlineStr">
        <is>
          <t>PIU</t>
        </is>
      </c>
      <c r="H2065" s="4" t="inlineStr">
        <is>
          <t>12:50:00</t>
        </is>
      </c>
      <c r="I2065" s="4" t="inlineStr">
        <is>
          <t>14:35:00</t>
        </is>
      </c>
      <c r="J2065" s="4" t="n">
        <v>319</v>
      </c>
      <c r="L2065" s="4" t="inlineStr">
        <is>
          <t>01:45:00</t>
        </is>
      </c>
      <c r="M2065" s="5" t="n"/>
      <c r="N2065" s="6" t="n"/>
      <c r="O2065" s="5" t="n"/>
      <c r="Q2065" s="4">
        <f>B2065</f>
        <v/>
      </c>
      <c r="R2065" s="4">
        <f>C2065</f>
        <v/>
      </c>
      <c r="S2065" s="4">
        <f>D2065</f>
        <v/>
      </c>
      <c r="T2065" s="4">
        <f>E2065&amp;"/"&amp;E2066</f>
        <v/>
      </c>
      <c r="U2065" s="4">
        <f>F2065&amp;"-"&amp;G2065&amp;"-"&amp;F2065</f>
        <v/>
      </c>
      <c r="V2065" s="4">
        <f>IF($M$2065="","",$M$2065)</f>
        <v/>
      </c>
      <c r="W2065" s="4">
        <f>IF($O$2065="","",$O$2065)</f>
        <v/>
      </c>
      <c r="X2065" s="4">
        <f>J2065</f>
        <v/>
      </c>
    </row>
    <row r="2066">
      <c r="B2066" s="4" t="n">
        <v>2011</v>
      </c>
      <c r="C2066" s="4" t="inlineStr">
        <is>
          <t>23/09/2026</t>
        </is>
      </c>
      <c r="D2066" s="4" t="inlineStr">
        <is>
          <t>miércoles</t>
        </is>
      </c>
      <c r="E2066" s="4" t="n">
        <v>2309</v>
      </c>
      <c r="F2066" s="4" t="inlineStr">
        <is>
          <t>PIU</t>
        </is>
      </c>
      <c r="G2066" s="4" t="inlineStr">
        <is>
          <t>LIM</t>
        </is>
      </c>
      <c r="H2066" s="4" t="inlineStr">
        <is>
          <t>15:25:00</t>
        </is>
      </c>
      <c r="I2066" s="4" t="inlineStr">
        <is>
          <t>16:55:00</t>
        </is>
      </c>
      <c r="J2066" s="4" t="n">
        <v>319</v>
      </c>
      <c r="K2066">
        <f>TEXT(TIMEVALUE(H2066)-TIMEVALUE(I2065)+(TIMEVALUE(H2066)&lt;TIMEVALUE(I2065)),"[h]:mm")</f>
        <v/>
      </c>
      <c r="L2066" s="4" t="inlineStr">
        <is>
          <t>01:30:00</t>
        </is>
      </c>
      <c r="O2066">
        <f>"LIM-"&amp;G2065&amp;"-LIM   LA "&amp;E2065&amp;" ("&amp;LEFT(H2065,5)&amp;"-"&amp;LEFT(I2065,5)&amp;" hrs)  /  LA "&amp;E2066&amp;" ("&amp;LEFT(H2066,5)&amp;"-"&amp;LEFT(I2066,5)&amp;" hrs)"</f>
        <v/>
      </c>
    </row>
    <row r="2067">
      <c r="B2067" s="4" t="n">
        <v>2037</v>
      </c>
      <c r="C2067" s="4" t="inlineStr">
        <is>
          <t>23/09/2026</t>
        </is>
      </c>
      <c r="D2067" s="4" t="inlineStr">
        <is>
          <t>miércoles</t>
        </is>
      </c>
      <c r="E2067" s="4" t="n">
        <v>2310</v>
      </c>
      <c r="F2067" s="4" t="inlineStr">
        <is>
          <t>LIM</t>
        </is>
      </c>
      <c r="G2067" s="4" t="inlineStr">
        <is>
          <t>CIX</t>
        </is>
      </c>
      <c r="H2067" s="4" t="inlineStr">
        <is>
          <t>18:20:00</t>
        </is>
      </c>
      <c r="I2067" s="4" t="inlineStr">
        <is>
          <t>19:45:00</t>
        </is>
      </c>
      <c r="J2067" s="4" t="n">
        <v>320</v>
      </c>
      <c r="K2067" s="7">
        <f>TEXT(TIMEVALUE(H2067)-TIMEVALUE(I2066)+(TIMEVALUE(H2067)&lt;TIMEVALUE(I2066)),"[h]:mm")</f>
        <v/>
      </c>
      <c r="L2067" s="4" t="inlineStr">
        <is>
          <t>01:25:00</t>
        </is>
      </c>
      <c r="M2067">
        <f>IF($M$2065="","",$M$2065)</f>
        <v/>
      </c>
      <c r="O2067">
        <f>IF($O$2065="","",$O$2065)</f>
        <v/>
      </c>
      <c r="Q2067" s="4">
        <f>B2067</f>
        <v/>
      </c>
      <c r="R2067" s="4">
        <f>C2067</f>
        <v/>
      </c>
      <c r="S2067" s="4">
        <f>D2067</f>
        <v/>
      </c>
      <c r="T2067" s="4">
        <f>E2067&amp;"/"&amp;E2068</f>
        <v/>
      </c>
      <c r="U2067" s="4">
        <f>F2067&amp;"-"&amp;G2067&amp;"-"&amp;F2067</f>
        <v/>
      </c>
      <c r="V2067" s="4">
        <f>IF($M$2065="","",$M$2065)</f>
        <v/>
      </c>
      <c r="W2067" s="4">
        <f>IF($O$2065="","",$O$2065)</f>
        <v/>
      </c>
      <c r="X2067" s="4">
        <f>J2067</f>
        <v/>
      </c>
    </row>
    <row r="2068">
      <c r="B2068" s="4" t="n">
        <v>2037</v>
      </c>
      <c r="C2068" s="4" t="inlineStr">
        <is>
          <t>23/09/2026</t>
        </is>
      </c>
      <c r="D2068" s="4" t="inlineStr">
        <is>
          <t>miércoles</t>
        </is>
      </c>
      <c r="E2068" s="4" t="n">
        <v>2311</v>
      </c>
      <c r="F2068" s="4" t="inlineStr">
        <is>
          <t>CIX</t>
        </is>
      </c>
      <c r="G2068" s="4" t="inlineStr">
        <is>
          <t>LIM</t>
        </is>
      </c>
      <c r="H2068" s="4" t="inlineStr">
        <is>
          <t>20:20:00</t>
        </is>
      </c>
      <c r="I2068" s="4" t="inlineStr">
        <is>
          <t>21:35:00</t>
        </is>
      </c>
      <c r="J2068" s="4" t="n">
        <v>320</v>
      </c>
      <c r="K2068">
        <f>TEXT(TIMEVALUE(H2068)-TIMEVALUE(I2067)+(TIMEVALUE(H2068)&lt;TIMEVALUE(I2067)),"[h]:mm")</f>
        <v/>
      </c>
      <c r="L2068" s="4" t="inlineStr">
        <is>
          <t>01:15:00</t>
        </is>
      </c>
      <c r="O2068">
        <f>"LIM-"&amp;G2067&amp;"-LIM   LA "&amp;E2067&amp;" ("&amp;LEFT(H2067,5)&amp;"-"&amp;LEFT(I2067,5)&amp;" hrs)  /  LA "&amp;E2068&amp;" ("&amp;LEFT(H2068,5)&amp;"-"&amp;LEFT(I2068,5)&amp;" hrs)"</f>
        <v/>
      </c>
    </row>
    <row r="2069">
      <c r="J2069" s="8" t="inlineStr">
        <is>
          <t>PSV total:</t>
        </is>
      </c>
      <c r="K2069" s="9">
        <f>TEXT(TIMEVALUE(I2068)-TIMEVALUE(H2065)+(I2068&lt;H2065),"[h]:mm")</f>
        <v/>
      </c>
    </row>
    <row r="2071">
      <c r="B2071" s="3" t="inlineStr">
        <is>
          <t>Pairing ID</t>
        </is>
      </c>
      <c r="C2071" s="3" t="inlineStr">
        <is>
          <t>FECHA REAL</t>
        </is>
      </c>
      <c r="D2071" s="3" t="inlineStr">
        <is>
          <t>Day of Week</t>
        </is>
      </c>
      <c r="E2071" s="3" t="inlineStr">
        <is>
          <t>Flight No</t>
        </is>
      </c>
      <c r="F2071" s="3" t="inlineStr">
        <is>
          <t>Dep Stn</t>
        </is>
      </c>
      <c r="G2071" s="3" t="inlineStr">
        <is>
          <t>Arr Stn</t>
        </is>
      </c>
      <c r="H2071" s="3" t="inlineStr">
        <is>
          <t>STD</t>
        </is>
      </c>
      <c r="I2071" s="3" t="inlineStr">
        <is>
          <t>STA</t>
        </is>
      </c>
      <c r="J2071" s="3" t="inlineStr">
        <is>
          <t>subflota</t>
        </is>
      </c>
      <c r="K2071" s="3" t="inlineStr">
        <is>
          <t>Conexion</t>
        </is>
      </c>
      <c r="L2071" s="3" t="inlineStr">
        <is>
          <t>HBT</t>
        </is>
      </c>
    </row>
    <row r="2072">
      <c r="B2072" s="4" t="n">
        <v>2018</v>
      </c>
      <c r="C2072" s="4" t="inlineStr">
        <is>
          <t>23/09/2026</t>
        </is>
      </c>
      <c r="D2072" s="4" t="inlineStr">
        <is>
          <t>miércoles</t>
        </is>
      </c>
      <c r="E2072" s="4" t="n">
        <v>2087</v>
      </c>
      <c r="F2072" s="4" t="inlineStr">
        <is>
          <t>LIM</t>
        </is>
      </c>
      <c r="G2072" s="4" t="inlineStr">
        <is>
          <t>TPP</t>
        </is>
      </c>
      <c r="H2072" s="4" t="inlineStr">
        <is>
          <t>14:05:00</t>
        </is>
      </c>
      <c r="I2072" s="4" t="inlineStr">
        <is>
          <t>15:30:00</t>
        </is>
      </c>
      <c r="J2072" s="4" t="n">
        <v>320</v>
      </c>
      <c r="L2072" s="4" t="inlineStr">
        <is>
          <t>01:25:00</t>
        </is>
      </c>
      <c r="M2072" s="5" t="n"/>
      <c r="N2072" s="6" t="n"/>
      <c r="O2072" s="5" t="n"/>
      <c r="Q2072" s="4">
        <f>B2072</f>
        <v/>
      </c>
      <c r="R2072" s="4">
        <f>C2072</f>
        <v/>
      </c>
      <c r="S2072" s="4">
        <f>D2072</f>
        <v/>
      </c>
      <c r="T2072" s="4">
        <f>E2072&amp;"/"&amp;E2073</f>
        <v/>
      </c>
      <c r="U2072" s="4">
        <f>F2072&amp;"-"&amp;G2072&amp;"-"&amp;F2072</f>
        <v/>
      </c>
      <c r="V2072" s="4">
        <f>IF($M$2072="","",$M$2072)</f>
        <v/>
      </c>
      <c r="W2072" s="4">
        <f>IF($O$2072="","",$O$2072)</f>
        <v/>
      </c>
      <c r="X2072" s="4">
        <f>J2072</f>
        <v/>
      </c>
    </row>
    <row r="2073">
      <c r="B2073" s="4" t="n">
        <v>2018</v>
      </c>
      <c r="C2073" s="4" t="inlineStr">
        <is>
          <t>23/09/2026</t>
        </is>
      </c>
      <c r="D2073" s="4" t="inlineStr">
        <is>
          <t>miércoles</t>
        </is>
      </c>
      <c r="E2073" s="4" t="n">
        <v>2088</v>
      </c>
      <c r="F2073" s="4" t="inlineStr">
        <is>
          <t>TPP</t>
        </is>
      </c>
      <c r="G2073" s="4" t="inlineStr">
        <is>
          <t>LIM</t>
        </is>
      </c>
      <c r="H2073" s="4" t="inlineStr">
        <is>
          <t>16:05:00</t>
        </is>
      </c>
      <c r="I2073" s="4" t="inlineStr">
        <is>
          <t>17:30:00</t>
        </is>
      </c>
      <c r="J2073" s="4" t="n">
        <v>320</v>
      </c>
      <c r="K2073">
        <f>TEXT(TIMEVALUE(H2073)-TIMEVALUE(I2072)+(TIMEVALUE(H2073)&lt;TIMEVALUE(I2072)),"[h]:mm")</f>
        <v/>
      </c>
      <c r="L2073" s="4" t="inlineStr">
        <is>
          <t>01:25:00</t>
        </is>
      </c>
      <c r="O2073">
        <f>"LIM-"&amp;G2072&amp;"-LIM   LA "&amp;E2072&amp;" ("&amp;LEFT(H2072,5)&amp;"-"&amp;LEFT(I2072,5)&amp;" hrs)  /  LA "&amp;E2073&amp;" ("&amp;LEFT(H2073,5)&amp;"-"&amp;LEFT(I2073,5)&amp;" hrs)"</f>
        <v/>
      </c>
    </row>
    <row r="2074">
      <c r="B2074" s="4" t="n">
        <v>2038</v>
      </c>
      <c r="C2074" s="4" t="inlineStr">
        <is>
          <t>23/09/2026</t>
        </is>
      </c>
      <c r="D2074" s="4" t="inlineStr">
        <is>
          <t>miércoles</t>
        </is>
      </c>
      <c r="E2074" s="4" t="n">
        <v>2091</v>
      </c>
      <c r="F2074" s="4" t="inlineStr">
        <is>
          <t>LIM</t>
        </is>
      </c>
      <c r="G2074" s="4" t="inlineStr">
        <is>
          <t>TPP</t>
        </is>
      </c>
      <c r="H2074" s="4" t="inlineStr">
        <is>
          <t>18:30:00</t>
        </is>
      </c>
      <c r="I2074" s="4" t="inlineStr">
        <is>
          <t>19:55:00</t>
        </is>
      </c>
      <c r="J2074" s="4" t="n">
        <v>319</v>
      </c>
      <c r="K2074" s="7">
        <f>TEXT(TIMEVALUE(H2074)-TIMEVALUE(I2073)+(TIMEVALUE(H2074)&lt;TIMEVALUE(I2073)),"[h]:mm")</f>
        <v/>
      </c>
      <c r="L2074" s="4" t="inlineStr">
        <is>
          <t>01:25:00</t>
        </is>
      </c>
      <c r="M2074">
        <f>IF($M$2072="","",$M$2072)</f>
        <v/>
      </c>
      <c r="O2074">
        <f>IF($O$2072="","",$O$2072)</f>
        <v/>
      </c>
      <c r="Q2074" s="4">
        <f>B2074</f>
        <v/>
      </c>
      <c r="R2074" s="4">
        <f>C2074</f>
        <v/>
      </c>
      <c r="S2074" s="4">
        <f>D2074</f>
        <v/>
      </c>
      <c r="T2074" s="4">
        <f>E2074&amp;"/"&amp;E2075</f>
        <v/>
      </c>
      <c r="U2074" s="4">
        <f>F2074&amp;"-"&amp;G2074&amp;"-"&amp;F2074</f>
        <v/>
      </c>
      <c r="V2074" s="4">
        <f>IF($M$2072="","",$M$2072)</f>
        <v/>
      </c>
      <c r="W2074" s="4">
        <f>IF($O$2072="","",$O$2072)</f>
        <v/>
      </c>
      <c r="X2074" s="4">
        <f>J2074</f>
        <v/>
      </c>
    </row>
    <row r="2075">
      <c r="B2075" s="4" t="n">
        <v>2038</v>
      </c>
      <c r="C2075" s="4" t="inlineStr">
        <is>
          <t>23/09/2026</t>
        </is>
      </c>
      <c r="D2075" s="4" t="inlineStr">
        <is>
          <t>miércoles</t>
        </is>
      </c>
      <c r="E2075" s="4" t="n">
        <v>2092</v>
      </c>
      <c r="F2075" s="4" t="inlineStr">
        <is>
          <t>TPP</t>
        </is>
      </c>
      <c r="G2075" s="4" t="inlineStr">
        <is>
          <t>LIM</t>
        </is>
      </c>
      <c r="H2075" s="4" t="inlineStr">
        <is>
          <t>20:30:00</t>
        </is>
      </c>
      <c r="I2075" s="4" t="inlineStr">
        <is>
          <t>21:55:00</t>
        </is>
      </c>
      <c r="J2075" s="4" t="n">
        <v>319</v>
      </c>
      <c r="K2075">
        <f>TEXT(TIMEVALUE(H2075)-TIMEVALUE(I2074)+(TIMEVALUE(H2075)&lt;TIMEVALUE(I2074)),"[h]:mm")</f>
        <v/>
      </c>
      <c r="L2075" s="4" t="inlineStr">
        <is>
          <t>01:25:00</t>
        </is>
      </c>
      <c r="O2075">
        <f>"LIM-"&amp;G2074&amp;"-LIM   LA "&amp;E2074&amp;" ("&amp;LEFT(H2074,5)&amp;"-"&amp;LEFT(I2074,5)&amp;" hrs)  /  LA "&amp;E2075&amp;" ("&amp;LEFT(H2075,5)&amp;"-"&amp;LEFT(I2075,5)&amp;" hrs)"</f>
        <v/>
      </c>
    </row>
    <row r="2076">
      <c r="J2076" s="8" t="inlineStr">
        <is>
          <t>PSV total:</t>
        </is>
      </c>
      <c r="K2076" s="9">
        <f>TEXT(TIMEVALUE(I2075)-TIMEVALUE(H2072)+(I2075&lt;H2072),"[h]:mm")</f>
        <v/>
      </c>
    </row>
    <row r="2078">
      <c r="B2078" s="3" t="inlineStr">
        <is>
          <t>Pairing ID</t>
        </is>
      </c>
      <c r="C2078" s="3" t="inlineStr">
        <is>
          <t>FECHA REAL</t>
        </is>
      </c>
      <c r="D2078" s="3" t="inlineStr">
        <is>
          <t>Day of Week</t>
        </is>
      </c>
      <c r="E2078" s="3" t="inlineStr">
        <is>
          <t>Flight No</t>
        </is>
      </c>
      <c r="F2078" s="3" t="inlineStr">
        <is>
          <t>Dep Stn</t>
        </is>
      </c>
      <c r="G2078" s="3" t="inlineStr">
        <is>
          <t>Arr Stn</t>
        </is>
      </c>
      <c r="H2078" s="3" t="inlineStr">
        <is>
          <t>STD</t>
        </is>
      </c>
      <c r="I2078" s="3" t="inlineStr">
        <is>
          <t>STA</t>
        </is>
      </c>
      <c r="J2078" s="3" t="inlineStr">
        <is>
          <t>subflota</t>
        </is>
      </c>
      <c r="K2078" s="3" t="inlineStr">
        <is>
          <t>Conexion</t>
        </is>
      </c>
      <c r="L2078" s="3" t="inlineStr">
        <is>
          <t>HBT</t>
        </is>
      </c>
    </row>
    <row r="2079">
      <c r="B2079" s="4" t="n">
        <v>2019</v>
      </c>
      <c r="C2079" s="4" t="inlineStr">
        <is>
          <t>23/09/2026</t>
        </is>
      </c>
      <c r="D2079" s="4" t="inlineStr">
        <is>
          <t>miércoles</t>
        </is>
      </c>
      <c r="E2079" s="4" t="n">
        <v>2295</v>
      </c>
      <c r="F2079" s="4" t="inlineStr">
        <is>
          <t>LIM</t>
        </is>
      </c>
      <c r="G2079" s="4" t="inlineStr">
        <is>
          <t>CJA</t>
        </is>
      </c>
      <c r="H2079" s="4" t="inlineStr">
        <is>
          <t>14:10:00</t>
        </is>
      </c>
      <c r="I2079" s="4" t="inlineStr">
        <is>
          <t>15:30:00</t>
        </is>
      </c>
      <c r="J2079" s="4" t="n">
        <v>319</v>
      </c>
      <c r="L2079" s="4" t="inlineStr">
        <is>
          <t>01:20:00</t>
        </is>
      </c>
      <c r="M2079" s="5" t="n"/>
      <c r="N2079" s="6" t="n"/>
      <c r="O2079" s="5" t="n"/>
      <c r="Q2079" s="4">
        <f>B2079</f>
        <v/>
      </c>
      <c r="R2079" s="4">
        <f>C2079</f>
        <v/>
      </c>
      <c r="S2079" s="4">
        <f>D2079</f>
        <v/>
      </c>
      <c r="T2079" s="4">
        <f>E2079&amp;"/"&amp;E2080</f>
        <v/>
      </c>
      <c r="U2079" s="4">
        <f>F2079&amp;"-"&amp;G2079&amp;"-"&amp;F2079</f>
        <v/>
      </c>
      <c r="V2079" s="4">
        <f>IF($M$2079="","",$M$2079)</f>
        <v/>
      </c>
      <c r="W2079" s="4">
        <f>IF($O$2079="","",$O$2079)</f>
        <v/>
      </c>
      <c r="X2079" s="4">
        <f>J2079</f>
        <v/>
      </c>
    </row>
    <row r="2080">
      <c r="B2080" s="4" t="n">
        <v>2019</v>
      </c>
      <c r="C2080" s="4" t="inlineStr">
        <is>
          <t>23/09/2026</t>
        </is>
      </c>
      <c r="D2080" s="4" t="inlineStr">
        <is>
          <t>miércoles</t>
        </is>
      </c>
      <c r="E2080" s="4" t="n">
        <v>2294</v>
      </c>
      <c r="F2080" s="4" t="inlineStr">
        <is>
          <t>CJA</t>
        </is>
      </c>
      <c r="G2080" s="4" t="inlineStr">
        <is>
          <t>LIM</t>
        </is>
      </c>
      <c r="H2080" s="4" t="inlineStr">
        <is>
          <t>16:10:00</t>
        </is>
      </c>
      <c r="I2080" s="4" t="inlineStr">
        <is>
          <t>17:15:00</t>
        </is>
      </c>
      <c r="J2080" s="4" t="n">
        <v>319</v>
      </c>
      <c r="K2080">
        <f>TEXT(TIMEVALUE(H2080)-TIMEVALUE(I2079)+(TIMEVALUE(H2080)&lt;TIMEVALUE(I2079)),"[h]:mm")</f>
        <v/>
      </c>
      <c r="L2080" s="4" t="inlineStr">
        <is>
          <t>01:05:00</t>
        </is>
      </c>
      <c r="O2080">
        <f>"LIM-"&amp;G2079&amp;"-LIM   LA "&amp;E2079&amp;" ("&amp;LEFT(H2079,5)&amp;"-"&amp;LEFT(I2079,5)&amp;" hrs)  /  LA "&amp;E2080&amp;" ("&amp;LEFT(H2080,5)&amp;"-"&amp;LEFT(I2080,5)&amp;" hrs)"</f>
        <v/>
      </c>
    </row>
    <row r="2081">
      <c r="B2081" s="4" t="n">
        <v>2039</v>
      </c>
      <c r="C2081" s="4" t="inlineStr">
        <is>
          <t>23/09/2026</t>
        </is>
      </c>
      <c r="D2081" s="4" t="inlineStr">
        <is>
          <t>miércoles</t>
        </is>
      </c>
      <c r="E2081" s="4" t="n">
        <v>2117</v>
      </c>
      <c r="F2081" s="4" t="inlineStr">
        <is>
          <t>LIM</t>
        </is>
      </c>
      <c r="G2081" s="4" t="inlineStr">
        <is>
          <t>AQP</t>
        </is>
      </c>
      <c r="H2081" s="4" t="inlineStr">
        <is>
          <t>18:35:00</t>
        </is>
      </c>
      <c r="I2081" s="4" t="inlineStr">
        <is>
          <t>20:05:00</t>
        </is>
      </c>
      <c r="J2081" s="4" t="n">
        <v>320</v>
      </c>
      <c r="K2081" s="7">
        <f>TEXT(TIMEVALUE(H2081)-TIMEVALUE(I2080)+(TIMEVALUE(H2081)&lt;TIMEVALUE(I2080)),"[h]:mm")</f>
        <v/>
      </c>
      <c r="L2081" s="4" t="inlineStr">
        <is>
          <t>01:30:00</t>
        </is>
      </c>
      <c r="M2081">
        <f>IF($M$2079="","",$M$2079)</f>
        <v/>
      </c>
      <c r="O2081">
        <f>IF($O$2079="","",$O$2079)</f>
        <v/>
      </c>
      <c r="Q2081" s="4">
        <f>B2081</f>
        <v/>
      </c>
      <c r="R2081" s="4">
        <f>C2081</f>
        <v/>
      </c>
      <c r="S2081" s="4">
        <f>D2081</f>
        <v/>
      </c>
      <c r="T2081" s="4">
        <f>E2081&amp;"/"&amp;E2082</f>
        <v/>
      </c>
      <c r="U2081" s="4">
        <f>F2081&amp;"-"&amp;G2081&amp;"-"&amp;F2081</f>
        <v/>
      </c>
      <c r="V2081" s="4">
        <f>IF($M$2079="","",$M$2079)</f>
        <v/>
      </c>
      <c r="W2081" s="4">
        <f>IF($O$2079="","",$O$2079)</f>
        <v/>
      </c>
      <c r="X2081" s="4">
        <f>J2081</f>
        <v/>
      </c>
    </row>
    <row r="2082">
      <c r="B2082" s="4" t="n">
        <v>2039</v>
      </c>
      <c r="C2082" s="4" t="inlineStr">
        <is>
          <t>23/09/2026</t>
        </is>
      </c>
      <c r="D2082" s="4" t="inlineStr">
        <is>
          <t>miércoles</t>
        </is>
      </c>
      <c r="E2082" s="4" t="n">
        <v>2116</v>
      </c>
      <c r="F2082" s="4" t="inlineStr">
        <is>
          <t>AQP</t>
        </is>
      </c>
      <c r="G2082" s="4" t="inlineStr">
        <is>
          <t>LIM</t>
        </is>
      </c>
      <c r="H2082" s="4" t="inlineStr">
        <is>
          <t>20:40:00</t>
        </is>
      </c>
      <c r="I2082" s="4" t="inlineStr">
        <is>
          <t>22:20:00</t>
        </is>
      </c>
      <c r="J2082" s="4" t="n">
        <v>320</v>
      </c>
      <c r="K2082">
        <f>TEXT(TIMEVALUE(H2082)-TIMEVALUE(I2081)+(TIMEVALUE(H2082)&lt;TIMEVALUE(I2081)),"[h]:mm")</f>
        <v/>
      </c>
      <c r="L2082" s="4" t="inlineStr">
        <is>
          <t>01:40:00</t>
        </is>
      </c>
      <c r="O2082">
        <f>"LIM-"&amp;G2081&amp;"-LIM   LA "&amp;E2081&amp;" ("&amp;LEFT(H2081,5)&amp;"-"&amp;LEFT(I2081,5)&amp;" hrs)  /  LA "&amp;E2082&amp;" ("&amp;LEFT(H2082,5)&amp;"-"&amp;LEFT(I2082,5)&amp;" hrs)"</f>
        <v/>
      </c>
    </row>
    <row r="2083">
      <c r="J2083" s="8" t="inlineStr">
        <is>
          <t>PSV total:</t>
        </is>
      </c>
      <c r="K2083" s="9">
        <f>TEXT(TIMEVALUE(I2082)-TIMEVALUE(H2079)+(I2082&lt;H2079),"[h]:mm")</f>
        <v/>
      </c>
    </row>
    <row r="2085">
      <c r="B2085" s="3" t="inlineStr">
        <is>
          <t>Pairing ID</t>
        </is>
      </c>
      <c r="C2085" s="3" t="inlineStr">
        <is>
          <t>FECHA REAL</t>
        </is>
      </c>
      <c r="D2085" s="3" t="inlineStr">
        <is>
          <t>Day of Week</t>
        </is>
      </c>
      <c r="E2085" s="3" t="inlineStr">
        <is>
          <t>Flight No</t>
        </is>
      </c>
      <c r="F2085" s="3" t="inlineStr">
        <is>
          <t>Dep Stn</t>
        </is>
      </c>
      <c r="G2085" s="3" t="inlineStr">
        <is>
          <t>Arr Stn</t>
        </is>
      </c>
      <c r="H2085" s="3" t="inlineStr">
        <is>
          <t>STD</t>
        </is>
      </c>
      <c r="I2085" s="3" t="inlineStr">
        <is>
          <t>STA</t>
        </is>
      </c>
      <c r="J2085" s="3" t="inlineStr">
        <is>
          <t>subflota</t>
        </is>
      </c>
      <c r="K2085" s="3" t="inlineStr">
        <is>
          <t>Conexion</t>
        </is>
      </c>
      <c r="L2085" s="3" t="inlineStr">
        <is>
          <t>HBT</t>
        </is>
      </c>
    </row>
    <row r="2086">
      <c r="B2086" s="4" t="n">
        <v>2020</v>
      </c>
      <c r="C2086" s="4" t="inlineStr">
        <is>
          <t>23/09/2026</t>
        </is>
      </c>
      <c r="D2086" s="4" t="inlineStr">
        <is>
          <t>miércoles</t>
        </is>
      </c>
      <c r="E2086" s="4" t="n">
        <v>2022</v>
      </c>
      <c r="F2086" s="4" t="inlineStr">
        <is>
          <t>LIM</t>
        </is>
      </c>
      <c r="G2086" s="4" t="inlineStr">
        <is>
          <t>CUZ</t>
        </is>
      </c>
      <c r="H2086" s="4" t="inlineStr">
        <is>
          <t>14:30:00</t>
        </is>
      </c>
      <c r="I2086" s="4" t="inlineStr">
        <is>
          <t>15:50:00</t>
        </is>
      </c>
      <c r="J2086" s="4" t="n">
        <v>320</v>
      </c>
      <c r="L2086" s="4" t="inlineStr">
        <is>
          <t>01:20:00</t>
        </is>
      </c>
      <c r="M2086" s="5" t="n"/>
      <c r="N2086" s="6" t="n"/>
      <c r="O2086" s="5" t="n"/>
      <c r="Q2086" s="4">
        <f>B2086</f>
        <v/>
      </c>
      <c r="R2086" s="4">
        <f>C2086</f>
        <v/>
      </c>
      <c r="S2086" s="4">
        <f>D2086</f>
        <v/>
      </c>
      <c r="T2086" s="4">
        <f>E2086&amp;"/"&amp;E2087</f>
        <v/>
      </c>
      <c r="U2086" s="4">
        <f>F2086&amp;"-"&amp;G2086&amp;"-"&amp;F2086</f>
        <v/>
      </c>
      <c r="V2086" s="4">
        <f>IF($M$2086="","",$M$2086)</f>
        <v/>
      </c>
      <c r="W2086" s="4">
        <f>IF($O$2086="","",$O$2086)</f>
        <v/>
      </c>
      <c r="X2086" s="4">
        <f>J2086</f>
        <v/>
      </c>
    </row>
    <row r="2087">
      <c r="B2087" s="4" t="n">
        <v>2020</v>
      </c>
      <c r="C2087" s="4" t="inlineStr">
        <is>
          <t>23/09/2026</t>
        </is>
      </c>
      <c r="D2087" s="4" t="inlineStr">
        <is>
          <t>miércoles</t>
        </is>
      </c>
      <c r="E2087" s="4" t="n">
        <v>2025</v>
      </c>
      <c r="F2087" s="4" t="inlineStr">
        <is>
          <t>CUZ</t>
        </is>
      </c>
      <c r="G2087" s="4" t="inlineStr">
        <is>
          <t>LIM</t>
        </is>
      </c>
      <c r="H2087" s="4" t="inlineStr">
        <is>
          <t>16:35:00</t>
        </is>
      </c>
      <c r="I2087" s="4" t="inlineStr">
        <is>
          <t>18:10:00</t>
        </is>
      </c>
      <c r="J2087" s="4" t="n">
        <v>320</v>
      </c>
      <c r="K2087">
        <f>TEXT(TIMEVALUE(H2087)-TIMEVALUE(I2086)+(TIMEVALUE(H2087)&lt;TIMEVALUE(I2086)),"[h]:mm")</f>
        <v/>
      </c>
      <c r="L2087" s="4" t="inlineStr">
        <is>
          <t>01:35:00</t>
        </is>
      </c>
      <c r="O2087">
        <f>"LIM-"&amp;G2086&amp;"-LIM   LA "&amp;E2086&amp;" ("&amp;LEFT(H2086,5)&amp;"-"&amp;LEFT(I2086,5)&amp;" hrs)  /  LA "&amp;E2087&amp;" ("&amp;LEFT(H2087,5)&amp;"-"&amp;LEFT(I2087,5)&amp;" hrs)"</f>
        <v/>
      </c>
    </row>
    <row r="2088">
      <c r="J2088" s="8" t="inlineStr">
        <is>
          <t>PSV total:</t>
        </is>
      </c>
      <c r="K2088" s="9">
        <f>TEXT(TIMEVALUE(I2087)-TIMEVALUE(H2086)+(I2087&lt;H2086),"[h]:mm")</f>
        <v/>
      </c>
    </row>
    <row r="2090">
      <c r="B2090" s="3" t="inlineStr">
        <is>
          <t>Pairing ID</t>
        </is>
      </c>
      <c r="C2090" s="3" t="inlineStr">
        <is>
          <t>FECHA REAL</t>
        </is>
      </c>
      <c r="D2090" s="3" t="inlineStr">
        <is>
          <t>Day of Week</t>
        </is>
      </c>
      <c r="E2090" s="3" t="inlineStr">
        <is>
          <t>Flight No</t>
        </is>
      </c>
      <c r="F2090" s="3" t="inlineStr">
        <is>
          <t>Dep Stn</t>
        </is>
      </c>
      <c r="G2090" s="3" t="inlineStr">
        <is>
          <t>Arr Stn</t>
        </is>
      </c>
      <c r="H2090" s="3" t="inlineStr">
        <is>
          <t>STD</t>
        </is>
      </c>
      <c r="I2090" s="3" t="inlineStr">
        <is>
          <t>STA</t>
        </is>
      </c>
      <c r="J2090" s="3" t="inlineStr">
        <is>
          <t>subflota</t>
        </is>
      </c>
      <c r="K2090" s="3" t="inlineStr">
        <is>
          <t>Conexion</t>
        </is>
      </c>
      <c r="L2090" s="3" t="inlineStr">
        <is>
          <t>HBT</t>
        </is>
      </c>
    </row>
    <row r="2091">
      <c r="B2091" s="4" t="n">
        <v>2021</v>
      </c>
      <c r="C2091" s="4" t="inlineStr">
        <is>
          <t>23/09/2026</t>
        </is>
      </c>
      <c r="D2091" s="4" t="inlineStr">
        <is>
          <t>miércoles</t>
        </is>
      </c>
      <c r="E2091" s="4" t="n">
        <v>2282</v>
      </c>
      <c r="F2091" s="4" t="inlineStr">
        <is>
          <t>LIM</t>
        </is>
      </c>
      <c r="G2091" s="4" t="inlineStr">
        <is>
          <t>CIX</t>
        </is>
      </c>
      <c r="H2091" s="4" t="inlineStr">
        <is>
          <t>14:45:00</t>
        </is>
      </c>
      <c r="I2091" s="4" t="inlineStr">
        <is>
          <t>16:15:00</t>
        </is>
      </c>
      <c r="J2091" s="4" t="n">
        <v>319</v>
      </c>
      <c r="L2091" s="4" t="inlineStr">
        <is>
          <t>01:30:00</t>
        </is>
      </c>
      <c r="M2091" s="5" t="n"/>
      <c r="N2091" s="6" t="n"/>
      <c r="O2091" s="5" t="n"/>
      <c r="Q2091" s="4">
        <f>B2091</f>
        <v/>
      </c>
      <c r="R2091" s="4">
        <f>C2091</f>
        <v/>
      </c>
      <c r="S2091" s="4">
        <f>D2091</f>
        <v/>
      </c>
      <c r="T2091" s="4">
        <f>E2091&amp;"/"&amp;E2092</f>
        <v/>
      </c>
      <c r="U2091" s="4">
        <f>F2091&amp;"-"&amp;G2091&amp;"-"&amp;F2091</f>
        <v/>
      </c>
      <c r="V2091" s="4">
        <f>IF($M$2091="","",$M$2091)</f>
        <v/>
      </c>
      <c r="W2091" s="4">
        <f>IF($O$2091="","",$O$2091)</f>
        <v/>
      </c>
      <c r="X2091" s="4">
        <f>J2091</f>
        <v/>
      </c>
    </row>
    <row r="2092">
      <c r="B2092" s="4" t="n">
        <v>2021</v>
      </c>
      <c r="C2092" s="4" t="inlineStr">
        <is>
          <t>23/09/2026</t>
        </is>
      </c>
      <c r="D2092" s="4" t="inlineStr">
        <is>
          <t>miércoles</t>
        </is>
      </c>
      <c r="E2092" s="4" t="n">
        <v>2283</v>
      </c>
      <c r="F2092" s="4" t="inlineStr">
        <is>
          <t>CIX</t>
        </is>
      </c>
      <c r="G2092" s="4" t="inlineStr">
        <is>
          <t>LIM</t>
        </is>
      </c>
      <c r="H2092" s="4" t="inlineStr">
        <is>
          <t>16:50:00</t>
        </is>
      </c>
      <c r="I2092" s="4" t="inlineStr">
        <is>
          <t>18:10:00</t>
        </is>
      </c>
      <c r="J2092" s="4" t="n">
        <v>319</v>
      </c>
      <c r="K2092">
        <f>TEXT(TIMEVALUE(H2092)-TIMEVALUE(I2091)+(TIMEVALUE(H2092)&lt;TIMEVALUE(I2091)),"[h]:mm")</f>
        <v/>
      </c>
      <c r="L2092" s="4" t="inlineStr">
        <is>
          <t>01:20:00</t>
        </is>
      </c>
      <c r="O2092">
        <f>"LIM-"&amp;G2091&amp;"-LIM   LA "&amp;E2091&amp;" ("&amp;LEFT(H2091,5)&amp;"-"&amp;LEFT(I2091,5)&amp;" hrs)  /  LA "&amp;E2092&amp;" ("&amp;LEFT(H2092,5)&amp;"-"&amp;LEFT(I2092,5)&amp;" hrs)"</f>
        <v/>
      </c>
    </row>
    <row r="2093">
      <c r="J2093" s="8" t="inlineStr">
        <is>
          <t>PSV total:</t>
        </is>
      </c>
      <c r="K2093" s="9">
        <f>TEXT(TIMEVALUE(I2092)-TIMEVALUE(H2091)+(I2092&lt;H2091),"[h]:mm")</f>
        <v/>
      </c>
    </row>
    <row r="2095">
      <c r="B2095" s="3" t="inlineStr">
        <is>
          <t>Pairing ID</t>
        </is>
      </c>
      <c r="C2095" s="3" t="inlineStr">
        <is>
          <t>FECHA REAL</t>
        </is>
      </c>
      <c r="D2095" s="3" t="inlineStr">
        <is>
          <t>Day of Week</t>
        </is>
      </c>
      <c r="E2095" s="3" t="inlineStr">
        <is>
          <t>Flight No</t>
        </is>
      </c>
      <c r="F2095" s="3" t="inlineStr">
        <is>
          <t>Dep Stn</t>
        </is>
      </c>
      <c r="G2095" s="3" t="inlineStr">
        <is>
          <t>Arr Stn</t>
        </is>
      </c>
      <c r="H2095" s="3" t="inlineStr">
        <is>
          <t>STD</t>
        </is>
      </c>
      <c r="I2095" s="3" t="inlineStr">
        <is>
          <t>STA</t>
        </is>
      </c>
      <c r="J2095" s="3" t="inlineStr">
        <is>
          <t>subflota</t>
        </is>
      </c>
      <c r="K2095" s="3" t="inlineStr">
        <is>
          <t>Conexion</t>
        </is>
      </c>
      <c r="L2095" s="3" t="inlineStr">
        <is>
          <t>HBT</t>
        </is>
      </c>
    </row>
    <row r="2096">
      <c r="B2096" s="4" t="n">
        <v>2022</v>
      </c>
      <c r="C2096" s="4" t="inlineStr">
        <is>
          <t>23/09/2026</t>
        </is>
      </c>
      <c r="D2096" s="4" t="inlineStr">
        <is>
          <t>miércoles</t>
        </is>
      </c>
      <c r="E2096" s="4" t="n">
        <v>2264</v>
      </c>
      <c r="F2096" s="4" t="inlineStr">
        <is>
          <t>LIM</t>
        </is>
      </c>
      <c r="G2096" s="4" t="inlineStr">
        <is>
          <t>PEM</t>
        </is>
      </c>
      <c r="H2096" s="4" t="inlineStr">
        <is>
          <t>14:55:00</t>
        </is>
      </c>
      <c r="I2096" s="4" t="inlineStr">
        <is>
          <t>16:40:00</t>
        </is>
      </c>
      <c r="J2096" s="4" t="n">
        <v>319</v>
      </c>
      <c r="L2096" s="4" t="inlineStr">
        <is>
          <t>01:45:00</t>
        </is>
      </c>
      <c r="M2096" s="5" t="n"/>
      <c r="N2096" s="6" t="n"/>
      <c r="O2096" s="5" t="n"/>
      <c r="Q2096" s="4">
        <f>B2096</f>
        <v/>
      </c>
      <c r="R2096" s="4">
        <f>C2096</f>
        <v/>
      </c>
      <c r="S2096" s="4">
        <f>D2096</f>
        <v/>
      </c>
      <c r="T2096" s="4">
        <f>E2096&amp;"/"&amp;E2097</f>
        <v/>
      </c>
      <c r="U2096" s="4">
        <f>F2096&amp;"-"&amp;G2096&amp;"-"&amp;F2096</f>
        <v/>
      </c>
      <c r="V2096" s="4">
        <f>IF($M$2096="","",$M$2096)</f>
        <v/>
      </c>
      <c r="W2096" s="4">
        <f>IF($O$2096="","",$O$2096)</f>
        <v/>
      </c>
      <c r="X2096" s="4">
        <f>J2096</f>
        <v/>
      </c>
    </row>
    <row r="2097">
      <c r="B2097" s="4" t="n">
        <v>2022</v>
      </c>
      <c r="C2097" s="4" t="inlineStr">
        <is>
          <t>23/09/2026</t>
        </is>
      </c>
      <c r="D2097" s="4" t="inlineStr">
        <is>
          <t>miércoles</t>
        </is>
      </c>
      <c r="E2097" s="4" t="n">
        <v>2265</v>
      </c>
      <c r="F2097" s="4" t="inlineStr">
        <is>
          <t>PEM</t>
        </is>
      </c>
      <c r="G2097" s="4" t="inlineStr">
        <is>
          <t>LIM</t>
        </is>
      </c>
      <c r="H2097" s="4" t="inlineStr">
        <is>
          <t>17:20:00</t>
        </is>
      </c>
      <c r="I2097" s="4" t="inlineStr">
        <is>
          <t>18:55:00</t>
        </is>
      </c>
      <c r="J2097" s="4" t="n">
        <v>319</v>
      </c>
      <c r="K2097">
        <f>TEXT(TIMEVALUE(H2097)-TIMEVALUE(I2096)+(TIMEVALUE(H2097)&lt;TIMEVALUE(I2096)),"[h]:mm")</f>
        <v/>
      </c>
      <c r="L2097" s="4" t="inlineStr">
        <is>
          <t>01:35:00</t>
        </is>
      </c>
      <c r="O2097">
        <f>"LIM-"&amp;G2096&amp;"-LIM   LA "&amp;E2096&amp;" ("&amp;LEFT(H2096,5)&amp;"-"&amp;LEFT(I2096,5)&amp;" hrs)  /  LA "&amp;E2097&amp;" ("&amp;LEFT(H2097,5)&amp;"-"&amp;LEFT(I2097,5)&amp;" hrs)"</f>
        <v/>
      </c>
    </row>
    <row r="2098">
      <c r="B2098" s="4" t="n">
        <v>2040</v>
      </c>
      <c r="C2098" s="4" t="inlineStr">
        <is>
          <t>23/09/2026</t>
        </is>
      </c>
      <c r="D2098" s="4" t="inlineStr">
        <is>
          <t>miércoles</t>
        </is>
      </c>
      <c r="E2098" s="4" t="n">
        <v>2278</v>
      </c>
      <c r="F2098" s="4" t="inlineStr">
        <is>
          <t>LIM</t>
        </is>
      </c>
      <c r="G2098" s="4" t="inlineStr">
        <is>
          <t>CIX</t>
        </is>
      </c>
      <c r="H2098" s="4" t="inlineStr">
        <is>
          <t>20:10:00</t>
        </is>
      </c>
      <c r="I2098" s="4" t="inlineStr">
        <is>
          <t>21:40:00</t>
        </is>
      </c>
      <c r="J2098" s="4" t="n">
        <v>320</v>
      </c>
      <c r="K2098" s="7">
        <f>TEXT(TIMEVALUE(H2098)-TIMEVALUE(I2097)+(TIMEVALUE(H2098)&lt;TIMEVALUE(I2097)),"[h]:mm")</f>
        <v/>
      </c>
      <c r="L2098" s="4" t="inlineStr">
        <is>
          <t>01:30:00</t>
        </is>
      </c>
      <c r="M2098">
        <f>IF($M$2096="","",$M$2096)</f>
        <v/>
      </c>
      <c r="O2098">
        <f>IF($O$2096="","",$O$2096)</f>
        <v/>
      </c>
      <c r="Q2098" s="4">
        <f>B2098</f>
        <v/>
      </c>
      <c r="R2098" s="4">
        <f>C2098</f>
        <v/>
      </c>
      <c r="S2098" s="4">
        <f>D2098</f>
        <v/>
      </c>
      <c r="T2098" s="4">
        <f>E2098&amp;"/"&amp;E2099</f>
        <v/>
      </c>
      <c r="U2098" s="4">
        <f>F2098&amp;"-"&amp;G2098&amp;"-"&amp;F2098</f>
        <v/>
      </c>
      <c r="V2098" s="4">
        <f>IF($M$2096="","",$M$2096)</f>
        <v/>
      </c>
      <c r="W2098" s="4">
        <f>IF($O$2096="","",$O$2096)</f>
        <v/>
      </c>
      <c r="X2098" s="4">
        <f>J2098</f>
        <v/>
      </c>
    </row>
    <row r="2099">
      <c r="B2099" s="4" t="n">
        <v>2040</v>
      </c>
      <c r="C2099" s="4" t="inlineStr">
        <is>
          <t>23/09/2026</t>
        </is>
      </c>
      <c r="D2099" s="4" t="inlineStr">
        <is>
          <t>miércoles</t>
        </is>
      </c>
      <c r="E2099" s="4" t="n">
        <v>2279</v>
      </c>
      <c r="F2099" s="4" t="inlineStr">
        <is>
          <t>CIX</t>
        </is>
      </c>
      <c r="G2099" s="4" t="inlineStr">
        <is>
          <t>LIM</t>
        </is>
      </c>
      <c r="H2099" s="4" t="inlineStr">
        <is>
          <t>22:15:00</t>
        </is>
      </c>
      <c r="I2099" s="4" t="inlineStr">
        <is>
          <t>23:35:00</t>
        </is>
      </c>
      <c r="J2099" s="4" t="n">
        <v>320</v>
      </c>
      <c r="K2099">
        <f>TEXT(TIMEVALUE(H2099)-TIMEVALUE(I2098)+(TIMEVALUE(H2099)&lt;TIMEVALUE(I2098)),"[h]:mm")</f>
        <v/>
      </c>
      <c r="L2099" s="4" t="inlineStr">
        <is>
          <t>01:20:00</t>
        </is>
      </c>
      <c r="O2099">
        <f>"LIM-"&amp;G2098&amp;"-LIM   LA "&amp;E2098&amp;" ("&amp;LEFT(H2098,5)&amp;"-"&amp;LEFT(I2098,5)&amp;" hrs)  /  LA "&amp;E2099&amp;" ("&amp;LEFT(H2099,5)&amp;"-"&amp;LEFT(I2099,5)&amp;" hrs)"</f>
        <v/>
      </c>
    </row>
    <row r="2100">
      <c r="J2100" s="8" t="inlineStr">
        <is>
          <t>PSV total:</t>
        </is>
      </c>
      <c r="K2100" s="9">
        <f>TEXT(TIMEVALUE(I2099)-TIMEVALUE(H2096)+(I2099&lt;H2096),"[h]:mm")</f>
        <v/>
      </c>
    </row>
    <row r="2102">
      <c r="B2102" s="3" t="inlineStr">
        <is>
          <t>Pairing ID</t>
        </is>
      </c>
      <c r="C2102" s="3" t="inlineStr">
        <is>
          <t>FECHA REAL</t>
        </is>
      </c>
      <c r="D2102" s="3" t="inlineStr">
        <is>
          <t>Day of Week</t>
        </is>
      </c>
      <c r="E2102" s="3" t="inlineStr">
        <is>
          <t>Flight No</t>
        </is>
      </c>
      <c r="F2102" s="3" t="inlineStr">
        <is>
          <t>Dep Stn</t>
        </is>
      </c>
      <c r="G2102" s="3" t="inlineStr">
        <is>
          <t>Arr Stn</t>
        </is>
      </c>
      <c r="H2102" s="3" t="inlineStr">
        <is>
          <t>STD</t>
        </is>
      </c>
      <c r="I2102" s="3" t="inlineStr">
        <is>
          <t>STA</t>
        </is>
      </c>
      <c r="J2102" s="3" t="inlineStr">
        <is>
          <t>subflota</t>
        </is>
      </c>
      <c r="K2102" s="3" t="inlineStr">
        <is>
          <t>Conexion</t>
        </is>
      </c>
      <c r="L2102" s="3" t="inlineStr">
        <is>
          <t>HBT</t>
        </is>
      </c>
    </row>
    <row r="2103">
      <c r="B2103" s="4" t="n">
        <v>2023</v>
      </c>
      <c r="C2103" s="4" t="inlineStr">
        <is>
          <t>23/09/2026</t>
        </is>
      </c>
      <c r="D2103" s="4" t="inlineStr">
        <is>
          <t>miércoles</t>
        </is>
      </c>
      <c r="E2103" s="4" t="n">
        <v>2338</v>
      </c>
      <c r="F2103" s="4" t="inlineStr">
        <is>
          <t>LIM</t>
        </is>
      </c>
      <c r="G2103" s="4" t="inlineStr">
        <is>
          <t>PIU</t>
        </is>
      </c>
      <c r="H2103" s="4" t="inlineStr">
        <is>
          <t>15:00:00</t>
        </is>
      </c>
      <c r="I2103" s="4" t="inlineStr">
        <is>
          <t>16:45:00</t>
        </is>
      </c>
      <c r="J2103" s="4" t="n">
        <v>319</v>
      </c>
      <c r="L2103" s="4" t="inlineStr">
        <is>
          <t>01:45:00</t>
        </is>
      </c>
      <c r="M2103" s="5" t="n"/>
      <c r="N2103" s="6" t="n"/>
      <c r="O2103" s="5" t="n"/>
      <c r="Q2103" s="4">
        <f>B2103</f>
        <v/>
      </c>
      <c r="R2103" s="4">
        <f>C2103</f>
        <v/>
      </c>
      <c r="S2103" s="4">
        <f>D2103</f>
        <v/>
      </c>
      <c r="T2103" s="4">
        <f>E2103&amp;"/"&amp;E2104</f>
        <v/>
      </c>
      <c r="U2103" s="4">
        <f>F2103&amp;"-"&amp;G2103&amp;"-"&amp;F2103</f>
        <v/>
      </c>
      <c r="V2103" s="4">
        <f>IF($M$2103="","",$M$2103)</f>
        <v/>
      </c>
      <c r="W2103" s="4">
        <f>IF($O$2103="","",$O$2103)</f>
        <v/>
      </c>
      <c r="X2103" s="4">
        <f>J2103</f>
        <v/>
      </c>
    </row>
    <row r="2104">
      <c r="B2104" s="4" t="n">
        <v>2023</v>
      </c>
      <c r="C2104" s="4" t="inlineStr">
        <is>
          <t>23/09/2026</t>
        </is>
      </c>
      <c r="D2104" s="4" t="inlineStr">
        <is>
          <t>miércoles</t>
        </is>
      </c>
      <c r="E2104" s="4" t="n">
        <v>2339</v>
      </c>
      <c r="F2104" s="4" t="inlineStr">
        <is>
          <t>PIU</t>
        </is>
      </c>
      <c r="G2104" s="4" t="inlineStr">
        <is>
          <t>LIM</t>
        </is>
      </c>
      <c r="H2104" s="4" t="inlineStr">
        <is>
          <t>17:20:00</t>
        </is>
      </c>
      <c r="I2104" s="4" t="inlineStr">
        <is>
          <t>18:50:00</t>
        </is>
      </c>
      <c r="J2104" s="4" t="n">
        <v>319</v>
      </c>
      <c r="K2104">
        <f>TEXT(TIMEVALUE(H2104)-TIMEVALUE(I2103)+(TIMEVALUE(H2104)&lt;TIMEVALUE(I2103)),"[h]:mm")</f>
        <v/>
      </c>
      <c r="L2104" s="4" t="inlineStr">
        <is>
          <t>01:30:00</t>
        </is>
      </c>
      <c r="O2104">
        <f>"LIM-"&amp;G2103&amp;"-LIM   LA "&amp;E2103&amp;" ("&amp;LEFT(H2103,5)&amp;"-"&amp;LEFT(I2103,5)&amp;" hrs)  /  LA "&amp;E2104&amp;" ("&amp;LEFT(H2104,5)&amp;"-"&amp;LEFT(I2104,5)&amp;" hrs)"</f>
        <v/>
      </c>
    </row>
    <row r="2105">
      <c r="J2105" s="8" t="inlineStr">
        <is>
          <t>PSV total:</t>
        </is>
      </c>
      <c r="K2105" s="9">
        <f>TEXT(TIMEVALUE(I2104)-TIMEVALUE(H2103)+(I2104&lt;H2103),"[h]:mm")</f>
        <v/>
      </c>
    </row>
    <row r="2107">
      <c r="B2107" s="3" t="inlineStr">
        <is>
          <t>Pairing ID</t>
        </is>
      </c>
      <c r="C2107" s="3" t="inlineStr">
        <is>
          <t>FECHA REAL</t>
        </is>
      </c>
      <c r="D2107" s="3" t="inlineStr">
        <is>
          <t>Day of Week</t>
        </is>
      </c>
      <c r="E2107" s="3" t="inlineStr">
        <is>
          <t>Flight No</t>
        </is>
      </c>
      <c r="F2107" s="3" t="inlineStr">
        <is>
          <t>Dep Stn</t>
        </is>
      </c>
      <c r="G2107" s="3" t="inlineStr">
        <is>
          <t>Arr Stn</t>
        </is>
      </c>
      <c r="H2107" s="3" t="inlineStr">
        <is>
          <t>STD</t>
        </is>
      </c>
      <c r="I2107" s="3" t="inlineStr">
        <is>
          <t>STA</t>
        </is>
      </c>
      <c r="J2107" s="3" t="inlineStr">
        <is>
          <t>subflota</t>
        </is>
      </c>
      <c r="K2107" s="3" t="inlineStr">
        <is>
          <t>Conexion</t>
        </is>
      </c>
      <c r="L2107" s="3" t="inlineStr">
        <is>
          <t>HBT</t>
        </is>
      </c>
    </row>
    <row r="2108">
      <c r="B2108" s="4" t="n">
        <v>2024</v>
      </c>
      <c r="C2108" s="4" t="inlineStr">
        <is>
          <t>23/09/2026</t>
        </is>
      </c>
      <c r="D2108" s="4" t="inlineStr">
        <is>
          <t>miércoles</t>
        </is>
      </c>
      <c r="E2108" s="4" t="n">
        <v>2113</v>
      </c>
      <c r="F2108" s="4" t="inlineStr">
        <is>
          <t>LIM</t>
        </is>
      </c>
      <c r="G2108" s="4" t="inlineStr">
        <is>
          <t>AQP</t>
        </is>
      </c>
      <c r="H2108" s="4" t="inlineStr">
        <is>
          <t>15:05:00</t>
        </is>
      </c>
      <c r="I2108" s="4" t="inlineStr">
        <is>
          <t>16:35:00</t>
        </is>
      </c>
      <c r="J2108" s="4" t="n">
        <v>319</v>
      </c>
      <c r="L2108" s="4" t="inlineStr">
        <is>
          <t>01:30:00</t>
        </is>
      </c>
      <c r="M2108" s="5" t="n"/>
      <c r="N2108" s="6" t="n"/>
      <c r="O2108" s="5" t="n"/>
      <c r="Q2108" s="4">
        <f>B2108</f>
        <v/>
      </c>
      <c r="R2108" s="4">
        <f>C2108</f>
        <v/>
      </c>
      <c r="S2108" s="4">
        <f>D2108</f>
        <v/>
      </c>
      <c r="T2108" s="4">
        <f>E2108&amp;"/"&amp;E2109</f>
        <v/>
      </c>
      <c r="U2108" s="4">
        <f>F2108&amp;"-"&amp;G2108&amp;"-"&amp;F2108</f>
        <v/>
      </c>
      <c r="V2108" s="4">
        <f>IF($M$2108="","",$M$2108)</f>
        <v/>
      </c>
      <c r="W2108" s="4">
        <f>IF($O$2108="","",$O$2108)</f>
        <v/>
      </c>
      <c r="X2108" s="4">
        <f>J2108</f>
        <v/>
      </c>
    </row>
    <row r="2109">
      <c r="B2109" s="4" t="n">
        <v>2024</v>
      </c>
      <c r="C2109" s="4" t="inlineStr">
        <is>
          <t>23/09/2026</t>
        </is>
      </c>
      <c r="D2109" s="4" t="inlineStr">
        <is>
          <t>miércoles</t>
        </is>
      </c>
      <c r="E2109" s="4" t="n">
        <v>2112</v>
      </c>
      <c r="F2109" s="4" t="inlineStr">
        <is>
          <t>AQP</t>
        </is>
      </c>
      <c r="G2109" s="4" t="inlineStr">
        <is>
          <t>LIM</t>
        </is>
      </c>
      <c r="H2109" s="4" t="inlineStr">
        <is>
          <t>17:15:00</t>
        </is>
      </c>
      <c r="I2109" s="4" t="inlineStr">
        <is>
          <t>18:55:00</t>
        </is>
      </c>
      <c r="J2109" s="4" t="n">
        <v>319</v>
      </c>
      <c r="K2109">
        <f>TEXT(TIMEVALUE(H2109)-TIMEVALUE(I2108)+(TIMEVALUE(H2109)&lt;TIMEVALUE(I2108)),"[h]:mm")</f>
        <v/>
      </c>
      <c r="L2109" s="4" t="inlineStr">
        <is>
          <t>01:40:00</t>
        </is>
      </c>
      <c r="O2109">
        <f>"LIM-"&amp;G2108&amp;"-LIM   LA "&amp;E2108&amp;" ("&amp;LEFT(H2108,5)&amp;"-"&amp;LEFT(I2108,5)&amp;" hrs)  /  LA "&amp;E2109&amp;" ("&amp;LEFT(H2109,5)&amp;"-"&amp;LEFT(I2109,5)&amp;" hrs)"</f>
        <v/>
      </c>
    </row>
    <row r="2110">
      <c r="J2110" s="8" t="inlineStr">
        <is>
          <t>PSV total:</t>
        </is>
      </c>
      <c r="K2110" s="9">
        <f>TEXT(TIMEVALUE(I2109)-TIMEVALUE(H2108)+(I2109&lt;H2108),"[h]:mm")</f>
        <v/>
      </c>
    </row>
    <row r="2112">
      <c r="B2112" s="3" t="inlineStr">
        <is>
          <t>Pairing ID</t>
        </is>
      </c>
      <c r="C2112" s="3" t="inlineStr">
        <is>
          <t>FECHA REAL</t>
        </is>
      </c>
      <c r="D2112" s="3" t="inlineStr">
        <is>
          <t>Day of Week</t>
        </is>
      </c>
      <c r="E2112" s="3" t="inlineStr">
        <is>
          <t>Flight No</t>
        </is>
      </c>
      <c r="F2112" s="3" t="inlineStr">
        <is>
          <t>Dep Stn</t>
        </is>
      </c>
      <c r="G2112" s="3" t="inlineStr">
        <is>
          <t>Arr Stn</t>
        </is>
      </c>
      <c r="H2112" s="3" t="inlineStr">
        <is>
          <t>STD</t>
        </is>
      </c>
      <c r="I2112" s="3" t="inlineStr">
        <is>
          <t>STA</t>
        </is>
      </c>
      <c r="J2112" s="3" t="inlineStr">
        <is>
          <t>subflota</t>
        </is>
      </c>
      <c r="K2112" s="3" t="inlineStr">
        <is>
          <t>Conexion</t>
        </is>
      </c>
      <c r="L2112" s="3" t="inlineStr">
        <is>
          <t>HBT</t>
        </is>
      </c>
    </row>
    <row r="2113">
      <c r="B2113" s="4" t="n">
        <v>2027</v>
      </c>
      <c r="C2113" s="4" t="inlineStr">
        <is>
          <t>23/09/2026</t>
        </is>
      </c>
      <c r="D2113" s="4" t="inlineStr">
        <is>
          <t>miércoles</t>
        </is>
      </c>
      <c r="E2113" s="4" t="n">
        <v>2297</v>
      </c>
      <c r="F2113" s="4" t="inlineStr">
        <is>
          <t>LIM</t>
        </is>
      </c>
      <c r="G2113" s="4" t="inlineStr">
        <is>
          <t>CJA</t>
        </is>
      </c>
      <c r="H2113" s="4" t="inlineStr">
        <is>
          <t>15:15:00</t>
        </is>
      </c>
      <c r="I2113" s="4" t="inlineStr">
        <is>
          <t>16:35:00</t>
        </is>
      </c>
      <c r="J2113" s="4" t="n">
        <v>319</v>
      </c>
      <c r="L2113" s="4" t="inlineStr">
        <is>
          <t>01:20:00</t>
        </is>
      </c>
      <c r="M2113" s="5" t="n"/>
      <c r="N2113" s="6" t="n"/>
      <c r="O2113" s="5" t="n"/>
      <c r="Q2113" s="4">
        <f>B2113</f>
        <v/>
      </c>
      <c r="R2113" s="4">
        <f>C2113</f>
        <v/>
      </c>
      <c r="S2113" s="4">
        <f>D2113</f>
        <v/>
      </c>
      <c r="T2113" s="4">
        <f>E2113&amp;"/"&amp;E2114</f>
        <v/>
      </c>
      <c r="U2113" s="4">
        <f>F2113&amp;"-"&amp;G2113&amp;"-"&amp;F2113</f>
        <v/>
      </c>
      <c r="V2113" s="4">
        <f>IF($M$2113="","",$M$2113)</f>
        <v/>
      </c>
      <c r="W2113" s="4">
        <f>IF($O$2113="","",$O$2113)</f>
        <v/>
      </c>
      <c r="X2113" s="4">
        <f>J2113</f>
        <v/>
      </c>
    </row>
    <row r="2114">
      <c r="B2114" s="4" t="n">
        <v>2027</v>
      </c>
      <c r="C2114" s="4" t="inlineStr">
        <is>
          <t>23/09/2026</t>
        </is>
      </c>
      <c r="D2114" s="4" t="inlineStr">
        <is>
          <t>miércoles</t>
        </is>
      </c>
      <c r="E2114" s="4" t="n">
        <v>2296</v>
      </c>
      <c r="F2114" s="4" t="inlineStr">
        <is>
          <t>CJA</t>
        </is>
      </c>
      <c r="G2114" s="4" t="inlineStr">
        <is>
          <t>LIM</t>
        </is>
      </c>
      <c r="H2114" s="4" t="inlineStr">
        <is>
          <t>17:20:00</t>
        </is>
      </c>
      <c r="I2114" s="4" t="inlineStr">
        <is>
          <t>18:25:00</t>
        </is>
      </c>
      <c r="J2114" s="4" t="n">
        <v>319</v>
      </c>
      <c r="K2114">
        <f>TEXT(TIMEVALUE(H2114)-TIMEVALUE(I2113)+(TIMEVALUE(H2114)&lt;TIMEVALUE(I2113)),"[h]:mm")</f>
        <v/>
      </c>
      <c r="L2114" s="4" t="inlineStr">
        <is>
          <t>01:05:00</t>
        </is>
      </c>
      <c r="O2114">
        <f>"LIM-"&amp;G2113&amp;"-LIM   LA "&amp;E2113&amp;" ("&amp;LEFT(H2113,5)&amp;"-"&amp;LEFT(I2113,5)&amp;" hrs)  /  LA "&amp;E2114&amp;" ("&amp;LEFT(H2114,5)&amp;"-"&amp;LEFT(I2114,5)&amp;" hrs)"</f>
        <v/>
      </c>
    </row>
    <row r="2115">
      <c r="J2115" s="8" t="inlineStr">
        <is>
          <t>PSV total:</t>
        </is>
      </c>
      <c r="K2115" s="9">
        <f>TEXT(TIMEVALUE(I2114)-TIMEVALUE(H2113)+(I2114&lt;H2113),"[h]:mm")</f>
        <v/>
      </c>
    </row>
    <row r="2117">
      <c r="B2117" s="3" t="inlineStr">
        <is>
          <t>Pairing ID</t>
        </is>
      </c>
      <c r="C2117" s="3" t="inlineStr">
        <is>
          <t>FECHA REAL</t>
        </is>
      </c>
      <c r="D2117" s="3" t="inlineStr">
        <is>
          <t>Day of Week</t>
        </is>
      </c>
      <c r="E2117" s="3" t="inlineStr">
        <is>
          <t>Flight No</t>
        </is>
      </c>
      <c r="F2117" s="3" t="inlineStr">
        <is>
          <t>Dep Stn</t>
        </is>
      </c>
      <c r="G2117" s="3" t="inlineStr">
        <is>
          <t>Arr Stn</t>
        </is>
      </c>
      <c r="H2117" s="3" t="inlineStr">
        <is>
          <t>STD</t>
        </is>
      </c>
      <c r="I2117" s="3" t="inlineStr">
        <is>
          <t>STA</t>
        </is>
      </c>
      <c r="J2117" s="3" t="inlineStr">
        <is>
          <t>subflota</t>
        </is>
      </c>
      <c r="K2117" s="3" t="inlineStr">
        <is>
          <t>Conexion</t>
        </is>
      </c>
      <c r="L2117" s="3" t="inlineStr">
        <is>
          <t>HBT</t>
        </is>
      </c>
    </row>
    <row r="2118">
      <c r="B2118" s="4" t="n">
        <v>2028</v>
      </c>
      <c r="C2118" s="4" t="inlineStr">
        <is>
          <t>23/09/2026</t>
        </is>
      </c>
      <c r="D2118" s="4" t="inlineStr">
        <is>
          <t>miércoles</t>
        </is>
      </c>
      <c r="E2118" s="4" t="n">
        <v>2360</v>
      </c>
      <c r="F2118" s="4" t="inlineStr">
        <is>
          <t>LIM</t>
        </is>
      </c>
      <c r="G2118" s="4" t="inlineStr">
        <is>
          <t>PCL</t>
        </is>
      </c>
      <c r="H2118" s="4" t="inlineStr">
        <is>
          <t>15:25:00</t>
        </is>
      </c>
      <c r="I2118" s="4" t="inlineStr">
        <is>
          <t>16:40:00</t>
        </is>
      </c>
      <c r="J2118" s="4" t="n">
        <v>320</v>
      </c>
      <c r="L2118" s="4" t="inlineStr">
        <is>
          <t>01:15:00</t>
        </is>
      </c>
      <c r="M2118" s="5" t="n"/>
      <c r="N2118" s="6" t="n"/>
      <c r="O2118" s="5" t="n"/>
      <c r="Q2118" s="4">
        <f>B2118</f>
        <v/>
      </c>
      <c r="R2118" s="4">
        <f>C2118</f>
        <v/>
      </c>
      <c r="S2118" s="4">
        <f>D2118</f>
        <v/>
      </c>
      <c r="T2118" s="4">
        <f>E2118&amp;"/"&amp;E2119</f>
        <v/>
      </c>
      <c r="U2118" s="4">
        <f>F2118&amp;"-"&amp;G2118&amp;"-"&amp;F2118</f>
        <v/>
      </c>
      <c r="V2118" s="4">
        <f>IF($M$2118="","",$M$2118)</f>
        <v/>
      </c>
      <c r="W2118" s="4">
        <f>IF($O$2118="","",$O$2118)</f>
        <v/>
      </c>
      <c r="X2118" s="4">
        <f>J2118</f>
        <v/>
      </c>
    </row>
    <row r="2119">
      <c r="B2119" s="4" t="n">
        <v>2028</v>
      </c>
      <c r="C2119" s="4" t="inlineStr">
        <is>
          <t>23/09/2026</t>
        </is>
      </c>
      <c r="D2119" s="4" t="inlineStr">
        <is>
          <t>miércoles</t>
        </is>
      </c>
      <c r="E2119" s="4" t="n">
        <v>2361</v>
      </c>
      <c r="F2119" s="4" t="inlineStr">
        <is>
          <t>PCL</t>
        </is>
      </c>
      <c r="G2119" s="4" t="inlineStr">
        <is>
          <t>LIM</t>
        </is>
      </c>
      <c r="H2119" s="4" t="inlineStr">
        <is>
          <t>17:20:00</t>
        </is>
      </c>
      <c r="I2119" s="4" t="inlineStr">
        <is>
          <t>18:35:00</t>
        </is>
      </c>
      <c r="J2119" s="4" t="n">
        <v>320</v>
      </c>
      <c r="K2119">
        <f>TEXT(TIMEVALUE(H2119)-TIMEVALUE(I2118)+(TIMEVALUE(H2119)&lt;TIMEVALUE(I2118)),"[h]:mm")</f>
        <v/>
      </c>
      <c r="L2119" s="4" t="inlineStr">
        <is>
          <t>01:15:00</t>
        </is>
      </c>
      <c r="O2119">
        <f>"LIM-"&amp;G2118&amp;"-LIM   LA "&amp;E2118&amp;" ("&amp;LEFT(H2118,5)&amp;"-"&amp;LEFT(I2118,5)&amp;" hrs)  /  LA "&amp;E2119&amp;" ("&amp;LEFT(H2119,5)&amp;"-"&amp;LEFT(I2119,5)&amp;" hrs)"</f>
        <v/>
      </c>
    </row>
    <row r="2120">
      <c r="J2120" s="8" t="inlineStr">
        <is>
          <t>PSV total:</t>
        </is>
      </c>
      <c r="K2120" s="9">
        <f>TEXT(TIMEVALUE(I2119)-TIMEVALUE(H2118)+(I2119&lt;H2118),"[h]:mm")</f>
        <v/>
      </c>
    </row>
    <row r="2122">
      <c r="B2122" s="3" t="inlineStr">
        <is>
          <t>Pairing ID</t>
        </is>
      </c>
      <c r="C2122" s="3" t="inlineStr">
        <is>
          <t>FECHA REAL</t>
        </is>
      </c>
      <c r="D2122" s="3" t="inlineStr">
        <is>
          <t>Day of Week</t>
        </is>
      </c>
      <c r="E2122" s="3" t="inlineStr">
        <is>
          <t>Flight No</t>
        </is>
      </c>
      <c r="F2122" s="3" t="inlineStr">
        <is>
          <t>Dep Stn</t>
        </is>
      </c>
      <c r="G2122" s="3" t="inlineStr">
        <is>
          <t>Arr Stn</t>
        </is>
      </c>
      <c r="H2122" s="3" t="inlineStr">
        <is>
          <t>STD</t>
        </is>
      </c>
      <c r="I2122" s="3" t="inlineStr">
        <is>
          <t>STA</t>
        </is>
      </c>
      <c r="J2122" s="3" t="inlineStr">
        <is>
          <t>subflota</t>
        </is>
      </c>
      <c r="K2122" s="3" t="inlineStr">
        <is>
          <t>Conexion</t>
        </is>
      </c>
      <c r="L2122" s="3" t="inlineStr">
        <is>
          <t>HBT</t>
        </is>
      </c>
    </row>
    <row r="2123">
      <c r="B2123" s="4" t="n">
        <v>2029</v>
      </c>
      <c r="C2123" s="4" t="inlineStr">
        <is>
          <t>23/09/2026</t>
        </is>
      </c>
      <c r="D2123" s="4" t="inlineStr">
        <is>
          <t>miércoles</t>
        </is>
      </c>
      <c r="E2123" s="4" t="n">
        <v>2312</v>
      </c>
      <c r="F2123" s="4" t="inlineStr">
        <is>
          <t>LIM</t>
        </is>
      </c>
      <c r="G2123" s="4" t="inlineStr">
        <is>
          <t>CIX</t>
        </is>
      </c>
      <c r="H2123" s="4" t="inlineStr">
        <is>
          <t>15:35:00</t>
        </is>
      </c>
      <c r="I2123" s="4" t="inlineStr">
        <is>
          <t>17:05:00</t>
        </is>
      </c>
      <c r="J2123" s="4" t="n">
        <v>320</v>
      </c>
      <c r="L2123" s="4" t="inlineStr">
        <is>
          <t>01:30:00</t>
        </is>
      </c>
      <c r="M2123" s="5" t="n"/>
      <c r="N2123" s="6" t="n"/>
      <c r="O2123" s="5" t="n"/>
      <c r="Q2123" s="4">
        <f>B2123</f>
        <v/>
      </c>
      <c r="R2123" s="4">
        <f>C2123</f>
        <v/>
      </c>
      <c r="S2123" s="4">
        <f>D2123</f>
        <v/>
      </c>
      <c r="T2123" s="4">
        <f>E2123&amp;"/"&amp;E2124</f>
        <v/>
      </c>
      <c r="U2123" s="4">
        <f>F2123&amp;"-"&amp;G2123&amp;"-"&amp;F2123</f>
        <v/>
      </c>
      <c r="V2123" s="4">
        <f>IF($M$2123="","",$M$2123)</f>
        <v/>
      </c>
      <c r="W2123" s="4">
        <f>IF($O$2123="","",$O$2123)</f>
        <v/>
      </c>
      <c r="X2123" s="4">
        <f>J2123</f>
        <v/>
      </c>
    </row>
    <row r="2124">
      <c r="B2124" s="4" t="n">
        <v>2029</v>
      </c>
      <c r="C2124" s="4" t="inlineStr">
        <is>
          <t>23/09/2026</t>
        </is>
      </c>
      <c r="D2124" s="4" t="inlineStr">
        <is>
          <t>miércoles</t>
        </is>
      </c>
      <c r="E2124" s="4" t="n">
        <v>2313</v>
      </c>
      <c r="F2124" s="4" t="inlineStr">
        <is>
          <t>CIX</t>
        </is>
      </c>
      <c r="G2124" s="4" t="inlineStr">
        <is>
          <t>LIM</t>
        </is>
      </c>
      <c r="H2124" s="4" t="inlineStr">
        <is>
          <t>17:50:00</t>
        </is>
      </c>
      <c r="I2124" s="4" t="inlineStr">
        <is>
          <t>19:10:00</t>
        </is>
      </c>
      <c r="J2124" s="4" t="n">
        <v>320</v>
      </c>
      <c r="K2124">
        <f>TEXT(TIMEVALUE(H2124)-TIMEVALUE(I2123)+(TIMEVALUE(H2124)&lt;TIMEVALUE(I2123)),"[h]:mm")</f>
        <v/>
      </c>
      <c r="L2124" s="4" t="inlineStr">
        <is>
          <t>01:20:00</t>
        </is>
      </c>
      <c r="O2124">
        <f>"LIM-"&amp;G2123&amp;"-LIM   LA "&amp;E2123&amp;" ("&amp;LEFT(H2123,5)&amp;"-"&amp;LEFT(I2123,5)&amp;" hrs)  /  LA "&amp;E2124&amp;" ("&amp;LEFT(H2124,5)&amp;"-"&amp;LEFT(I2124,5)&amp;" hrs)"</f>
        <v/>
      </c>
    </row>
    <row r="2125">
      <c r="J2125" s="8" t="inlineStr">
        <is>
          <t>PSV total:</t>
        </is>
      </c>
      <c r="K2125" s="9">
        <f>TEXT(TIMEVALUE(I2124)-TIMEVALUE(H2123)+(I2124&lt;H2123),"[h]:mm")</f>
        <v/>
      </c>
    </row>
    <row r="2127">
      <c r="B2127" s="3" t="inlineStr">
        <is>
          <t>Pairing ID</t>
        </is>
      </c>
      <c r="C2127" s="3" t="inlineStr">
        <is>
          <t>FECHA REAL</t>
        </is>
      </c>
      <c r="D2127" s="3" t="inlineStr">
        <is>
          <t>Day of Week</t>
        </is>
      </c>
      <c r="E2127" s="3" t="inlineStr">
        <is>
          <t>Flight No</t>
        </is>
      </c>
      <c r="F2127" s="3" t="inlineStr">
        <is>
          <t>Dep Stn</t>
        </is>
      </c>
      <c r="G2127" s="3" t="inlineStr">
        <is>
          <t>Arr Stn</t>
        </is>
      </c>
      <c r="H2127" s="3" t="inlineStr">
        <is>
          <t>STD</t>
        </is>
      </c>
      <c r="I2127" s="3" t="inlineStr">
        <is>
          <t>STA</t>
        </is>
      </c>
      <c r="J2127" s="3" t="inlineStr">
        <is>
          <t>subflota</t>
        </is>
      </c>
      <c r="K2127" s="3" t="inlineStr">
        <is>
          <t>Conexion</t>
        </is>
      </c>
      <c r="L2127" s="3" t="inlineStr">
        <is>
          <t>HBT</t>
        </is>
      </c>
    </row>
    <row r="2128">
      <c r="B2128" s="4" t="n">
        <v>2031</v>
      </c>
      <c r="C2128" s="4" t="inlineStr">
        <is>
          <t>23/09/2026</t>
        </is>
      </c>
      <c r="D2128" s="4" t="inlineStr">
        <is>
          <t>miércoles</t>
        </is>
      </c>
      <c r="E2128" s="4" t="n">
        <v>2301</v>
      </c>
      <c r="F2128" s="4" t="inlineStr">
        <is>
          <t>LIM</t>
        </is>
      </c>
      <c r="G2128" s="4" t="inlineStr">
        <is>
          <t>TPP</t>
        </is>
      </c>
      <c r="H2128" s="4" t="inlineStr">
        <is>
          <t>15:40:00</t>
        </is>
      </c>
      <c r="I2128" s="4" t="inlineStr">
        <is>
          <t>17:05:00</t>
        </is>
      </c>
      <c r="J2128" s="4" t="n">
        <v>320</v>
      </c>
      <c r="L2128" s="4" t="inlineStr">
        <is>
          <t>01:25:00</t>
        </is>
      </c>
      <c r="M2128" s="5" t="n"/>
      <c r="N2128" s="6" t="n"/>
      <c r="O2128" s="5" t="n"/>
      <c r="Q2128" s="4">
        <f>B2128</f>
        <v/>
      </c>
      <c r="R2128" s="4">
        <f>C2128</f>
        <v/>
      </c>
      <c r="S2128" s="4">
        <f>D2128</f>
        <v/>
      </c>
      <c r="T2128" s="4">
        <f>E2128&amp;"/"&amp;E2129</f>
        <v/>
      </c>
      <c r="U2128" s="4">
        <f>F2128&amp;"-"&amp;G2128&amp;"-"&amp;F2128</f>
        <v/>
      </c>
      <c r="V2128" s="4">
        <f>IF($M$2128="","",$M$2128)</f>
        <v/>
      </c>
      <c r="W2128" s="4">
        <f>IF($O$2128="","",$O$2128)</f>
        <v/>
      </c>
      <c r="X2128" s="4">
        <f>J2128</f>
        <v/>
      </c>
    </row>
    <row r="2129">
      <c r="B2129" s="4" t="n">
        <v>2031</v>
      </c>
      <c r="C2129" s="4" t="inlineStr">
        <is>
          <t>23/09/2026</t>
        </is>
      </c>
      <c r="D2129" s="4" t="inlineStr">
        <is>
          <t>miércoles</t>
        </is>
      </c>
      <c r="E2129" s="4" t="n">
        <v>2300</v>
      </c>
      <c r="F2129" s="4" t="inlineStr">
        <is>
          <t>TPP</t>
        </is>
      </c>
      <c r="G2129" s="4" t="inlineStr">
        <is>
          <t>LIM</t>
        </is>
      </c>
      <c r="H2129" s="4" t="inlineStr">
        <is>
          <t>17:50:00</t>
        </is>
      </c>
      <c r="I2129" s="4" t="inlineStr">
        <is>
          <t>19:20:00</t>
        </is>
      </c>
      <c r="J2129" s="4" t="n">
        <v>320</v>
      </c>
      <c r="K2129">
        <f>TEXT(TIMEVALUE(H2129)-TIMEVALUE(I2128)+(TIMEVALUE(H2129)&lt;TIMEVALUE(I2128)),"[h]:mm")</f>
        <v/>
      </c>
      <c r="L2129" s="4" t="inlineStr">
        <is>
          <t>01:30:00</t>
        </is>
      </c>
      <c r="O2129">
        <f>"LIM-"&amp;G2128&amp;"-LIM   LA "&amp;E2128&amp;" ("&amp;LEFT(H2128,5)&amp;"-"&amp;LEFT(I2128,5)&amp;" hrs)  /  LA "&amp;E2129&amp;" ("&amp;LEFT(H2129,5)&amp;"-"&amp;LEFT(I2129,5)&amp;" hrs)"</f>
        <v/>
      </c>
    </row>
    <row r="2130">
      <c r="J2130" s="8" t="inlineStr">
        <is>
          <t>PSV total:</t>
        </is>
      </c>
      <c r="K2130" s="9">
        <f>TEXT(TIMEVALUE(I2129)-TIMEVALUE(H2128)+(I2129&lt;H2128),"[h]:mm")</f>
        <v/>
      </c>
    </row>
    <row r="2132">
      <c r="B2132" s="3" t="inlineStr">
        <is>
          <t>Pairing ID</t>
        </is>
      </c>
      <c r="C2132" s="3" t="inlineStr">
        <is>
          <t>FECHA REAL</t>
        </is>
      </c>
      <c r="D2132" s="3" t="inlineStr">
        <is>
          <t>Day of Week</t>
        </is>
      </c>
      <c r="E2132" s="3" t="inlineStr">
        <is>
          <t>Flight No</t>
        </is>
      </c>
      <c r="F2132" s="3" t="inlineStr">
        <is>
          <t>Dep Stn</t>
        </is>
      </c>
      <c r="G2132" s="3" t="inlineStr">
        <is>
          <t>Arr Stn</t>
        </is>
      </c>
      <c r="H2132" s="3" t="inlineStr">
        <is>
          <t>STD</t>
        </is>
      </c>
      <c r="I2132" s="3" t="inlineStr">
        <is>
          <t>STA</t>
        </is>
      </c>
      <c r="J2132" s="3" t="inlineStr">
        <is>
          <t>subflota</t>
        </is>
      </c>
      <c r="K2132" s="3" t="inlineStr">
        <is>
          <t>Conexion</t>
        </is>
      </c>
      <c r="L2132" s="3" t="inlineStr">
        <is>
          <t>HBT</t>
        </is>
      </c>
    </row>
    <row r="2133">
      <c r="B2133" s="4" t="n">
        <v>2035</v>
      </c>
      <c r="C2133" s="4" t="inlineStr">
        <is>
          <t>23/09/2026</t>
        </is>
      </c>
      <c r="D2133" s="4" t="inlineStr">
        <is>
          <t>miércoles</t>
        </is>
      </c>
      <c r="E2133" s="4" t="n">
        <v>2276</v>
      </c>
      <c r="F2133" s="4" t="inlineStr">
        <is>
          <t>LIM</t>
        </is>
      </c>
      <c r="G2133" s="4" t="inlineStr">
        <is>
          <t>CUZ</t>
        </is>
      </c>
      <c r="H2133" s="4" t="inlineStr">
        <is>
          <t>16:35:00</t>
        </is>
      </c>
      <c r="I2133" s="4" t="inlineStr">
        <is>
          <t>17:55:00</t>
        </is>
      </c>
      <c r="J2133" s="4" t="n">
        <v>320</v>
      </c>
      <c r="L2133" s="4" t="inlineStr">
        <is>
          <t>01:20:00</t>
        </is>
      </c>
      <c r="M2133" s="5" t="n"/>
      <c r="N2133" s="6" t="n"/>
      <c r="O2133" s="5" t="n"/>
      <c r="Q2133" s="4">
        <f>B2133</f>
        <v/>
      </c>
      <c r="R2133" s="4">
        <f>C2133</f>
        <v/>
      </c>
      <c r="S2133" s="4">
        <f>D2133</f>
        <v/>
      </c>
      <c r="T2133" s="4">
        <f>E2133&amp;"/"&amp;E2134</f>
        <v/>
      </c>
      <c r="U2133" s="4">
        <f>F2133&amp;"-"&amp;G2133&amp;"-"&amp;F2133</f>
        <v/>
      </c>
      <c r="V2133" s="4">
        <f>IF($M$2133="","",$M$2133)</f>
        <v/>
      </c>
      <c r="W2133" s="4">
        <f>IF($O$2133="","",$O$2133)</f>
        <v/>
      </c>
      <c r="X2133" s="4">
        <f>J2133</f>
        <v/>
      </c>
    </row>
    <row r="2134">
      <c r="B2134" s="4" t="n">
        <v>2035</v>
      </c>
      <c r="C2134" s="4" t="inlineStr">
        <is>
          <t>23/09/2026</t>
        </is>
      </c>
      <c r="D2134" s="4" t="inlineStr">
        <is>
          <t>miércoles</t>
        </is>
      </c>
      <c r="E2134" s="4" t="n">
        <v>2277</v>
      </c>
      <c r="F2134" s="4" t="inlineStr">
        <is>
          <t>CUZ</t>
        </is>
      </c>
      <c r="G2134" s="4" t="inlineStr">
        <is>
          <t>LIM</t>
        </is>
      </c>
      <c r="H2134" s="4" t="inlineStr">
        <is>
          <t>18:50:00</t>
        </is>
      </c>
      <c r="I2134" s="4" t="inlineStr">
        <is>
          <t>20:25:00</t>
        </is>
      </c>
      <c r="J2134" s="4" t="n">
        <v>320</v>
      </c>
      <c r="K2134">
        <f>TEXT(TIMEVALUE(H2134)-TIMEVALUE(I2133)+(TIMEVALUE(H2134)&lt;TIMEVALUE(I2133)),"[h]:mm")</f>
        <v/>
      </c>
      <c r="L2134" s="4" t="inlineStr">
        <is>
          <t>01:35:00</t>
        </is>
      </c>
      <c r="O2134">
        <f>"LIM-"&amp;G2133&amp;"-LIM   LA "&amp;E2133&amp;" ("&amp;LEFT(H2133,5)&amp;"-"&amp;LEFT(I2133,5)&amp;" hrs)  /  LA "&amp;E2134&amp;" ("&amp;LEFT(H2134,5)&amp;"-"&amp;LEFT(I2134,5)&amp;" hrs)"</f>
        <v/>
      </c>
    </row>
    <row r="2135">
      <c r="J2135" s="8" t="inlineStr">
        <is>
          <t>PSV total:</t>
        </is>
      </c>
      <c r="K2135" s="9">
        <f>TEXT(TIMEVALUE(I2134)-TIMEVALUE(H2133)+(I2134&lt;H2133),"[h]:mm")</f>
        <v/>
      </c>
    </row>
    <row r="2137">
      <c r="B2137" s="3" t="inlineStr">
        <is>
          <t>Pairing ID</t>
        </is>
      </c>
      <c r="C2137" s="3" t="inlineStr">
        <is>
          <t>FECHA REAL</t>
        </is>
      </c>
      <c r="D2137" s="3" t="inlineStr">
        <is>
          <t>Day of Week</t>
        </is>
      </c>
      <c r="E2137" s="3" t="inlineStr">
        <is>
          <t>Flight No</t>
        </is>
      </c>
      <c r="F2137" s="3" t="inlineStr">
        <is>
          <t>Dep Stn</t>
        </is>
      </c>
      <c r="G2137" s="3" t="inlineStr">
        <is>
          <t>Arr Stn</t>
        </is>
      </c>
      <c r="H2137" s="3" t="inlineStr">
        <is>
          <t>STD</t>
        </is>
      </c>
      <c r="I2137" s="3" t="inlineStr">
        <is>
          <t>STA</t>
        </is>
      </c>
      <c r="J2137" s="3" t="inlineStr">
        <is>
          <t>subflota</t>
        </is>
      </c>
      <c r="K2137" s="3" t="inlineStr">
        <is>
          <t>Conexion</t>
        </is>
      </c>
      <c r="L2137" s="3" t="inlineStr">
        <is>
          <t>HBT</t>
        </is>
      </c>
    </row>
    <row r="2138">
      <c r="B2138" s="4" t="n">
        <v>2081</v>
      </c>
      <c r="C2138" s="4" t="inlineStr">
        <is>
          <t>24/09/2026</t>
        </is>
      </c>
      <c r="D2138" s="4" t="inlineStr">
        <is>
          <t>jueves</t>
        </is>
      </c>
      <c r="E2138" s="4" t="n">
        <v>2013</v>
      </c>
      <c r="F2138" s="4" t="inlineStr">
        <is>
          <t>LIM</t>
        </is>
      </c>
      <c r="G2138" s="4" t="inlineStr">
        <is>
          <t>CUZ</t>
        </is>
      </c>
      <c r="H2138" s="4" t="inlineStr">
        <is>
          <t>08:35:00</t>
        </is>
      </c>
      <c r="I2138" s="4" t="inlineStr">
        <is>
          <t>09:55:00</t>
        </is>
      </c>
      <c r="J2138" s="4" t="n">
        <v>320</v>
      </c>
      <c r="L2138" s="4" t="inlineStr">
        <is>
          <t>01:20:00</t>
        </is>
      </c>
      <c r="M2138" s="5" t="n"/>
      <c r="N2138" s="6" t="n"/>
      <c r="O2138" s="5" t="n"/>
      <c r="Q2138" s="4">
        <f>B2138</f>
        <v/>
      </c>
      <c r="R2138" s="4">
        <f>C2138</f>
        <v/>
      </c>
      <c r="S2138" s="4">
        <f>D2138</f>
        <v/>
      </c>
      <c r="T2138" s="4">
        <f>E2138&amp;"/"&amp;E2139</f>
        <v/>
      </c>
      <c r="U2138" s="4">
        <f>F2138&amp;"-"&amp;G2138&amp;"-"&amp;F2138</f>
        <v/>
      </c>
      <c r="V2138" s="4">
        <f>IF($M$2138="","",$M$2138)</f>
        <v/>
      </c>
      <c r="W2138" s="4">
        <f>IF($O$2138="","",$O$2138)</f>
        <v/>
      </c>
      <c r="X2138" s="4">
        <f>J2138</f>
        <v/>
      </c>
    </row>
    <row r="2139">
      <c r="B2139" s="4" t="n">
        <v>2081</v>
      </c>
      <c r="C2139" s="4" t="inlineStr">
        <is>
          <t>24/09/2026</t>
        </is>
      </c>
      <c r="D2139" s="4" t="inlineStr">
        <is>
          <t>jueves</t>
        </is>
      </c>
      <c r="E2139" s="4" t="n">
        <v>2014</v>
      </c>
      <c r="F2139" s="4" t="inlineStr">
        <is>
          <t>CUZ</t>
        </is>
      </c>
      <c r="G2139" s="4" t="inlineStr">
        <is>
          <t>LIM</t>
        </is>
      </c>
      <c r="H2139" s="4" t="inlineStr">
        <is>
          <t>10:40:00</t>
        </is>
      </c>
      <c r="I2139" s="4" t="inlineStr">
        <is>
          <t>12:15:00</t>
        </is>
      </c>
      <c r="J2139" s="4" t="n">
        <v>320</v>
      </c>
      <c r="K2139">
        <f>TEXT(TIMEVALUE(H2139)-TIMEVALUE(I2138)+(TIMEVALUE(H2139)&lt;TIMEVALUE(I2138)),"[h]:mm")</f>
        <v/>
      </c>
      <c r="L2139" s="4" t="inlineStr">
        <is>
          <t>01:35:00</t>
        </is>
      </c>
      <c r="O2139">
        <f>"LIM-"&amp;G2138&amp;"-LIM   LA "&amp;E2138&amp;" ("&amp;LEFT(H2138,5)&amp;"-"&amp;LEFT(I2138,5)&amp;" hrs)  /  LA "&amp;E2139&amp;" ("&amp;LEFT(H2139,5)&amp;"-"&amp;LEFT(I2139,5)&amp;" hrs)"</f>
        <v/>
      </c>
    </row>
    <row r="2140">
      <c r="B2140" s="4" t="n">
        <v>2101</v>
      </c>
      <c r="C2140" s="4" t="inlineStr">
        <is>
          <t>24/09/2026</t>
        </is>
      </c>
      <c r="D2140" s="4" t="inlineStr">
        <is>
          <t>jueves</t>
        </is>
      </c>
      <c r="E2140" s="4" t="n">
        <v>2234</v>
      </c>
      <c r="F2140" s="4" t="inlineStr">
        <is>
          <t>LIM</t>
        </is>
      </c>
      <c r="G2140" s="4" t="inlineStr">
        <is>
          <t>IQT</t>
        </is>
      </c>
      <c r="H2140" s="4" t="inlineStr">
        <is>
          <t>13:35:00</t>
        </is>
      </c>
      <c r="I2140" s="4" t="inlineStr">
        <is>
          <t>15:25:00</t>
        </is>
      </c>
      <c r="J2140" s="4" t="n">
        <v>320</v>
      </c>
      <c r="K2140" s="7">
        <f>TEXT(TIMEVALUE(H2140)-TIMEVALUE(I2139)+(TIMEVALUE(H2140)&lt;TIMEVALUE(I2139)),"[h]:mm")</f>
        <v/>
      </c>
      <c r="L2140" s="4" t="inlineStr">
        <is>
          <t>01:50:00</t>
        </is>
      </c>
      <c r="M2140">
        <f>IF($M$2138="","",$M$2138)</f>
        <v/>
      </c>
      <c r="O2140">
        <f>IF($O$2138="","",$O$2138)</f>
        <v/>
      </c>
      <c r="Q2140" s="4">
        <f>B2140</f>
        <v/>
      </c>
      <c r="R2140" s="4">
        <f>C2140</f>
        <v/>
      </c>
      <c r="S2140" s="4">
        <f>D2140</f>
        <v/>
      </c>
      <c r="T2140" s="4">
        <f>E2140&amp;"/"&amp;E2141</f>
        <v/>
      </c>
      <c r="U2140" s="4">
        <f>F2140&amp;"-"&amp;G2140&amp;"-"&amp;F2140</f>
        <v/>
      </c>
      <c r="V2140" s="4">
        <f>IF($M$2138="","",$M$2138)</f>
        <v/>
      </c>
      <c r="W2140" s="4">
        <f>IF($O$2138="","",$O$2138)</f>
        <v/>
      </c>
      <c r="X2140" s="4">
        <f>J2140</f>
        <v/>
      </c>
    </row>
    <row r="2141">
      <c r="B2141" s="4" t="n">
        <v>2101</v>
      </c>
      <c r="C2141" s="4" t="inlineStr">
        <is>
          <t>24/09/2026</t>
        </is>
      </c>
      <c r="D2141" s="4" t="inlineStr">
        <is>
          <t>jueves</t>
        </is>
      </c>
      <c r="E2141" s="4" t="n">
        <v>2235</v>
      </c>
      <c r="F2141" s="4" t="inlineStr">
        <is>
          <t>IQT</t>
        </is>
      </c>
      <c r="G2141" s="4" t="inlineStr">
        <is>
          <t>LIM</t>
        </is>
      </c>
      <c r="H2141" s="4" t="inlineStr">
        <is>
          <t>16:05:00</t>
        </is>
      </c>
      <c r="I2141" s="4" t="inlineStr">
        <is>
          <t>17:55:00</t>
        </is>
      </c>
      <c r="J2141" s="4" t="n">
        <v>320</v>
      </c>
      <c r="K2141">
        <f>TEXT(TIMEVALUE(H2141)-TIMEVALUE(I2140)+(TIMEVALUE(H2141)&lt;TIMEVALUE(I2140)),"[h]:mm")</f>
        <v/>
      </c>
      <c r="L2141" s="4" t="inlineStr">
        <is>
          <t>01:50:00</t>
        </is>
      </c>
      <c r="O2141">
        <f>"LIM-"&amp;G2140&amp;"-LIM   LA "&amp;E2140&amp;" ("&amp;LEFT(H2140,5)&amp;"-"&amp;LEFT(I2140,5)&amp;" hrs)  /  LA "&amp;E2141&amp;" ("&amp;LEFT(H2141,5)&amp;"-"&amp;LEFT(I2141,5)&amp;" hrs)"</f>
        <v/>
      </c>
    </row>
    <row r="2142">
      <c r="J2142" s="8" t="inlineStr">
        <is>
          <t>PSV total:</t>
        </is>
      </c>
      <c r="K2142" s="9">
        <f>TEXT(TIMEVALUE(I2141)-TIMEVALUE(H2138)+(I2141&lt;H2138),"[h]:mm")</f>
        <v/>
      </c>
    </row>
    <row r="2144">
      <c r="B2144" s="3" t="inlineStr">
        <is>
          <t>Pairing ID</t>
        </is>
      </c>
      <c r="C2144" s="3" t="inlineStr">
        <is>
          <t>FECHA REAL</t>
        </is>
      </c>
      <c r="D2144" s="3" t="inlineStr">
        <is>
          <t>Day of Week</t>
        </is>
      </c>
      <c r="E2144" s="3" t="inlineStr">
        <is>
          <t>Flight No</t>
        </is>
      </c>
      <c r="F2144" s="3" t="inlineStr">
        <is>
          <t>Dep Stn</t>
        </is>
      </c>
      <c r="G2144" s="3" t="inlineStr">
        <is>
          <t>Arr Stn</t>
        </is>
      </c>
      <c r="H2144" s="3" t="inlineStr">
        <is>
          <t>STD</t>
        </is>
      </c>
      <c r="I2144" s="3" t="inlineStr">
        <is>
          <t>STA</t>
        </is>
      </c>
      <c r="J2144" s="3" t="inlineStr">
        <is>
          <t>subflota</t>
        </is>
      </c>
      <c r="K2144" s="3" t="inlineStr">
        <is>
          <t>Conexion</t>
        </is>
      </c>
      <c r="L2144" s="3" t="inlineStr">
        <is>
          <t>HBT</t>
        </is>
      </c>
    </row>
    <row r="2145">
      <c r="B2145" s="4" t="n">
        <v>2089</v>
      </c>
      <c r="C2145" s="4" t="inlineStr">
        <is>
          <t>24/09/2026</t>
        </is>
      </c>
      <c r="D2145" s="4" t="inlineStr">
        <is>
          <t>jueves</t>
        </is>
      </c>
      <c r="E2145" s="4" t="n">
        <v>2299</v>
      </c>
      <c r="F2145" s="4" t="inlineStr">
        <is>
          <t>LIM</t>
        </is>
      </c>
      <c r="G2145" s="4" t="inlineStr">
        <is>
          <t>CJA</t>
        </is>
      </c>
      <c r="H2145" s="4" t="inlineStr">
        <is>
          <t>11:35:00</t>
        </is>
      </c>
      <c r="I2145" s="4" t="inlineStr">
        <is>
          <t>12:55:00</t>
        </is>
      </c>
      <c r="J2145" s="4" t="n">
        <v>320</v>
      </c>
      <c r="L2145" s="4" t="inlineStr">
        <is>
          <t>01:20:00</t>
        </is>
      </c>
      <c r="M2145" s="5" t="n"/>
      <c r="N2145" s="6" t="n"/>
      <c r="O2145" s="5" t="n"/>
      <c r="Q2145" s="4">
        <f>B2145</f>
        <v/>
      </c>
      <c r="R2145" s="4">
        <f>C2145</f>
        <v/>
      </c>
      <c r="S2145" s="4">
        <f>D2145</f>
        <v/>
      </c>
      <c r="T2145" s="4">
        <f>E2145&amp;"/"&amp;E2146</f>
        <v/>
      </c>
      <c r="U2145" s="4">
        <f>F2145&amp;"-"&amp;G2145&amp;"-"&amp;F2145</f>
        <v/>
      </c>
      <c r="V2145" s="4">
        <f>IF($M$2145="","",$M$2145)</f>
        <v/>
      </c>
      <c r="W2145" s="4">
        <f>IF($O$2145="","",$O$2145)</f>
        <v/>
      </c>
      <c r="X2145" s="4">
        <f>J2145</f>
        <v/>
      </c>
    </row>
    <row r="2146">
      <c r="B2146" s="4" t="n">
        <v>2089</v>
      </c>
      <c r="C2146" s="4" t="inlineStr">
        <is>
          <t>24/09/2026</t>
        </is>
      </c>
      <c r="D2146" s="4" t="inlineStr">
        <is>
          <t>jueves</t>
        </is>
      </c>
      <c r="E2146" s="4" t="n">
        <v>2298</v>
      </c>
      <c r="F2146" s="4" t="inlineStr">
        <is>
          <t>CJA</t>
        </is>
      </c>
      <c r="G2146" s="4" t="inlineStr">
        <is>
          <t>LIM</t>
        </is>
      </c>
      <c r="H2146" s="4" t="inlineStr">
        <is>
          <t>13:40:00</t>
        </is>
      </c>
      <c r="I2146" s="4" t="inlineStr">
        <is>
          <t>14:50:00</t>
        </is>
      </c>
      <c r="J2146" s="4" t="n">
        <v>320</v>
      </c>
      <c r="K2146">
        <f>TEXT(TIMEVALUE(H2146)-TIMEVALUE(I2145)+(TIMEVALUE(H2146)&lt;TIMEVALUE(I2145)),"[h]:mm")</f>
        <v/>
      </c>
      <c r="L2146" s="4" t="inlineStr">
        <is>
          <t>01:10:00</t>
        </is>
      </c>
      <c r="O2146">
        <f>"LIM-"&amp;G2145&amp;"-LIM   LA "&amp;E2145&amp;" ("&amp;LEFT(H2145,5)&amp;"-"&amp;LEFT(I2145,5)&amp;" hrs)  /  LA "&amp;E2146&amp;" ("&amp;LEFT(H2146,5)&amp;"-"&amp;LEFT(I2146,5)&amp;" hrs)"</f>
        <v/>
      </c>
    </row>
    <row r="2147">
      <c r="J2147" s="8" t="inlineStr">
        <is>
          <t>PSV total:</t>
        </is>
      </c>
      <c r="K2147" s="9">
        <f>TEXT(TIMEVALUE(I2146)-TIMEVALUE(H2145)+(I2146&lt;H2145),"[h]:mm")</f>
        <v/>
      </c>
    </row>
    <row r="2149">
      <c r="B2149" s="3" t="inlineStr">
        <is>
          <t>Pairing ID</t>
        </is>
      </c>
      <c r="C2149" s="3" t="inlineStr">
        <is>
          <t>FECHA REAL</t>
        </is>
      </c>
      <c r="D2149" s="3" t="inlineStr">
        <is>
          <t>Day of Week</t>
        </is>
      </c>
      <c r="E2149" s="3" t="inlineStr">
        <is>
          <t>Flight No</t>
        </is>
      </c>
      <c r="F2149" s="3" t="inlineStr">
        <is>
          <t>Dep Stn</t>
        </is>
      </c>
      <c r="G2149" s="3" t="inlineStr">
        <is>
          <t>Arr Stn</t>
        </is>
      </c>
      <c r="H2149" s="3" t="inlineStr">
        <is>
          <t>STD</t>
        </is>
      </c>
      <c r="I2149" s="3" t="inlineStr">
        <is>
          <t>STA</t>
        </is>
      </c>
      <c r="J2149" s="3" t="inlineStr">
        <is>
          <t>subflota</t>
        </is>
      </c>
      <c r="K2149" s="3" t="inlineStr">
        <is>
          <t>Conexion</t>
        </is>
      </c>
      <c r="L2149" s="3" t="inlineStr">
        <is>
          <t>HBT</t>
        </is>
      </c>
    </row>
    <row r="2150">
      <c r="B2150" s="4" t="n">
        <v>2094</v>
      </c>
      <c r="C2150" s="4" t="inlineStr">
        <is>
          <t>24/09/2026</t>
        </is>
      </c>
      <c r="D2150" s="4" t="inlineStr">
        <is>
          <t>jueves</t>
        </is>
      </c>
      <c r="E2150" s="4" t="n">
        <v>2023</v>
      </c>
      <c r="F2150" s="4" t="inlineStr">
        <is>
          <t>LIM</t>
        </is>
      </c>
      <c r="G2150" s="4" t="inlineStr">
        <is>
          <t>PEM</t>
        </is>
      </c>
      <c r="H2150" s="4" t="inlineStr">
        <is>
          <t>12:15:00</t>
        </is>
      </c>
      <c r="I2150" s="4" t="inlineStr">
        <is>
          <t>13:55:00</t>
        </is>
      </c>
      <c r="J2150" s="4" t="n">
        <v>320</v>
      </c>
      <c r="L2150" s="4" t="inlineStr">
        <is>
          <t>01:40:00</t>
        </is>
      </c>
      <c r="M2150" s="5" t="n"/>
      <c r="N2150" s="6" t="n"/>
      <c r="O2150" s="5" t="n"/>
      <c r="Q2150" s="4">
        <f>B2150</f>
        <v/>
      </c>
      <c r="R2150" s="4">
        <f>C2150</f>
        <v/>
      </c>
      <c r="S2150" s="4">
        <f>D2150</f>
        <v/>
      </c>
      <c r="T2150" s="4">
        <f>E2150&amp;"/"&amp;E2151</f>
        <v/>
      </c>
      <c r="U2150" s="4">
        <f>F2150&amp;"-"&amp;G2150&amp;"-"&amp;F2150</f>
        <v/>
      </c>
      <c r="V2150" s="4">
        <f>IF($M$2150="","",$M$2150)</f>
        <v/>
      </c>
      <c r="W2150" s="4">
        <f>IF($O$2150="","",$O$2150)</f>
        <v/>
      </c>
      <c r="X2150" s="4">
        <f>J2150</f>
        <v/>
      </c>
    </row>
    <row r="2151">
      <c r="B2151" s="4" t="n">
        <v>2094</v>
      </c>
      <c r="C2151" s="4" t="inlineStr">
        <is>
          <t>24/09/2026</t>
        </is>
      </c>
      <c r="D2151" s="4" t="inlineStr">
        <is>
          <t>jueves</t>
        </is>
      </c>
      <c r="E2151" s="4" t="n">
        <v>2024</v>
      </c>
      <c r="F2151" s="4" t="inlineStr">
        <is>
          <t>PEM</t>
        </is>
      </c>
      <c r="G2151" s="4" t="inlineStr">
        <is>
          <t>LIM</t>
        </is>
      </c>
      <c r="H2151" s="4" t="inlineStr">
        <is>
          <t>14:35:00</t>
        </is>
      </c>
      <c r="I2151" s="4" t="inlineStr">
        <is>
          <t>16:10:00</t>
        </is>
      </c>
      <c r="J2151" s="4" t="n">
        <v>320</v>
      </c>
      <c r="K2151">
        <f>TEXT(TIMEVALUE(H2151)-TIMEVALUE(I2150)+(TIMEVALUE(H2151)&lt;TIMEVALUE(I2150)),"[h]:mm")</f>
        <v/>
      </c>
      <c r="L2151" s="4" t="inlineStr">
        <is>
          <t>01:35:00</t>
        </is>
      </c>
      <c r="O2151">
        <f>"LIM-"&amp;G2150&amp;"-LIM   LA "&amp;E2150&amp;" ("&amp;LEFT(H2150,5)&amp;"-"&amp;LEFT(I2150,5)&amp;" hrs)  /  LA "&amp;E2151&amp;" ("&amp;LEFT(H2151,5)&amp;"-"&amp;LEFT(I2151,5)&amp;" hrs)"</f>
        <v/>
      </c>
    </row>
    <row r="2152">
      <c r="B2152" s="4" t="n">
        <v>2120</v>
      </c>
      <c r="C2152" s="4" t="inlineStr">
        <is>
          <t>24/09/2026</t>
        </is>
      </c>
      <c r="D2152" s="4" t="inlineStr">
        <is>
          <t>jueves</t>
        </is>
      </c>
      <c r="E2152" s="4" t="n">
        <v>2115</v>
      </c>
      <c r="F2152" s="4" t="inlineStr">
        <is>
          <t>LIM</t>
        </is>
      </c>
      <c r="G2152" s="4" t="inlineStr">
        <is>
          <t>AQP</t>
        </is>
      </c>
      <c r="H2152" s="4" t="inlineStr">
        <is>
          <t>17:15:00</t>
        </is>
      </c>
      <c r="I2152" s="4" t="inlineStr">
        <is>
          <t>18:45:00</t>
        </is>
      </c>
      <c r="J2152" s="4" t="n">
        <v>320</v>
      </c>
      <c r="K2152" s="7">
        <f>TEXT(TIMEVALUE(H2152)-TIMEVALUE(I2151)+(TIMEVALUE(H2152)&lt;TIMEVALUE(I2151)),"[h]:mm")</f>
        <v/>
      </c>
      <c r="L2152" s="4" t="inlineStr">
        <is>
          <t>01:30:00</t>
        </is>
      </c>
      <c r="M2152">
        <f>IF($M$2150="","",$M$2150)</f>
        <v/>
      </c>
      <c r="O2152">
        <f>IF($O$2150="","",$O$2150)</f>
        <v/>
      </c>
      <c r="Q2152" s="4">
        <f>B2152</f>
        <v/>
      </c>
      <c r="R2152" s="4">
        <f>C2152</f>
        <v/>
      </c>
      <c r="S2152" s="4">
        <f>D2152</f>
        <v/>
      </c>
      <c r="T2152" s="4">
        <f>E2152&amp;"/"&amp;E2153</f>
        <v/>
      </c>
      <c r="U2152" s="4">
        <f>F2152&amp;"-"&amp;G2152&amp;"-"&amp;F2152</f>
        <v/>
      </c>
      <c r="V2152" s="4">
        <f>IF($M$2150="","",$M$2150)</f>
        <v/>
      </c>
      <c r="W2152" s="4">
        <f>IF($O$2150="","",$O$2150)</f>
        <v/>
      </c>
      <c r="X2152" s="4">
        <f>J2152</f>
        <v/>
      </c>
    </row>
    <row r="2153">
      <c r="B2153" s="4" t="n">
        <v>2120</v>
      </c>
      <c r="C2153" s="4" t="inlineStr">
        <is>
          <t>24/09/2026</t>
        </is>
      </c>
      <c r="D2153" s="4" t="inlineStr">
        <is>
          <t>jueves</t>
        </is>
      </c>
      <c r="E2153" s="4" t="n">
        <v>2114</v>
      </c>
      <c r="F2153" s="4" t="inlineStr">
        <is>
          <t>AQP</t>
        </is>
      </c>
      <c r="G2153" s="4" t="inlineStr">
        <is>
          <t>LIM</t>
        </is>
      </c>
      <c r="H2153" s="4" t="inlineStr">
        <is>
          <t>19:20:00</t>
        </is>
      </c>
      <c r="I2153" s="4" t="inlineStr">
        <is>
          <t>20:55:00</t>
        </is>
      </c>
      <c r="J2153" s="4" t="n">
        <v>320</v>
      </c>
      <c r="K2153">
        <f>TEXT(TIMEVALUE(H2153)-TIMEVALUE(I2152)+(TIMEVALUE(H2153)&lt;TIMEVALUE(I2152)),"[h]:mm")</f>
        <v/>
      </c>
      <c r="L2153" s="4" t="inlineStr">
        <is>
          <t>01:35:00</t>
        </is>
      </c>
      <c r="O2153">
        <f>"LIM-"&amp;G2152&amp;"-LIM   LA "&amp;E2152&amp;" ("&amp;LEFT(H2152,5)&amp;"-"&amp;LEFT(I2152,5)&amp;" hrs)  /  LA "&amp;E2153&amp;" ("&amp;LEFT(H2153,5)&amp;"-"&amp;LEFT(I2153,5)&amp;" hrs)"</f>
        <v/>
      </c>
    </row>
    <row r="2154">
      <c r="J2154" s="8" t="inlineStr">
        <is>
          <t>PSV total:</t>
        </is>
      </c>
      <c r="K2154" s="9">
        <f>TEXT(TIMEVALUE(I2153)-TIMEVALUE(H2150)+(I2153&lt;H2150),"[h]:mm")</f>
        <v/>
      </c>
    </row>
    <row r="2156">
      <c r="B2156" s="3" t="inlineStr">
        <is>
          <t>Pairing ID</t>
        </is>
      </c>
      <c r="C2156" s="3" t="inlineStr">
        <is>
          <t>FECHA REAL</t>
        </is>
      </c>
      <c r="D2156" s="3" t="inlineStr">
        <is>
          <t>Day of Week</t>
        </is>
      </c>
      <c r="E2156" s="3" t="inlineStr">
        <is>
          <t>Flight No</t>
        </is>
      </c>
      <c r="F2156" s="3" t="inlineStr">
        <is>
          <t>Dep Stn</t>
        </is>
      </c>
      <c r="G2156" s="3" t="inlineStr">
        <is>
          <t>Arr Stn</t>
        </is>
      </c>
      <c r="H2156" s="3" t="inlineStr">
        <is>
          <t>STD</t>
        </is>
      </c>
      <c r="I2156" s="3" t="inlineStr">
        <is>
          <t>STA</t>
        </is>
      </c>
      <c r="J2156" s="3" t="inlineStr">
        <is>
          <t>subflota</t>
        </is>
      </c>
      <c r="K2156" s="3" t="inlineStr">
        <is>
          <t>Conexion</t>
        </is>
      </c>
      <c r="L2156" s="3" t="inlineStr">
        <is>
          <t>HBT</t>
        </is>
      </c>
    </row>
    <row r="2157">
      <c r="B2157" s="4" t="n">
        <v>2097</v>
      </c>
      <c r="C2157" s="4" t="inlineStr">
        <is>
          <t>24/09/2026</t>
        </is>
      </c>
      <c r="D2157" s="4" t="inlineStr">
        <is>
          <t>jueves</t>
        </is>
      </c>
      <c r="E2157" s="4" t="n">
        <v>2308</v>
      </c>
      <c r="F2157" s="4" t="inlineStr">
        <is>
          <t>LIM</t>
        </is>
      </c>
      <c r="G2157" s="4" t="inlineStr">
        <is>
          <t>PIU</t>
        </is>
      </c>
      <c r="H2157" s="4" t="inlineStr">
        <is>
          <t>12:50:00</t>
        </is>
      </c>
      <c r="I2157" s="4" t="inlineStr">
        <is>
          <t>14:35:00</t>
        </is>
      </c>
      <c r="J2157" s="4" t="n">
        <v>320</v>
      </c>
      <c r="L2157" s="4" t="inlineStr">
        <is>
          <t>01:45:00</t>
        </is>
      </c>
      <c r="M2157" s="5" t="n"/>
      <c r="N2157" s="6" t="n"/>
      <c r="O2157" s="5" t="n"/>
      <c r="Q2157" s="4">
        <f>B2157</f>
        <v/>
      </c>
      <c r="R2157" s="4">
        <f>C2157</f>
        <v/>
      </c>
      <c r="S2157" s="4">
        <f>D2157</f>
        <v/>
      </c>
      <c r="T2157" s="4">
        <f>E2157&amp;"/"&amp;E2158</f>
        <v/>
      </c>
      <c r="U2157" s="4">
        <f>F2157&amp;"-"&amp;G2157&amp;"-"&amp;F2157</f>
        <v/>
      </c>
      <c r="V2157" s="4">
        <f>IF($M$2157="","",$M$2157)</f>
        <v/>
      </c>
      <c r="W2157" s="4">
        <f>IF($O$2157="","",$O$2157)</f>
        <v/>
      </c>
      <c r="X2157" s="4">
        <f>J2157</f>
        <v/>
      </c>
    </row>
    <row r="2158">
      <c r="B2158" s="4" t="n">
        <v>2097</v>
      </c>
      <c r="C2158" s="4" t="inlineStr">
        <is>
          <t>24/09/2026</t>
        </is>
      </c>
      <c r="D2158" s="4" t="inlineStr">
        <is>
          <t>jueves</t>
        </is>
      </c>
      <c r="E2158" s="4" t="n">
        <v>2309</v>
      </c>
      <c r="F2158" s="4" t="inlineStr">
        <is>
          <t>PIU</t>
        </is>
      </c>
      <c r="G2158" s="4" t="inlineStr">
        <is>
          <t>LIM</t>
        </is>
      </c>
      <c r="H2158" s="4" t="inlineStr">
        <is>
          <t>15:25:00</t>
        </is>
      </c>
      <c r="I2158" s="4" t="inlineStr">
        <is>
          <t>16:55:00</t>
        </is>
      </c>
      <c r="J2158" s="4" t="n">
        <v>320</v>
      </c>
      <c r="K2158">
        <f>TEXT(TIMEVALUE(H2158)-TIMEVALUE(I2157)+(TIMEVALUE(H2158)&lt;TIMEVALUE(I2157)),"[h]:mm")</f>
        <v/>
      </c>
      <c r="L2158" s="4" t="inlineStr">
        <is>
          <t>01:30:00</t>
        </is>
      </c>
      <c r="O2158">
        <f>"LIM-"&amp;G2157&amp;"-LIM   LA "&amp;E2157&amp;" ("&amp;LEFT(H2157,5)&amp;"-"&amp;LEFT(I2157,5)&amp;" hrs)  /  LA "&amp;E2158&amp;" ("&amp;LEFT(H2158,5)&amp;"-"&amp;LEFT(I2158,5)&amp;" hrs)"</f>
        <v/>
      </c>
    </row>
    <row r="2159">
      <c r="B2159" s="4" t="n">
        <v>2121</v>
      </c>
      <c r="C2159" s="4" t="inlineStr">
        <is>
          <t>24/09/2026</t>
        </is>
      </c>
      <c r="D2159" s="4" t="inlineStr">
        <is>
          <t>jueves</t>
        </is>
      </c>
      <c r="E2159" s="4" t="n">
        <v>2039</v>
      </c>
      <c r="F2159" s="4" t="inlineStr">
        <is>
          <t>LIM</t>
        </is>
      </c>
      <c r="G2159" s="4" t="inlineStr">
        <is>
          <t>PCL</t>
        </is>
      </c>
      <c r="H2159" s="4" t="inlineStr">
        <is>
          <t>18:15:00</t>
        </is>
      </c>
      <c r="I2159" s="4" t="inlineStr">
        <is>
          <t>19:30:00</t>
        </is>
      </c>
      <c r="J2159" s="4" t="n">
        <v>320</v>
      </c>
      <c r="K2159" s="7">
        <f>TEXT(TIMEVALUE(H2159)-TIMEVALUE(I2158)+(TIMEVALUE(H2159)&lt;TIMEVALUE(I2158)),"[h]:mm")</f>
        <v/>
      </c>
      <c r="L2159" s="4" t="inlineStr">
        <is>
          <t>01:15:00</t>
        </is>
      </c>
      <c r="M2159">
        <f>IF($M$2157="","",$M$2157)</f>
        <v/>
      </c>
      <c r="O2159">
        <f>IF($O$2157="","",$O$2157)</f>
        <v/>
      </c>
      <c r="Q2159" s="4">
        <f>B2159</f>
        <v/>
      </c>
      <c r="R2159" s="4">
        <f>C2159</f>
        <v/>
      </c>
      <c r="S2159" s="4">
        <f>D2159</f>
        <v/>
      </c>
      <c r="T2159" s="4">
        <f>E2159&amp;"/"&amp;E2160</f>
        <v/>
      </c>
      <c r="U2159" s="4">
        <f>F2159&amp;"-"&amp;G2159&amp;"-"&amp;F2159</f>
        <v/>
      </c>
      <c r="V2159" s="4">
        <f>IF($M$2157="","",$M$2157)</f>
        <v/>
      </c>
      <c r="W2159" s="4">
        <f>IF($O$2157="","",$O$2157)</f>
        <v/>
      </c>
      <c r="X2159" s="4">
        <f>J2159</f>
        <v/>
      </c>
    </row>
    <row r="2160">
      <c r="B2160" s="4" t="n">
        <v>2121</v>
      </c>
      <c r="C2160" s="4" t="inlineStr">
        <is>
          <t>24/09/2026</t>
        </is>
      </c>
      <c r="D2160" s="4" t="inlineStr">
        <is>
          <t>jueves</t>
        </is>
      </c>
      <c r="E2160" s="4" t="n">
        <v>2040</v>
      </c>
      <c r="F2160" s="4" t="inlineStr">
        <is>
          <t>PCL</t>
        </is>
      </c>
      <c r="G2160" s="4" t="inlineStr">
        <is>
          <t>LIM</t>
        </is>
      </c>
      <c r="H2160" s="4" t="inlineStr">
        <is>
          <t>20:15:00</t>
        </is>
      </c>
      <c r="I2160" s="4" t="inlineStr">
        <is>
          <t>21:30:00</t>
        </is>
      </c>
      <c r="J2160" s="4" t="n">
        <v>320</v>
      </c>
      <c r="K2160">
        <f>TEXT(TIMEVALUE(H2160)-TIMEVALUE(I2159)+(TIMEVALUE(H2160)&lt;TIMEVALUE(I2159)),"[h]:mm")</f>
        <v/>
      </c>
      <c r="L2160" s="4" t="inlineStr">
        <is>
          <t>01:15:00</t>
        </is>
      </c>
      <c r="O2160">
        <f>"LIM-"&amp;G2159&amp;"-LIM   LA "&amp;E2159&amp;" ("&amp;LEFT(H2159,5)&amp;"-"&amp;LEFT(I2159,5)&amp;" hrs)  /  LA "&amp;E2160&amp;" ("&amp;LEFT(H2160,5)&amp;"-"&amp;LEFT(I2160,5)&amp;" hrs)"</f>
        <v/>
      </c>
    </row>
    <row r="2161">
      <c r="J2161" s="8" t="inlineStr">
        <is>
          <t>PSV total:</t>
        </is>
      </c>
      <c r="K2161" s="9">
        <f>TEXT(TIMEVALUE(I2160)-TIMEVALUE(H2157)+(I2160&lt;H2157),"[h]:mm")</f>
        <v/>
      </c>
    </row>
    <row r="2163">
      <c r="B2163" s="3" t="inlineStr">
        <is>
          <t>Pairing ID</t>
        </is>
      </c>
      <c r="C2163" s="3" t="inlineStr">
        <is>
          <t>FECHA REAL</t>
        </is>
      </c>
      <c r="D2163" s="3" t="inlineStr">
        <is>
          <t>Day of Week</t>
        </is>
      </c>
      <c r="E2163" s="3" t="inlineStr">
        <is>
          <t>Flight No</t>
        </is>
      </c>
      <c r="F2163" s="3" t="inlineStr">
        <is>
          <t>Dep Stn</t>
        </is>
      </c>
      <c r="G2163" s="3" t="inlineStr">
        <is>
          <t>Arr Stn</t>
        </is>
      </c>
      <c r="H2163" s="3" t="inlineStr">
        <is>
          <t>STD</t>
        </is>
      </c>
      <c r="I2163" s="3" t="inlineStr">
        <is>
          <t>STA</t>
        </is>
      </c>
      <c r="J2163" s="3" t="inlineStr">
        <is>
          <t>subflota</t>
        </is>
      </c>
      <c r="K2163" s="3" t="inlineStr">
        <is>
          <t>Conexion</t>
        </is>
      </c>
      <c r="L2163" s="3" t="inlineStr">
        <is>
          <t>HBT</t>
        </is>
      </c>
    </row>
    <row r="2164">
      <c r="B2164" s="4" t="n">
        <v>2104</v>
      </c>
      <c r="C2164" s="4" t="inlineStr">
        <is>
          <t>24/09/2026</t>
        </is>
      </c>
      <c r="D2164" s="4" t="inlineStr">
        <is>
          <t>jueves</t>
        </is>
      </c>
      <c r="E2164" s="4" t="n">
        <v>2087</v>
      </c>
      <c r="F2164" s="4" t="inlineStr">
        <is>
          <t>LIM</t>
        </is>
      </c>
      <c r="G2164" s="4" t="inlineStr">
        <is>
          <t>TPP</t>
        </is>
      </c>
      <c r="H2164" s="4" t="inlineStr">
        <is>
          <t>14:05:00</t>
        </is>
      </c>
      <c r="I2164" s="4" t="inlineStr">
        <is>
          <t>15:30:00</t>
        </is>
      </c>
      <c r="J2164" s="4" t="n">
        <v>320</v>
      </c>
      <c r="L2164" s="4" t="inlineStr">
        <is>
          <t>01:25:00</t>
        </is>
      </c>
      <c r="M2164" s="5" t="n"/>
      <c r="N2164" s="6" t="n"/>
      <c r="O2164" s="5" t="n"/>
      <c r="Q2164" s="4">
        <f>B2164</f>
        <v/>
      </c>
      <c r="R2164" s="4">
        <f>C2164</f>
        <v/>
      </c>
      <c r="S2164" s="4">
        <f>D2164</f>
        <v/>
      </c>
      <c r="T2164" s="4">
        <f>E2164&amp;"/"&amp;E2165</f>
        <v/>
      </c>
      <c r="U2164" s="4">
        <f>F2164&amp;"-"&amp;G2164&amp;"-"&amp;F2164</f>
        <v/>
      </c>
      <c r="V2164" s="4">
        <f>IF($M$2164="","",$M$2164)</f>
        <v/>
      </c>
      <c r="W2164" s="4">
        <f>IF($O$2164="","",$O$2164)</f>
        <v/>
      </c>
      <c r="X2164" s="4">
        <f>J2164</f>
        <v/>
      </c>
    </row>
    <row r="2165">
      <c r="B2165" s="4" t="n">
        <v>2104</v>
      </c>
      <c r="C2165" s="4" t="inlineStr">
        <is>
          <t>24/09/2026</t>
        </is>
      </c>
      <c r="D2165" s="4" t="inlineStr">
        <is>
          <t>jueves</t>
        </is>
      </c>
      <c r="E2165" s="4" t="n">
        <v>2088</v>
      </c>
      <c r="F2165" s="4" t="inlineStr">
        <is>
          <t>TPP</t>
        </is>
      </c>
      <c r="G2165" s="4" t="inlineStr">
        <is>
          <t>LIM</t>
        </is>
      </c>
      <c r="H2165" s="4" t="inlineStr">
        <is>
          <t>16:05:00</t>
        </is>
      </c>
      <c r="I2165" s="4" t="inlineStr">
        <is>
          <t>17:30:00</t>
        </is>
      </c>
      <c r="J2165" s="4" t="n">
        <v>320</v>
      </c>
      <c r="K2165">
        <f>TEXT(TIMEVALUE(H2165)-TIMEVALUE(I2164)+(TIMEVALUE(H2165)&lt;TIMEVALUE(I2164)),"[h]:mm")</f>
        <v/>
      </c>
      <c r="L2165" s="4" t="inlineStr">
        <is>
          <t>01:25:00</t>
        </is>
      </c>
      <c r="O2165">
        <f>"LIM-"&amp;G2164&amp;"-LIM   LA "&amp;E2164&amp;" ("&amp;LEFT(H2164,5)&amp;"-"&amp;LEFT(I2164,5)&amp;" hrs)  /  LA "&amp;E2165&amp;" ("&amp;LEFT(H2165,5)&amp;"-"&amp;LEFT(I2165,5)&amp;" hrs)"</f>
        <v/>
      </c>
    </row>
    <row r="2166">
      <c r="J2166" s="8" t="inlineStr">
        <is>
          <t>PSV total:</t>
        </is>
      </c>
      <c r="K2166" s="9">
        <f>TEXT(TIMEVALUE(I2165)-TIMEVALUE(H2164)+(I2165&lt;H2164),"[h]:mm")</f>
        <v/>
      </c>
    </row>
    <row r="2168">
      <c r="B2168" s="3" t="inlineStr">
        <is>
          <t>Pairing ID</t>
        </is>
      </c>
      <c r="C2168" s="3" t="inlineStr">
        <is>
          <t>FECHA REAL</t>
        </is>
      </c>
      <c r="D2168" s="3" t="inlineStr">
        <is>
          <t>Day of Week</t>
        </is>
      </c>
      <c r="E2168" s="3" t="inlineStr">
        <is>
          <t>Flight No</t>
        </is>
      </c>
      <c r="F2168" s="3" t="inlineStr">
        <is>
          <t>Dep Stn</t>
        </is>
      </c>
      <c r="G2168" s="3" t="inlineStr">
        <is>
          <t>Arr Stn</t>
        </is>
      </c>
      <c r="H2168" s="3" t="inlineStr">
        <is>
          <t>STD</t>
        </is>
      </c>
      <c r="I2168" s="3" t="inlineStr">
        <is>
          <t>STA</t>
        </is>
      </c>
      <c r="J2168" s="3" t="inlineStr">
        <is>
          <t>subflota</t>
        </is>
      </c>
      <c r="K2168" s="3" t="inlineStr">
        <is>
          <t>Conexion</t>
        </is>
      </c>
      <c r="L2168" s="3" t="inlineStr">
        <is>
          <t>HBT</t>
        </is>
      </c>
    </row>
    <row r="2169">
      <c r="B2169" s="4" t="n">
        <v>2108</v>
      </c>
      <c r="C2169" s="4" t="inlineStr">
        <is>
          <t>24/09/2026</t>
        </is>
      </c>
      <c r="D2169" s="4" t="inlineStr">
        <is>
          <t>jueves</t>
        </is>
      </c>
      <c r="E2169" s="4" t="n">
        <v>2282</v>
      </c>
      <c r="F2169" s="4" t="inlineStr">
        <is>
          <t>LIM</t>
        </is>
      </c>
      <c r="G2169" s="4" t="inlineStr">
        <is>
          <t>CIX</t>
        </is>
      </c>
      <c r="H2169" s="4" t="inlineStr">
        <is>
          <t>14:35:00</t>
        </is>
      </c>
      <c r="I2169" s="4" t="inlineStr">
        <is>
          <t>16:05:00</t>
        </is>
      </c>
      <c r="J2169" s="4" t="n">
        <v>320</v>
      </c>
      <c r="L2169" s="4" t="inlineStr">
        <is>
          <t>01:30:00</t>
        </is>
      </c>
      <c r="M2169" s="5" t="n"/>
      <c r="N2169" s="6" t="n"/>
      <c r="O2169" s="5" t="n"/>
      <c r="Q2169" s="4">
        <f>B2169</f>
        <v/>
      </c>
      <c r="R2169" s="4">
        <f>C2169</f>
        <v/>
      </c>
      <c r="S2169" s="4">
        <f>D2169</f>
        <v/>
      </c>
      <c r="T2169" s="4">
        <f>E2169&amp;"/"&amp;E2170</f>
        <v/>
      </c>
      <c r="U2169" s="4">
        <f>F2169&amp;"-"&amp;G2169&amp;"-"&amp;F2169</f>
        <v/>
      </c>
      <c r="V2169" s="4">
        <f>IF($M$2169="","",$M$2169)</f>
        <v/>
      </c>
      <c r="W2169" s="4">
        <f>IF($O$2169="","",$O$2169)</f>
        <v/>
      </c>
      <c r="X2169" s="4">
        <f>J2169</f>
        <v/>
      </c>
    </row>
    <row r="2170">
      <c r="B2170" s="4" t="n">
        <v>2108</v>
      </c>
      <c r="C2170" s="4" t="inlineStr">
        <is>
          <t>24/09/2026</t>
        </is>
      </c>
      <c r="D2170" s="4" t="inlineStr">
        <is>
          <t>jueves</t>
        </is>
      </c>
      <c r="E2170" s="4" t="n">
        <v>2283</v>
      </c>
      <c r="F2170" s="4" t="inlineStr">
        <is>
          <t>CIX</t>
        </is>
      </c>
      <c r="G2170" s="4" t="inlineStr">
        <is>
          <t>LIM</t>
        </is>
      </c>
      <c r="H2170" s="4" t="inlineStr">
        <is>
          <t>16:50:00</t>
        </is>
      </c>
      <c r="I2170" s="4" t="inlineStr">
        <is>
          <t>18:10:00</t>
        </is>
      </c>
      <c r="J2170" s="4" t="n">
        <v>320</v>
      </c>
      <c r="K2170">
        <f>TEXT(TIMEVALUE(H2170)-TIMEVALUE(I2169)+(TIMEVALUE(H2170)&lt;TIMEVALUE(I2169)),"[h]:mm")</f>
        <v/>
      </c>
      <c r="L2170" s="4" t="inlineStr">
        <is>
          <t>01:20:00</t>
        </is>
      </c>
      <c r="O2170">
        <f>"LIM-"&amp;G2169&amp;"-LIM   LA "&amp;E2169&amp;" ("&amp;LEFT(H2169,5)&amp;"-"&amp;LEFT(I2169,5)&amp;" hrs)  /  LA "&amp;E2170&amp;" ("&amp;LEFT(H2170,5)&amp;"-"&amp;LEFT(I2170,5)&amp;" hrs)"</f>
        <v/>
      </c>
    </row>
    <row r="2171">
      <c r="J2171" s="8" t="inlineStr">
        <is>
          <t>PSV total:</t>
        </is>
      </c>
      <c r="K2171" s="9">
        <f>TEXT(TIMEVALUE(I2170)-TIMEVALUE(H2169)+(I2170&lt;H2169),"[h]:mm")</f>
        <v/>
      </c>
    </row>
    <row r="2173">
      <c r="B2173" s="3" t="inlineStr">
        <is>
          <t>Pairing ID</t>
        </is>
      </c>
      <c r="C2173" s="3" t="inlineStr">
        <is>
          <t>FECHA REAL</t>
        </is>
      </c>
      <c r="D2173" s="3" t="inlineStr">
        <is>
          <t>Day of Week</t>
        </is>
      </c>
      <c r="E2173" s="3" t="inlineStr">
        <is>
          <t>Flight No</t>
        </is>
      </c>
      <c r="F2173" s="3" t="inlineStr">
        <is>
          <t>Dep Stn</t>
        </is>
      </c>
      <c r="G2173" s="3" t="inlineStr">
        <is>
          <t>Arr Stn</t>
        </is>
      </c>
      <c r="H2173" s="3" t="inlineStr">
        <is>
          <t>STD</t>
        </is>
      </c>
      <c r="I2173" s="3" t="inlineStr">
        <is>
          <t>STA</t>
        </is>
      </c>
      <c r="J2173" s="3" t="inlineStr">
        <is>
          <t>subflota</t>
        </is>
      </c>
      <c r="K2173" s="3" t="inlineStr">
        <is>
          <t>Conexion</t>
        </is>
      </c>
      <c r="L2173" s="3" t="inlineStr">
        <is>
          <t>HBT</t>
        </is>
      </c>
    </row>
    <row r="2174">
      <c r="B2174" s="4" t="n">
        <v>2109</v>
      </c>
      <c r="C2174" s="4" t="inlineStr">
        <is>
          <t>24/09/2026</t>
        </is>
      </c>
      <c r="D2174" s="4" t="inlineStr">
        <is>
          <t>jueves</t>
        </is>
      </c>
      <c r="E2174" s="4" t="n">
        <v>2264</v>
      </c>
      <c r="F2174" s="4" t="inlineStr">
        <is>
          <t>LIM</t>
        </is>
      </c>
      <c r="G2174" s="4" t="inlineStr">
        <is>
          <t>PEM</t>
        </is>
      </c>
      <c r="H2174" s="4" t="inlineStr">
        <is>
          <t>14:55:00</t>
        </is>
      </c>
      <c r="I2174" s="4" t="inlineStr">
        <is>
          <t>16:40:00</t>
        </is>
      </c>
      <c r="J2174" s="4" t="n">
        <v>319</v>
      </c>
      <c r="L2174" s="4" t="inlineStr">
        <is>
          <t>01:45:00</t>
        </is>
      </c>
      <c r="M2174" s="5" t="n"/>
      <c r="N2174" s="6" t="n"/>
      <c r="O2174" s="5" t="n"/>
      <c r="Q2174" s="4">
        <f>B2174</f>
        <v/>
      </c>
      <c r="R2174" s="4">
        <f>C2174</f>
        <v/>
      </c>
      <c r="S2174" s="4">
        <f>D2174</f>
        <v/>
      </c>
      <c r="T2174" s="4">
        <f>E2174&amp;"/"&amp;E2175</f>
        <v/>
      </c>
      <c r="U2174" s="4">
        <f>F2174&amp;"-"&amp;G2174&amp;"-"&amp;F2174</f>
        <v/>
      </c>
      <c r="V2174" s="4">
        <f>IF($M$2174="","",$M$2174)</f>
        <v/>
      </c>
      <c r="W2174" s="4">
        <f>IF($O$2174="","",$O$2174)</f>
        <v/>
      </c>
      <c r="X2174" s="4">
        <f>J2174</f>
        <v/>
      </c>
    </row>
    <row r="2175">
      <c r="B2175" s="4" t="n">
        <v>2109</v>
      </c>
      <c r="C2175" s="4" t="inlineStr">
        <is>
          <t>24/09/2026</t>
        </is>
      </c>
      <c r="D2175" s="4" t="inlineStr">
        <is>
          <t>jueves</t>
        </is>
      </c>
      <c r="E2175" s="4" t="n">
        <v>2265</v>
      </c>
      <c r="F2175" s="4" t="inlineStr">
        <is>
          <t>PEM</t>
        </is>
      </c>
      <c r="G2175" s="4" t="inlineStr">
        <is>
          <t>LIM</t>
        </is>
      </c>
      <c r="H2175" s="4" t="inlineStr">
        <is>
          <t>17:20:00</t>
        </is>
      </c>
      <c r="I2175" s="4" t="inlineStr">
        <is>
          <t>18:55:00</t>
        </is>
      </c>
      <c r="J2175" s="4" t="n">
        <v>319</v>
      </c>
      <c r="K2175">
        <f>TEXT(TIMEVALUE(H2175)-TIMEVALUE(I2174)+(TIMEVALUE(H2175)&lt;TIMEVALUE(I2174)),"[h]:mm")</f>
        <v/>
      </c>
      <c r="L2175" s="4" t="inlineStr">
        <is>
          <t>01:35:00</t>
        </is>
      </c>
      <c r="O2175">
        <f>"LIM-"&amp;G2174&amp;"-LIM   LA "&amp;E2174&amp;" ("&amp;LEFT(H2174,5)&amp;"-"&amp;LEFT(I2174,5)&amp;" hrs)  /  LA "&amp;E2175&amp;" ("&amp;LEFT(H2175,5)&amp;"-"&amp;LEFT(I2175,5)&amp;" hrs)"</f>
        <v/>
      </c>
    </row>
    <row r="2176">
      <c r="J2176" s="8" t="inlineStr">
        <is>
          <t>PSV total:</t>
        </is>
      </c>
      <c r="K2176" s="9">
        <f>TEXT(TIMEVALUE(I2175)-TIMEVALUE(H2174)+(I2175&lt;H2174),"[h]:mm")</f>
        <v/>
      </c>
    </row>
    <row r="2178">
      <c r="B2178" s="3" t="inlineStr">
        <is>
          <t>Pairing ID</t>
        </is>
      </c>
      <c r="C2178" s="3" t="inlineStr">
        <is>
          <t>FECHA REAL</t>
        </is>
      </c>
      <c r="D2178" s="3" t="inlineStr">
        <is>
          <t>Day of Week</t>
        </is>
      </c>
      <c r="E2178" s="3" t="inlineStr">
        <is>
          <t>Flight No</t>
        </is>
      </c>
      <c r="F2178" s="3" t="inlineStr">
        <is>
          <t>Dep Stn</t>
        </is>
      </c>
      <c r="G2178" s="3" t="inlineStr">
        <is>
          <t>Arr Stn</t>
        </is>
      </c>
      <c r="H2178" s="3" t="inlineStr">
        <is>
          <t>STD</t>
        </is>
      </c>
      <c r="I2178" s="3" t="inlineStr">
        <is>
          <t>STA</t>
        </is>
      </c>
      <c r="J2178" s="3" t="inlineStr">
        <is>
          <t>subflota</t>
        </is>
      </c>
      <c r="K2178" s="3" t="inlineStr">
        <is>
          <t>Conexion</t>
        </is>
      </c>
      <c r="L2178" s="3" t="inlineStr">
        <is>
          <t>HBT</t>
        </is>
      </c>
    </row>
    <row r="2179">
      <c r="B2179" s="4" t="n">
        <v>2110</v>
      </c>
      <c r="C2179" s="4" t="inlineStr">
        <is>
          <t>24/09/2026</t>
        </is>
      </c>
      <c r="D2179" s="4" t="inlineStr">
        <is>
          <t>jueves</t>
        </is>
      </c>
      <c r="E2179" s="4" t="n">
        <v>2338</v>
      </c>
      <c r="F2179" s="4" t="inlineStr">
        <is>
          <t>LIM</t>
        </is>
      </c>
      <c r="G2179" s="4" t="inlineStr">
        <is>
          <t>PIU</t>
        </is>
      </c>
      <c r="H2179" s="4" t="inlineStr">
        <is>
          <t>15:00:00</t>
        </is>
      </c>
      <c r="I2179" s="4" t="inlineStr">
        <is>
          <t>16:45:00</t>
        </is>
      </c>
      <c r="J2179" s="4" t="n">
        <v>320</v>
      </c>
      <c r="L2179" s="4" t="inlineStr">
        <is>
          <t>01:45:00</t>
        </is>
      </c>
      <c r="M2179" s="5" t="n"/>
      <c r="N2179" s="6" t="n"/>
      <c r="O2179" s="5" t="n"/>
      <c r="Q2179" s="4">
        <f>B2179</f>
        <v/>
      </c>
      <c r="R2179" s="4">
        <f>C2179</f>
        <v/>
      </c>
      <c r="S2179" s="4">
        <f>D2179</f>
        <v/>
      </c>
      <c r="T2179" s="4">
        <f>E2179&amp;"/"&amp;E2180</f>
        <v/>
      </c>
      <c r="U2179" s="4">
        <f>F2179&amp;"-"&amp;G2179&amp;"-"&amp;F2179</f>
        <v/>
      </c>
      <c r="V2179" s="4">
        <f>IF($M$2179="","",$M$2179)</f>
        <v/>
      </c>
      <c r="W2179" s="4">
        <f>IF($O$2179="","",$O$2179)</f>
        <v/>
      </c>
      <c r="X2179" s="4">
        <f>J2179</f>
        <v/>
      </c>
    </row>
    <row r="2180">
      <c r="B2180" s="4" t="n">
        <v>2110</v>
      </c>
      <c r="C2180" s="4" t="inlineStr">
        <is>
          <t>24/09/2026</t>
        </is>
      </c>
      <c r="D2180" s="4" t="inlineStr">
        <is>
          <t>jueves</t>
        </is>
      </c>
      <c r="E2180" s="4" t="n">
        <v>2339</v>
      </c>
      <c r="F2180" s="4" t="inlineStr">
        <is>
          <t>PIU</t>
        </is>
      </c>
      <c r="G2180" s="4" t="inlineStr">
        <is>
          <t>LIM</t>
        </is>
      </c>
      <c r="H2180" s="4" t="inlineStr">
        <is>
          <t>17:20:00</t>
        </is>
      </c>
      <c r="I2180" s="4" t="inlineStr">
        <is>
          <t>18:50:00</t>
        </is>
      </c>
      <c r="J2180" s="4" t="n">
        <v>320</v>
      </c>
      <c r="K2180">
        <f>TEXT(TIMEVALUE(H2180)-TIMEVALUE(I2179)+(TIMEVALUE(H2180)&lt;TIMEVALUE(I2179)),"[h]:mm")</f>
        <v/>
      </c>
      <c r="L2180" s="4" t="inlineStr">
        <is>
          <t>01:30:00</t>
        </is>
      </c>
      <c r="O2180">
        <f>"LIM-"&amp;G2179&amp;"-LIM   LA "&amp;E2179&amp;" ("&amp;LEFT(H2179,5)&amp;"-"&amp;LEFT(I2179,5)&amp;" hrs)  /  LA "&amp;E2180&amp;" ("&amp;LEFT(H2180,5)&amp;"-"&amp;LEFT(I2180,5)&amp;" hrs)"</f>
        <v/>
      </c>
    </row>
    <row r="2181">
      <c r="J2181" s="8" t="inlineStr">
        <is>
          <t>PSV total:</t>
        </is>
      </c>
      <c r="K2181" s="9">
        <f>TEXT(TIMEVALUE(I2180)-TIMEVALUE(H2179)+(I2180&lt;H2179),"[h]:mm")</f>
        <v/>
      </c>
    </row>
    <row r="2183">
      <c r="B2183" s="3" t="inlineStr">
        <is>
          <t>Pairing ID</t>
        </is>
      </c>
      <c r="C2183" s="3" t="inlineStr">
        <is>
          <t>FECHA REAL</t>
        </is>
      </c>
      <c r="D2183" s="3" t="inlineStr">
        <is>
          <t>Day of Week</t>
        </is>
      </c>
      <c r="E2183" s="3" t="inlineStr">
        <is>
          <t>Flight No</t>
        </is>
      </c>
      <c r="F2183" s="3" t="inlineStr">
        <is>
          <t>Dep Stn</t>
        </is>
      </c>
      <c r="G2183" s="3" t="inlineStr">
        <is>
          <t>Arr Stn</t>
        </is>
      </c>
      <c r="H2183" s="3" t="inlineStr">
        <is>
          <t>STD</t>
        </is>
      </c>
      <c r="I2183" s="3" t="inlineStr">
        <is>
          <t>STA</t>
        </is>
      </c>
      <c r="J2183" s="3" t="inlineStr">
        <is>
          <t>subflota</t>
        </is>
      </c>
      <c r="K2183" s="3" t="inlineStr">
        <is>
          <t>Conexion</t>
        </is>
      </c>
      <c r="L2183" s="3" t="inlineStr">
        <is>
          <t>HBT</t>
        </is>
      </c>
    </row>
    <row r="2184">
      <c r="B2184" s="4" t="n">
        <v>2111</v>
      </c>
      <c r="C2184" s="4" t="inlineStr">
        <is>
          <t>24/09/2026</t>
        </is>
      </c>
      <c r="D2184" s="4" t="inlineStr">
        <is>
          <t>jueves</t>
        </is>
      </c>
      <c r="E2184" s="4" t="n">
        <v>2338</v>
      </c>
      <c r="F2184" s="4" t="inlineStr">
        <is>
          <t>LIM</t>
        </is>
      </c>
      <c r="G2184" s="4" t="inlineStr">
        <is>
          <t>PIU</t>
        </is>
      </c>
      <c r="H2184" s="4" t="inlineStr">
        <is>
          <t>15:00:00</t>
        </is>
      </c>
      <c r="I2184" s="4" t="inlineStr">
        <is>
          <t>16:45:00</t>
        </is>
      </c>
      <c r="J2184" s="4" t="n">
        <v>320</v>
      </c>
      <c r="L2184" s="4" t="inlineStr">
        <is>
          <t>01:45:00</t>
        </is>
      </c>
      <c r="M2184" s="5" t="n"/>
      <c r="N2184" s="6" t="n"/>
      <c r="O2184" s="5" t="n"/>
      <c r="Q2184" s="4">
        <f>B2184</f>
        <v/>
      </c>
      <c r="R2184" s="4">
        <f>C2184</f>
        <v/>
      </c>
      <c r="S2184" s="4">
        <f>D2184</f>
        <v/>
      </c>
      <c r="T2184" s="4">
        <f>E2184&amp;"/"&amp;E2185</f>
        <v/>
      </c>
      <c r="U2184" s="4">
        <f>F2184&amp;"-"&amp;G2184&amp;"-"&amp;F2184</f>
        <v/>
      </c>
      <c r="V2184" s="4">
        <f>IF($M$2184="","",$M$2184)</f>
        <v/>
      </c>
      <c r="W2184" s="4">
        <f>IF($O$2184="","",$O$2184)</f>
        <v/>
      </c>
      <c r="X2184" s="4">
        <f>J2184</f>
        <v/>
      </c>
    </row>
    <row r="2185">
      <c r="B2185" s="4" t="n">
        <v>2111</v>
      </c>
      <c r="C2185" s="4" t="inlineStr">
        <is>
          <t>24/09/2026</t>
        </is>
      </c>
      <c r="D2185" s="4" t="inlineStr">
        <is>
          <t>jueves</t>
        </is>
      </c>
      <c r="E2185" s="4" t="n">
        <v>2339</v>
      </c>
      <c r="F2185" s="4" t="inlineStr">
        <is>
          <t>PIU</t>
        </is>
      </c>
      <c r="G2185" s="4" t="inlineStr">
        <is>
          <t>LIM</t>
        </is>
      </c>
      <c r="H2185" s="4" t="inlineStr">
        <is>
          <t>17:20:00</t>
        </is>
      </c>
      <c r="I2185" s="4" t="inlineStr">
        <is>
          <t>18:50:00</t>
        </is>
      </c>
      <c r="J2185" s="4" t="n">
        <v>320</v>
      </c>
      <c r="K2185">
        <f>TEXT(TIMEVALUE(H2185)-TIMEVALUE(I2184)+(TIMEVALUE(H2185)&lt;TIMEVALUE(I2184)),"[h]:mm")</f>
        <v/>
      </c>
      <c r="L2185" s="4" t="inlineStr">
        <is>
          <t>01:30:00</t>
        </is>
      </c>
      <c r="O2185">
        <f>"LIM-"&amp;G2184&amp;"-LIM   LA "&amp;E2184&amp;" ("&amp;LEFT(H2184,5)&amp;"-"&amp;LEFT(I2184,5)&amp;" hrs)  /  LA "&amp;E2185&amp;" ("&amp;LEFT(H2185,5)&amp;"-"&amp;LEFT(I2185,5)&amp;" hrs)"</f>
        <v/>
      </c>
    </row>
    <row r="2186">
      <c r="J2186" s="8" t="inlineStr">
        <is>
          <t>PSV total:</t>
        </is>
      </c>
      <c r="K2186" s="9">
        <f>TEXT(TIMEVALUE(I2185)-TIMEVALUE(H2184)+(I2185&lt;H2184),"[h]:mm")</f>
        <v/>
      </c>
    </row>
    <row r="2188">
      <c r="B2188" s="3" t="inlineStr">
        <is>
          <t>Pairing ID</t>
        </is>
      </c>
      <c r="C2188" s="3" t="inlineStr">
        <is>
          <t>FECHA REAL</t>
        </is>
      </c>
      <c r="D2188" s="3" t="inlineStr">
        <is>
          <t>Day of Week</t>
        </is>
      </c>
      <c r="E2188" s="3" t="inlineStr">
        <is>
          <t>Flight No</t>
        </is>
      </c>
      <c r="F2188" s="3" t="inlineStr">
        <is>
          <t>Dep Stn</t>
        </is>
      </c>
      <c r="G2188" s="3" t="inlineStr">
        <is>
          <t>Arr Stn</t>
        </is>
      </c>
      <c r="H2188" s="3" t="inlineStr">
        <is>
          <t>STD</t>
        </is>
      </c>
      <c r="I2188" s="3" t="inlineStr">
        <is>
          <t>STA</t>
        </is>
      </c>
      <c r="J2188" s="3" t="inlineStr">
        <is>
          <t>subflota</t>
        </is>
      </c>
      <c r="K2188" s="3" t="inlineStr">
        <is>
          <t>Conexion</t>
        </is>
      </c>
      <c r="L2188" s="3" t="inlineStr">
        <is>
          <t>HBT</t>
        </is>
      </c>
    </row>
    <row r="2189">
      <c r="B2189" s="4" t="n">
        <v>2112</v>
      </c>
      <c r="C2189" s="4" t="inlineStr">
        <is>
          <t>24/09/2026</t>
        </is>
      </c>
      <c r="D2189" s="4" t="inlineStr">
        <is>
          <t>jueves</t>
        </is>
      </c>
      <c r="E2189" s="4" t="n">
        <v>2113</v>
      </c>
      <c r="F2189" s="4" t="inlineStr">
        <is>
          <t>LIM</t>
        </is>
      </c>
      <c r="G2189" s="4" t="inlineStr">
        <is>
          <t>AQP</t>
        </is>
      </c>
      <c r="H2189" s="4" t="inlineStr">
        <is>
          <t>15:05:00</t>
        </is>
      </c>
      <c r="I2189" s="4" t="inlineStr">
        <is>
          <t>16:35:00</t>
        </is>
      </c>
      <c r="J2189" s="4" t="n">
        <v>319</v>
      </c>
      <c r="L2189" s="4" t="inlineStr">
        <is>
          <t>01:30:00</t>
        </is>
      </c>
      <c r="M2189" s="5" t="n"/>
      <c r="N2189" s="6" t="n"/>
      <c r="O2189" s="5" t="n"/>
      <c r="Q2189" s="4">
        <f>B2189</f>
        <v/>
      </c>
      <c r="R2189" s="4">
        <f>C2189</f>
        <v/>
      </c>
      <c r="S2189" s="4">
        <f>D2189</f>
        <v/>
      </c>
      <c r="T2189" s="4">
        <f>E2189&amp;"/"&amp;E2190</f>
        <v/>
      </c>
      <c r="U2189" s="4">
        <f>F2189&amp;"-"&amp;G2189&amp;"-"&amp;F2189</f>
        <v/>
      </c>
      <c r="V2189" s="4">
        <f>IF($M$2189="","",$M$2189)</f>
        <v/>
      </c>
      <c r="W2189" s="4">
        <f>IF($O$2189="","",$O$2189)</f>
        <v/>
      </c>
      <c r="X2189" s="4">
        <f>J2189</f>
        <v/>
      </c>
    </row>
    <row r="2190">
      <c r="B2190" s="4" t="n">
        <v>2112</v>
      </c>
      <c r="C2190" s="4" t="inlineStr">
        <is>
          <t>24/09/2026</t>
        </is>
      </c>
      <c r="D2190" s="4" t="inlineStr">
        <is>
          <t>jueves</t>
        </is>
      </c>
      <c r="E2190" s="4" t="n">
        <v>2112</v>
      </c>
      <c r="F2190" s="4" t="inlineStr">
        <is>
          <t>AQP</t>
        </is>
      </c>
      <c r="G2190" s="4" t="inlineStr">
        <is>
          <t>LIM</t>
        </is>
      </c>
      <c r="H2190" s="4" t="inlineStr">
        <is>
          <t>17:15:00</t>
        </is>
      </c>
      <c r="I2190" s="4" t="inlineStr">
        <is>
          <t>18:55:00</t>
        </is>
      </c>
      <c r="J2190" s="4" t="n">
        <v>319</v>
      </c>
      <c r="K2190">
        <f>TEXT(TIMEVALUE(H2190)-TIMEVALUE(I2189)+(TIMEVALUE(H2190)&lt;TIMEVALUE(I2189)),"[h]:mm")</f>
        <v/>
      </c>
      <c r="L2190" s="4" t="inlineStr">
        <is>
          <t>01:40:00</t>
        </is>
      </c>
      <c r="O2190">
        <f>"LIM-"&amp;G2189&amp;"-LIM   LA "&amp;E2189&amp;" ("&amp;LEFT(H2189,5)&amp;"-"&amp;LEFT(I2189,5)&amp;" hrs)  /  LA "&amp;E2190&amp;" ("&amp;LEFT(H2190,5)&amp;"-"&amp;LEFT(I2190,5)&amp;" hrs)"</f>
        <v/>
      </c>
    </row>
    <row r="2191">
      <c r="J2191" s="8" t="inlineStr">
        <is>
          <t>PSV total:</t>
        </is>
      </c>
      <c r="K2191" s="9">
        <f>TEXT(TIMEVALUE(I2190)-TIMEVALUE(H2189)+(I2190&lt;H2189),"[h]:mm")</f>
        <v/>
      </c>
    </row>
    <row r="2193">
      <c r="B2193" s="3" t="inlineStr">
        <is>
          <t>Pairing ID</t>
        </is>
      </c>
      <c r="C2193" s="3" t="inlineStr">
        <is>
          <t>FECHA REAL</t>
        </is>
      </c>
      <c r="D2193" s="3" t="inlineStr">
        <is>
          <t>Day of Week</t>
        </is>
      </c>
      <c r="E2193" s="3" t="inlineStr">
        <is>
          <t>Flight No</t>
        </is>
      </c>
      <c r="F2193" s="3" t="inlineStr">
        <is>
          <t>Dep Stn</t>
        </is>
      </c>
      <c r="G2193" s="3" t="inlineStr">
        <is>
          <t>Arr Stn</t>
        </is>
      </c>
      <c r="H2193" s="3" t="inlineStr">
        <is>
          <t>STD</t>
        </is>
      </c>
      <c r="I2193" s="3" t="inlineStr">
        <is>
          <t>STA</t>
        </is>
      </c>
      <c r="J2193" s="3" t="inlineStr">
        <is>
          <t>subflota</t>
        </is>
      </c>
      <c r="K2193" s="3" t="inlineStr">
        <is>
          <t>Conexion</t>
        </is>
      </c>
      <c r="L2193" s="3" t="inlineStr">
        <is>
          <t>HBT</t>
        </is>
      </c>
    </row>
    <row r="2194">
      <c r="B2194" s="4" t="n">
        <v>2114</v>
      </c>
      <c r="C2194" s="4" t="inlineStr">
        <is>
          <t>24/09/2026</t>
        </is>
      </c>
      <c r="D2194" s="4" t="inlineStr">
        <is>
          <t>jueves</t>
        </is>
      </c>
      <c r="E2194" s="4" t="n">
        <v>2360</v>
      </c>
      <c r="F2194" s="4" t="inlineStr">
        <is>
          <t>LIM</t>
        </is>
      </c>
      <c r="G2194" s="4" t="inlineStr">
        <is>
          <t>PCL</t>
        </is>
      </c>
      <c r="H2194" s="4" t="inlineStr">
        <is>
          <t>15:25:00</t>
        </is>
      </c>
      <c r="I2194" s="4" t="inlineStr">
        <is>
          <t>16:40:00</t>
        </is>
      </c>
      <c r="J2194" s="4" t="n">
        <v>320</v>
      </c>
      <c r="L2194" s="4" t="inlineStr">
        <is>
          <t>01:15:00</t>
        </is>
      </c>
      <c r="M2194" s="5" t="n"/>
      <c r="N2194" s="6" t="n"/>
      <c r="O2194" s="5" t="n"/>
      <c r="Q2194" s="4">
        <f>B2194</f>
        <v/>
      </c>
      <c r="R2194" s="4">
        <f>C2194</f>
        <v/>
      </c>
      <c r="S2194" s="4">
        <f>D2194</f>
        <v/>
      </c>
      <c r="T2194" s="4">
        <f>E2194&amp;"/"&amp;E2195</f>
        <v/>
      </c>
      <c r="U2194" s="4">
        <f>F2194&amp;"-"&amp;G2194&amp;"-"&amp;F2194</f>
        <v/>
      </c>
      <c r="V2194" s="4">
        <f>IF($M$2194="","",$M$2194)</f>
        <v/>
      </c>
      <c r="W2194" s="4">
        <f>IF($O$2194="","",$O$2194)</f>
        <v/>
      </c>
      <c r="X2194" s="4">
        <f>J2194</f>
        <v/>
      </c>
    </row>
    <row r="2195">
      <c r="B2195" s="4" t="n">
        <v>2114</v>
      </c>
      <c r="C2195" s="4" t="inlineStr">
        <is>
          <t>24/09/2026</t>
        </is>
      </c>
      <c r="D2195" s="4" t="inlineStr">
        <is>
          <t>jueves</t>
        </is>
      </c>
      <c r="E2195" s="4" t="n">
        <v>2361</v>
      </c>
      <c r="F2195" s="4" t="inlineStr">
        <is>
          <t>PCL</t>
        </is>
      </c>
      <c r="G2195" s="4" t="inlineStr">
        <is>
          <t>LIM</t>
        </is>
      </c>
      <c r="H2195" s="4" t="inlineStr">
        <is>
          <t>17:20:00</t>
        </is>
      </c>
      <c r="I2195" s="4" t="inlineStr">
        <is>
          <t>18:35:00</t>
        </is>
      </c>
      <c r="J2195" s="4" t="n">
        <v>320</v>
      </c>
      <c r="K2195">
        <f>TEXT(TIMEVALUE(H2195)-TIMEVALUE(I2194)+(TIMEVALUE(H2195)&lt;TIMEVALUE(I2194)),"[h]:mm")</f>
        <v/>
      </c>
      <c r="L2195" s="4" t="inlineStr">
        <is>
          <t>01:15:00</t>
        </is>
      </c>
      <c r="O2195">
        <f>"LIM-"&amp;G2194&amp;"-LIM   LA "&amp;E2194&amp;" ("&amp;LEFT(H2194,5)&amp;"-"&amp;LEFT(I2194,5)&amp;" hrs)  /  LA "&amp;E2195&amp;" ("&amp;LEFT(H2195,5)&amp;"-"&amp;LEFT(I2195,5)&amp;" hrs)"</f>
        <v/>
      </c>
    </row>
    <row r="2196">
      <c r="J2196" s="8" t="inlineStr">
        <is>
          <t>PSV total:</t>
        </is>
      </c>
      <c r="K2196" s="9">
        <f>TEXT(TIMEVALUE(I2195)-TIMEVALUE(H2194)+(I2195&lt;H2194),"[h]:mm")</f>
        <v/>
      </c>
    </row>
    <row r="2198">
      <c r="B2198" s="3" t="inlineStr">
        <is>
          <t>Pairing ID</t>
        </is>
      </c>
      <c r="C2198" s="3" t="inlineStr">
        <is>
          <t>FECHA REAL</t>
        </is>
      </c>
      <c r="D2198" s="3" t="inlineStr">
        <is>
          <t>Day of Week</t>
        </is>
      </c>
      <c r="E2198" s="3" t="inlineStr">
        <is>
          <t>Flight No</t>
        </is>
      </c>
      <c r="F2198" s="3" t="inlineStr">
        <is>
          <t>Dep Stn</t>
        </is>
      </c>
      <c r="G2198" s="3" t="inlineStr">
        <is>
          <t>Arr Stn</t>
        </is>
      </c>
      <c r="H2198" s="3" t="inlineStr">
        <is>
          <t>STD</t>
        </is>
      </c>
      <c r="I2198" s="3" t="inlineStr">
        <is>
          <t>STA</t>
        </is>
      </c>
      <c r="J2198" s="3" t="inlineStr">
        <is>
          <t>subflota</t>
        </is>
      </c>
      <c r="K2198" s="3" t="inlineStr">
        <is>
          <t>Conexion</t>
        </is>
      </c>
      <c r="L2198" s="3" t="inlineStr">
        <is>
          <t>HBT</t>
        </is>
      </c>
    </row>
    <row r="2199">
      <c r="B2199" s="4" t="n">
        <v>2115</v>
      </c>
      <c r="C2199" s="4" t="inlineStr">
        <is>
          <t>24/09/2026</t>
        </is>
      </c>
      <c r="D2199" s="4" t="inlineStr">
        <is>
          <t>jueves</t>
        </is>
      </c>
      <c r="E2199" s="4" t="n">
        <v>2312</v>
      </c>
      <c r="F2199" s="4" t="inlineStr">
        <is>
          <t>LIM</t>
        </is>
      </c>
      <c r="G2199" s="4" t="inlineStr">
        <is>
          <t>CIX</t>
        </is>
      </c>
      <c r="H2199" s="4" t="inlineStr">
        <is>
          <t>15:35:00</t>
        </is>
      </c>
      <c r="I2199" s="4" t="inlineStr">
        <is>
          <t>17:05:00</t>
        </is>
      </c>
      <c r="J2199" s="4" t="n">
        <v>320</v>
      </c>
      <c r="L2199" s="4" t="inlineStr">
        <is>
          <t>01:30:00</t>
        </is>
      </c>
      <c r="M2199" s="5" t="n"/>
      <c r="N2199" s="6" t="n"/>
      <c r="O2199" s="5" t="n"/>
      <c r="Q2199" s="4">
        <f>B2199</f>
        <v/>
      </c>
      <c r="R2199" s="4">
        <f>C2199</f>
        <v/>
      </c>
      <c r="S2199" s="4">
        <f>D2199</f>
        <v/>
      </c>
      <c r="T2199" s="4">
        <f>E2199&amp;"/"&amp;E2200</f>
        <v/>
      </c>
      <c r="U2199" s="4">
        <f>F2199&amp;"-"&amp;G2199&amp;"-"&amp;F2199</f>
        <v/>
      </c>
      <c r="V2199" s="4">
        <f>IF($M$2199="","",$M$2199)</f>
        <v/>
      </c>
      <c r="W2199" s="4">
        <f>IF($O$2199="","",$O$2199)</f>
        <v/>
      </c>
      <c r="X2199" s="4">
        <f>J2199</f>
        <v/>
      </c>
    </row>
    <row r="2200">
      <c r="B2200" s="4" t="n">
        <v>2115</v>
      </c>
      <c r="C2200" s="4" t="inlineStr">
        <is>
          <t>24/09/2026</t>
        </is>
      </c>
      <c r="D2200" s="4" t="inlineStr">
        <is>
          <t>jueves</t>
        </is>
      </c>
      <c r="E2200" s="4" t="n">
        <v>2313</v>
      </c>
      <c r="F2200" s="4" t="inlineStr">
        <is>
          <t>CIX</t>
        </is>
      </c>
      <c r="G2200" s="4" t="inlineStr">
        <is>
          <t>LIM</t>
        </is>
      </c>
      <c r="H2200" s="4" t="inlineStr">
        <is>
          <t>17:50:00</t>
        </is>
      </c>
      <c r="I2200" s="4" t="inlineStr">
        <is>
          <t>19:10:00</t>
        </is>
      </c>
      <c r="J2200" s="4" t="n">
        <v>320</v>
      </c>
      <c r="K2200">
        <f>TEXT(TIMEVALUE(H2200)-TIMEVALUE(I2199)+(TIMEVALUE(H2200)&lt;TIMEVALUE(I2199)),"[h]:mm")</f>
        <v/>
      </c>
      <c r="L2200" s="4" t="inlineStr">
        <is>
          <t>01:20:00</t>
        </is>
      </c>
      <c r="O2200">
        <f>"LIM-"&amp;G2199&amp;"-LIM   LA "&amp;E2199&amp;" ("&amp;LEFT(H2199,5)&amp;"-"&amp;LEFT(I2199,5)&amp;" hrs)  /  LA "&amp;E2200&amp;" ("&amp;LEFT(H2200,5)&amp;"-"&amp;LEFT(I2200,5)&amp;" hrs)"</f>
        <v/>
      </c>
    </row>
    <row r="2201">
      <c r="J2201" s="8" t="inlineStr">
        <is>
          <t>PSV total:</t>
        </is>
      </c>
      <c r="K2201" s="9">
        <f>TEXT(TIMEVALUE(I2200)-TIMEVALUE(H2199)+(I2200&lt;H2199),"[h]:mm")</f>
        <v/>
      </c>
    </row>
    <row r="2203">
      <c r="B2203" s="3" t="inlineStr">
        <is>
          <t>Pairing ID</t>
        </is>
      </c>
      <c r="C2203" s="3" t="inlineStr">
        <is>
          <t>FECHA REAL</t>
        </is>
      </c>
      <c r="D2203" s="3" t="inlineStr">
        <is>
          <t>Day of Week</t>
        </is>
      </c>
      <c r="E2203" s="3" t="inlineStr">
        <is>
          <t>Flight No</t>
        </is>
      </c>
      <c r="F2203" s="3" t="inlineStr">
        <is>
          <t>Dep Stn</t>
        </is>
      </c>
      <c r="G2203" s="3" t="inlineStr">
        <is>
          <t>Arr Stn</t>
        </is>
      </c>
      <c r="H2203" s="3" t="inlineStr">
        <is>
          <t>STD</t>
        </is>
      </c>
      <c r="I2203" s="3" t="inlineStr">
        <is>
          <t>STA</t>
        </is>
      </c>
      <c r="J2203" s="3" t="inlineStr">
        <is>
          <t>subflota</t>
        </is>
      </c>
      <c r="K2203" s="3" t="inlineStr">
        <is>
          <t>Conexion</t>
        </is>
      </c>
      <c r="L2203" s="3" t="inlineStr">
        <is>
          <t>HBT</t>
        </is>
      </c>
    </row>
    <row r="2204">
      <c r="B2204" s="4" t="n">
        <v>2118</v>
      </c>
      <c r="C2204" s="4" t="inlineStr">
        <is>
          <t>24/09/2026</t>
        </is>
      </c>
      <c r="D2204" s="4" t="inlineStr">
        <is>
          <t>jueves</t>
        </is>
      </c>
      <c r="E2204" s="4" t="n">
        <v>2276</v>
      </c>
      <c r="F2204" s="4" t="inlineStr">
        <is>
          <t>LIM</t>
        </is>
      </c>
      <c r="G2204" s="4" t="inlineStr">
        <is>
          <t>CUZ</t>
        </is>
      </c>
      <c r="H2204" s="4" t="inlineStr">
        <is>
          <t>16:35:00</t>
        </is>
      </c>
      <c r="I2204" s="4" t="inlineStr">
        <is>
          <t>17:55:00</t>
        </is>
      </c>
      <c r="J2204" s="4" t="n">
        <v>320</v>
      </c>
      <c r="L2204" s="4" t="inlineStr">
        <is>
          <t>01:20:00</t>
        </is>
      </c>
      <c r="M2204" s="5" t="n"/>
      <c r="N2204" s="6" t="n"/>
      <c r="O2204" s="5" t="n"/>
      <c r="Q2204" s="4">
        <f>B2204</f>
        <v/>
      </c>
      <c r="R2204" s="4">
        <f>C2204</f>
        <v/>
      </c>
      <c r="S2204" s="4">
        <f>D2204</f>
        <v/>
      </c>
      <c r="T2204" s="4">
        <f>E2204&amp;"/"&amp;E2205</f>
        <v/>
      </c>
      <c r="U2204" s="4">
        <f>F2204&amp;"-"&amp;G2204&amp;"-"&amp;F2204</f>
        <v/>
      </c>
      <c r="V2204" s="4">
        <f>IF($M$2204="","",$M$2204)</f>
        <v/>
      </c>
      <c r="W2204" s="4">
        <f>IF($O$2204="","",$O$2204)</f>
        <v/>
      </c>
      <c r="X2204" s="4">
        <f>J2204</f>
        <v/>
      </c>
    </row>
    <row r="2205">
      <c r="B2205" s="4" t="n">
        <v>2118</v>
      </c>
      <c r="C2205" s="4" t="inlineStr">
        <is>
          <t>24/09/2026</t>
        </is>
      </c>
      <c r="D2205" s="4" t="inlineStr">
        <is>
          <t>jueves</t>
        </is>
      </c>
      <c r="E2205" s="4" t="n">
        <v>2277</v>
      </c>
      <c r="F2205" s="4" t="inlineStr">
        <is>
          <t>CUZ</t>
        </is>
      </c>
      <c r="G2205" s="4" t="inlineStr">
        <is>
          <t>LIM</t>
        </is>
      </c>
      <c r="H2205" s="4" t="inlineStr">
        <is>
          <t>18:50:00</t>
        </is>
      </c>
      <c r="I2205" s="4" t="inlineStr">
        <is>
          <t>20:25:00</t>
        </is>
      </c>
      <c r="J2205" s="4" t="n">
        <v>320</v>
      </c>
      <c r="K2205">
        <f>TEXT(TIMEVALUE(H2205)-TIMEVALUE(I2204)+(TIMEVALUE(H2205)&lt;TIMEVALUE(I2204)),"[h]:mm")</f>
        <v/>
      </c>
      <c r="L2205" s="4" t="inlineStr">
        <is>
          <t>01:35:00</t>
        </is>
      </c>
      <c r="O2205">
        <f>"LIM-"&amp;G2204&amp;"-LIM   LA "&amp;E2204&amp;" ("&amp;LEFT(H2204,5)&amp;"-"&amp;LEFT(I2204,5)&amp;" hrs)  /  LA "&amp;E2205&amp;" ("&amp;LEFT(H2205,5)&amp;"-"&amp;LEFT(I2205,5)&amp;" hrs)"</f>
        <v/>
      </c>
    </row>
    <row r="2206">
      <c r="J2206" s="8" t="inlineStr">
        <is>
          <t>PSV total:</t>
        </is>
      </c>
      <c r="K2206" s="9">
        <f>TEXT(TIMEVALUE(I2205)-TIMEVALUE(H2204)+(I2205&lt;H2204),"[h]:mm")</f>
        <v/>
      </c>
    </row>
    <row r="2208">
      <c r="B2208" s="3" t="inlineStr">
        <is>
          <t>Pairing ID</t>
        </is>
      </c>
      <c r="C2208" s="3" t="inlineStr">
        <is>
          <t>FECHA REAL</t>
        </is>
      </c>
      <c r="D2208" s="3" t="inlineStr">
        <is>
          <t>Day of Week</t>
        </is>
      </c>
      <c r="E2208" s="3" t="inlineStr">
        <is>
          <t>Flight No</t>
        </is>
      </c>
      <c r="F2208" s="3" t="inlineStr">
        <is>
          <t>Dep Stn</t>
        </is>
      </c>
      <c r="G2208" s="3" t="inlineStr">
        <is>
          <t>Arr Stn</t>
        </is>
      </c>
      <c r="H2208" s="3" t="inlineStr">
        <is>
          <t>STD</t>
        </is>
      </c>
      <c r="I2208" s="3" t="inlineStr">
        <is>
          <t>STA</t>
        </is>
      </c>
      <c r="J2208" s="3" t="inlineStr">
        <is>
          <t>subflota</t>
        </is>
      </c>
      <c r="K2208" s="3" t="inlineStr">
        <is>
          <t>Conexion</t>
        </is>
      </c>
      <c r="L2208" s="3" t="inlineStr">
        <is>
          <t>HBT</t>
        </is>
      </c>
    </row>
    <row r="2209">
      <c r="B2209" s="4" t="n">
        <v>2122</v>
      </c>
      <c r="C2209" s="4" t="inlineStr">
        <is>
          <t>24/09/2026</t>
        </is>
      </c>
      <c r="D2209" s="4" t="inlineStr">
        <is>
          <t>jueves</t>
        </is>
      </c>
      <c r="E2209" s="4" t="n">
        <v>2310</v>
      </c>
      <c r="F2209" s="4" t="inlineStr">
        <is>
          <t>LIM</t>
        </is>
      </c>
      <c r="G2209" s="4" t="inlineStr">
        <is>
          <t>CIX</t>
        </is>
      </c>
      <c r="H2209" s="4" t="inlineStr">
        <is>
          <t>18:20:00</t>
        </is>
      </c>
      <c r="I2209" s="4" t="inlineStr">
        <is>
          <t>19:45:00</t>
        </is>
      </c>
      <c r="J2209" s="4" t="n">
        <v>320</v>
      </c>
      <c r="L2209" s="4" t="inlineStr">
        <is>
          <t>01:25:00</t>
        </is>
      </c>
      <c r="M2209" s="5" t="n"/>
      <c r="N2209" s="6" t="n"/>
      <c r="O2209" s="5" t="n"/>
      <c r="Q2209" s="4">
        <f>B2209</f>
        <v/>
      </c>
      <c r="R2209" s="4">
        <f>C2209</f>
        <v/>
      </c>
      <c r="S2209" s="4">
        <f>D2209</f>
        <v/>
      </c>
      <c r="T2209" s="4">
        <f>E2209&amp;"/"&amp;E2210</f>
        <v/>
      </c>
      <c r="U2209" s="4">
        <f>F2209&amp;"-"&amp;G2209&amp;"-"&amp;F2209</f>
        <v/>
      </c>
      <c r="V2209" s="4">
        <f>IF($M$2209="","",$M$2209)</f>
        <v/>
      </c>
      <c r="W2209" s="4">
        <f>IF($O$2209="","",$O$2209)</f>
        <v/>
      </c>
      <c r="X2209" s="4">
        <f>J2209</f>
        <v/>
      </c>
    </row>
    <row r="2210">
      <c r="B2210" s="4" t="n">
        <v>2122</v>
      </c>
      <c r="C2210" s="4" t="inlineStr">
        <is>
          <t>24/09/2026</t>
        </is>
      </c>
      <c r="D2210" s="4" t="inlineStr">
        <is>
          <t>jueves</t>
        </is>
      </c>
      <c r="E2210" s="4" t="n">
        <v>2311</v>
      </c>
      <c r="F2210" s="4" t="inlineStr">
        <is>
          <t>CIX</t>
        </is>
      </c>
      <c r="G2210" s="4" t="inlineStr">
        <is>
          <t>LIM</t>
        </is>
      </c>
      <c r="H2210" s="4" t="inlineStr">
        <is>
          <t>20:20:00</t>
        </is>
      </c>
      <c r="I2210" s="4" t="inlineStr">
        <is>
          <t>21:35:00</t>
        </is>
      </c>
      <c r="J2210" s="4" t="n">
        <v>320</v>
      </c>
      <c r="K2210">
        <f>TEXT(TIMEVALUE(H2210)-TIMEVALUE(I2209)+(TIMEVALUE(H2210)&lt;TIMEVALUE(I2209)),"[h]:mm")</f>
        <v/>
      </c>
      <c r="L2210" s="4" t="inlineStr">
        <is>
          <t>01:15:00</t>
        </is>
      </c>
      <c r="O2210">
        <f>"LIM-"&amp;G2209&amp;"-LIM   LA "&amp;E2209&amp;" ("&amp;LEFT(H2209,5)&amp;"-"&amp;LEFT(I2209,5)&amp;" hrs)  /  LA "&amp;E2210&amp;" ("&amp;LEFT(H2210,5)&amp;"-"&amp;LEFT(I2210,5)&amp;" hrs)"</f>
        <v/>
      </c>
    </row>
    <row r="2211">
      <c r="J2211" s="8" t="inlineStr">
        <is>
          <t>PSV total:</t>
        </is>
      </c>
      <c r="K2211" s="9">
        <f>TEXT(TIMEVALUE(I2210)-TIMEVALUE(H2209)+(I2210&lt;H2209),"[h]:mm")</f>
        <v/>
      </c>
    </row>
    <row r="2213">
      <c r="B2213" s="3" t="inlineStr">
        <is>
          <t>Pairing ID</t>
        </is>
      </c>
      <c r="C2213" s="3" t="inlineStr">
        <is>
          <t>FECHA REAL</t>
        </is>
      </c>
      <c r="D2213" s="3" t="inlineStr">
        <is>
          <t>Day of Week</t>
        </is>
      </c>
      <c r="E2213" s="3" t="inlineStr">
        <is>
          <t>Flight No</t>
        </is>
      </c>
      <c r="F2213" s="3" t="inlineStr">
        <is>
          <t>Dep Stn</t>
        </is>
      </c>
      <c r="G2213" s="3" t="inlineStr">
        <is>
          <t>Arr Stn</t>
        </is>
      </c>
      <c r="H2213" s="3" t="inlineStr">
        <is>
          <t>STD</t>
        </is>
      </c>
      <c r="I2213" s="3" t="inlineStr">
        <is>
          <t>STA</t>
        </is>
      </c>
      <c r="J2213" s="3" t="inlineStr">
        <is>
          <t>subflota</t>
        </is>
      </c>
      <c r="K2213" s="3" t="inlineStr">
        <is>
          <t>Conexion</t>
        </is>
      </c>
      <c r="L2213" s="3" t="inlineStr">
        <is>
          <t>HBT</t>
        </is>
      </c>
    </row>
    <row r="2214">
      <c r="B2214" s="4" t="n">
        <v>2163</v>
      </c>
      <c r="C2214" s="4" t="inlineStr">
        <is>
          <t>25/09/2026</t>
        </is>
      </c>
      <c r="D2214" s="4" t="inlineStr">
        <is>
          <t>viernes</t>
        </is>
      </c>
      <c r="E2214" s="4" t="n">
        <v>2013</v>
      </c>
      <c r="F2214" s="4" t="inlineStr">
        <is>
          <t>LIM</t>
        </is>
      </c>
      <c r="G2214" s="4" t="inlineStr">
        <is>
          <t>CUZ</t>
        </is>
      </c>
      <c r="H2214" s="4" t="inlineStr">
        <is>
          <t>08:35:00</t>
        </is>
      </c>
      <c r="I2214" s="4" t="inlineStr">
        <is>
          <t>09:55:00</t>
        </is>
      </c>
      <c r="J2214" s="4" t="n">
        <v>319</v>
      </c>
      <c r="L2214" s="4" t="inlineStr">
        <is>
          <t>01:20:00</t>
        </is>
      </c>
      <c r="M2214" s="5" t="n"/>
      <c r="N2214" s="6" t="n"/>
      <c r="O2214" s="5" t="n"/>
      <c r="Q2214" s="4">
        <f>B2214</f>
        <v/>
      </c>
      <c r="R2214" s="4">
        <f>C2214</f>
        <v/>
      </c>
      <c r="S2214" s="4">
        <f>D2214</f>
        <v/>
      </c>
      <c r="T2214" s="4">
        <f>E2214&amp;"/"&amp;E2215</f>
        <v/>
      </c>
      <c r="U2214" s="4">
        <f>F2214&amp;"-"&amp;G2214&amp;"-"&amp;F2214</f>
        <v/>
      </c>
      <c r="V2214" s="4">
        <f>IF($M$2214="","",$M$2214)</f>
        <v/>
      </c>
      <c r="W2214" s="4">
        <f>IF($O$2214="","",$O$2214)</f>
        <v/>
      </c>
      <c r="X2214" s="4">
        <f>J2214</f>
        <v/>
      </c>
    </row>
    <row r="2215">
      <c r="B2215" s="4" t="n">
        <v>2163</v>
      </c>
      <c r="C2215" s="4" t="inlineStr">
        <is>
          <t>25/09/2026</t>
        </is>
      </c>
      <c r="D2215" s="4" t="inlineStr">
        <is>
          <t>viernes</t>
        </is>
      </c>
      <c r="E2215" s="4" t="n">
        <v>2014</v>
      </c>
      <c r="F2215" s="4" t="inlineStr">
        <is>
          <t>CUZ</t>
        </is>
      </c>
      <c r="G2215" s="4" t="inlineStr">
        <is>
          <t>LIM</t>
        </is>
      </c>
      <c r="H2215" s="4" t="inlineStr">
        <is>
          <t>10:40:00</t>
        </is>
      </c>
      <c r="I2215" s="4" t="inlineStr">
        <is>
          <t>12:15:00</t>
        </is>
      </c>
      <c r="J2215" s="4" t="n">
        <v>319</v>
      </c>
      <c r="K2215">
        <f>TEXT(TIMEVALUE(H2215)-TIMEVALUE(I2214)+(TIMEVALUE(H2215)&lt;TIMEVALUE(I2214)),"[h]:mm")</f>
        <v/>
      </c>
      <c r="L2215" s="4" t="inlineStr">
        <is>
          <t>01:35:00</t>
        </is>
      </c>
      <c r="O2215">
        <f>"LIM-"&amp;G2214&amp;"-LIM   LA "&amp;E2214&amp;" ("&amp;LEFT(H2214,5)&amp;"-"&amp;LEFT(I2214,5)&amp;" hrs)  /  LA "&amp;E2215&amp;" ("&amp;LEFT(H2215,5)&amp;"-"&amp;LEFT(I2215,5)&amp;" hrs)"</f>
        <v/>
      </c>
    </row>
    <row r="2216">
      <c r="J2216" s="8" t="inlineStr">
        <is>
          <t>PSV total:</t>
        </is>
      </c>
      <c r="K2216" s="9">
        <f>TEXT(TIMEVALUE(I2215)-TIMEVALUE(H2214)+(I2215&lt;H2214),"[h]:mm")</f>
        <v/>
      </c>
    </row>
    <row r="2218">
      <c r="B2218" s="3" t="inlineStr">
        <is>
          <t>Pairing ID</t>
        </is>
      </c>
      <c r="C2218" s="3" t="inlineStr">
        <is>
          <t>FECHA REAL</t>
        </is>
      </c>
      <c r="D2218" s="3" t="inlineStr">
        <is>
          <t>Day of Week</t>
        </is>
      </c>
      <c r="E2218" s="3" t="inlineStr">
        <is>
          <t>Flight No</t>
        </is>
      </c>
      <c r="F2218" s="3" t="inlineStr">
        <is>
          <t>Dep Stn</t>
        </is>
      </c>
      <c r="G2218" s="3" t="inlineStr">
        <is>
          <t>Arr Stn</t>
        </is>
      </c>
      <c r="H2218" s="3" t="inlineStr">
        <is>
          <t>STD</t>
        </is>
      </c>
      <c r="I2218" s="3" t="inlineStr">
        <is>
          <t>STA</t>
        </is>
      </c>
      <c r="J2218" s="3" t="inlineStr">
        <is>
          <t>subflota</t>
        </is>
      </c>
      <c r="K2218" s="3" t="inlineStr">
        <is>
          <t>Conexion</t>
        </is>
      </c>
      <c r="L2218" s="3" t="inlineStr">
        <is>
          <t>HBT</t>
        </is>
      </c>
    </row>
    <row r="2219">
      <c r="B2219" s="4" t="n">
        <v>2171</v>
      </c>
      <c r="C2219" s="4" t="inlineStr">
        <is>
          <t>25/09/2026</t>
        </is>
      </c>
      <c r="D2219" s="4" t="inlineStr">
        <is>
          <t>viernes</t>
        </is>
      </c>
      <c r="E2219" s="4" t="n">
        <v>2299</v>
      </c>
      <c r="F2219" s="4" t="inlineStr">
        <is>
          <t>LIM</t>
        </is>
      </c>
      <c r="G2219" s="4" t="inlineStr">
        <is>
          <t>CJA</t>
        </is>
      </c>
      <c r="H2219" s="4" t="inlineStr">
        <is>
          <t>11:35:00</t>
        </is>
      </c>
      <c r="I2219" s="4" t="inlineStr">
        <is>
          <t>12:55:00</t>
        </is>
      </c>
      <c r="J2219" s="4" t="n">
        <v>319</v>
      </c>
      <c r="L2219" s="4" t="inlineStr">
        <is>
          <t>01:20:00</t>
        </is>
      </c>
      <c r="M2219" s="5" t="n"/>
      <c r="N2219" s="6" t="n"/>
      <c r="O2219" s="5" t="n"/>
      <c r="Q2219" s="4">
        <f>B2219</f>
        <v/>
      </c>
      <c r="R2219" s="4">
        <f>C2219</f>
        <v/>
      </c>
      <c r="S2219" s="4">
        <f>D2219</f>
        <v/>
      </c>
      <c r="T2219" s="4">
        <f>E2219&amp;"/"&amp;E2220</f>
        <v/>
      </c>
      <c r="U2219" s="4">
        <f>F2219&amp;"-"&amp;G2219&amp;"-"&amp;F2219</f>
        <v/>
      </c>
      <c r="V2219" s="4">
        <f>IF($M$2219="","",$M$2219)</f>
        <v/>
      </c>
      <c r="W2219" s="4">
        <f>IF($O$2219="","",$O$2219)</f>
        <v/>
      </c>
      <c r="X2219" s="4">
        <f>J2219</f>
        <v/>
      </c>
    </row>
    <row r="2220">
      <c r="B2220" s="4" t="n">
        <v>2171</v>
      </c>
      <c r="C2220" s="4" t="inlineStr">
        <is>
          <t>25/09/2026</t>
        </is>
      </c>
      <c r="D2220" s="4" t="inlineStr">
        <is>
          <t>viernes</t>
        </is>
      </c>
      <c r="E2220" s="4" t="n">
        <v>2298</v>
      </c>
      <c r="F2220" s="4" t="inlineStr">
        <is>
          <t>CJA</t>
        </is>
      </c>
      <c r="G2220" s="4" t="inlineStr">
        <is>
          <t>LIM</t>
        </is>
      </c>
      <c r="H2220" s="4" t="inlineStr">
        <is>
          <t>13:45:00</t>
        </is>
      </c>
      <c r="I2220" s="4" t="inlineStr">
        <is>
          <t>14:55:00</t>
        </is>
      </c>
      <c r="J2220" s="4" t="n">
        <v>319</v>
      </c>
      <c r="K2220">
        <f>TEXT(TIMEVALUE(H2220)-TIMEVALUE(I2219)+(TIMEVALUE(H2220)&lt;TIMEVALUE(I2219)),"[h]:mm")</f>
        <v/>
      </c>
      <c r="L2220" s="4" t="inlineStr">
        <is>
          <t>01:10:00</t>
        </is>
      </c>
      <c r="O2220">
        <f>"LIM-"&amp;G2219&amp;"-LIM   LA "&amp;E2219&amp;" ("&amp;LEFT(H2219,5)&amp;"-"&amp;LEFT(I2219,5)&amp;" hrs)  /  LA "&amp;E2220&amp;" ("&amp;LEFT(H2220,5)&amp;"-"&amp;LEFT(I2220,5)&amp;" hrs)"</f>
        <v/>
      </c>
    </row>
    <row r="2221">
      <c r="B2221" s="4" t="n">
        <v>2205</v>
      </c>
      <c r="C2221" s="4" t="inlineStr">
        <is>
          <t>25/09/2026</t>
        </is>
      </c>
      <c r="D2221" s="4" t="inlineStr">
        <is>
          <t>viernes</t>
        </is>
      </c>
      <c r="E2221" s="4" t="n">
        <v>2127</v>
      </c>
      <c r="F2221" s="4" t="inlineStr">
        <is>
          <t>LIM</t>
        </is>
      </c>
      <c r="G2221" s="4" t="inlineStr">
        <is>
          <t>CUZ</t>
        </is>
      </c>
      <c r="H2221" s="4" t="inlineStr">
        <is>
          <t>16:10:00</t>
        </is>
      </c>
      <c r="I2221" s="4" t="inlineStr">
        <is>
          <t>17:30:00</t>
        </is>
      </c>
      <c r="J2221" s="4" t="n">
        <v>320</v>
      </c>
      <c r="K2221" s="7">
        <f>TEXT(TIMEVALUE(H2221)-TIMEVALUE(I2220)+(TIMEVALUE(H2221)&lt;TIMEVALUE(I2220)),"[h]:mm")</f>
        <v/>
      </c>
      <c r="L2221" s="4" t="inlineStr">
        <is>
          <t>01:20:00</t>
        </is>
      </c>
      <c r="M2221">
        <f>IF($M$2219="","",$M$2219)</f>
        <v/>
      </c>
      <c r="O2221">
        <f>IF($O$2219="","",$O$2219)</f>
        <v/>
      </c>
      <c r="Q2221" s="4">
        <f>B2221</f>
        <v/>
      </c>
      <c r="R2221" s="4">
        <f>C2221</f>
        <v/>
      </c>
      <c r="S2221" s="4">
        <f>D2221</f>
        <v/>
      </c>
      <c r="T2221" s="4">
        <f>E2221&amp;"/"&amp;E2222</f>
        <v/>
      </c>
      <c r="U2221" s="4">
        <f>F2221&amp;"-"&amp;G2221&amp;"-"&amp;F2221</f>
        <v/>
      </c>
      <c r="V2221" s="4">
        <f>IF($M$2219="","",$M$2219)</f>
        <v/>
      </c>
      <c r="W2221" s="4">
        <f>IF($O$2219="","",$O$2219)</f>
        <v/>
      </c>
      <c r="X2221" s="4">
        <f>J2221</f>
        <v/>
      </c>
    </row>
    <row r="2222">
      <c r="B2222" s="4" t="n">
        <v>2205</v>
      </c>
      <c r="C2222" s="4" t="inlineStr">
        <is>
          <t>25/09/2026</t>
        </is>
      </c>
      <c r="D2222" s="4" t="inlineStr">
        <is>
          <t>viernes</t>
        </is>
      </c>
      <c r="E2222" s="4" t="n">
        <v>2026</v>
      </c>
      <c r="F2222" s="4" t="inlineStr">
        <is>
          <t>CUZ</t>
        </is>
      </c>
      <c r="G2222" s="4" t="inlineStr">
        <is>
          <t>LIM</t>
        </is>
      </c>
      <c r="H2222" s="4" t="inlineStr">
        <is>
          <t>18:10:00</t>
        </is>
      </c>
      <c r="I2222" s="4" t="inlineStr">
        <is>
          <t>19:50:00</t>
        </is>
      </c>
      <c r="J2222" s="4" t="n">
        <v>320</v>
      </c>
      <c r="K2222">
        <f>TEXT(TIMEVALUE(H2222)-TIMEVALUE(I2221)+(TIMEVALUE(H2222)&lt;TIMEVALUE(I2221)),"[h]:mm")</f>
        <v/>
      </c>
      <c r="L2222" s="4" t="inlineStr">
        <is>
          <t>01:40:00</t>
        </is>
      </c>
      <c r="O2222">
        <f>"LIM-"&amp;G2221&amp;"-LIM   LA "&amp;E2221&amp;" ("&amp;LEFT(H2221,5)&amp;"-"&amp;LEFT(I2221,5)&amp;" hrs)  /  LA "&amp;E2222&amp;" ("&amp;LEFT(H2222,5)&amp;"-"&amp;LEFT(I2222,5)&amp;" hrs)"</f>
        <v/>
      </c>
    </row>
    <row r="2223">
      <c r="J2223" s="8" t="inlineStr">
        <is>
          <t>PSV total:</t>
        </is>
      </c>
      <c r="K2223" s="9">
        <f>TEXT(TIMEVALUE(I2222)-TIMEVALUE(H2219)+(I2222&lt;H2219),"[h]:mm")</f>
        <v/>
      </c>
    </row>
    <row r="2225">
      <c r="B2225" s="3" t="inlineStr">
        <is>
          <t>Pairing ID</t>
        </is>
      </c>
      <c r="C2225" s="3" t="inlineStr">
        <is>
          <t>FECHA REAL</t>
        </is>
      </c>
      <c r="D2225" s="3" t="inlineStr">
        <is>
          <t>Day of Week</t>
        </is>
      </c>
      <c r="E2225" s="3" t="inlineStr">
        <is>
          <t>Flight No</t>
        </is>
      </c>
      <c r="F2225" s="3" t="inlineStr">
        <is>
          <t>Dep Stn</t>
        </is>
      </c>
      <c r="G2225" s="3" t="inlineStr">
        <is>
          <t>Arr Stn</t>
        </is>
      </c>
      <c r="H2225" s="3" t="inlineStr">
        <is>
          <t>STD</t>
        </is>
      </c>
      <c r="I2225" s="3" t="inlineStr">
        <is>
          <t>STA</t>
        </is>
      </c>
      <c r="J2225" s="3" t="inlineStr">
        <is>
          <t>subflota</t>
        </is>
      </c>
      <c r="K2225" s="3" t="inlineStr">
        <is>
          <t>Conexion</t>
        </is>
      </c>
      <c r="L2225" s="3" t="inlineStr">
        <is>
          <t>HBT</t>
        </is>
      </c>
    </row>
    <row r="2226">
      <c r="B2226" s="4" t="n">
        <v>2173</v>
      </c>
      <c r="C2226" s="4" t="inlineStr">
        <is>
          <t>25/09/2026</t>
        </is>
      </c>
      <c r="D2226" s="4" t="inlineStr">
        <is>
          <t>viernes</t>
        </is>
      </c>
      <c r="E2226" s="4" t="n">
        <v>2111</v>
      </c>
      <c r="F2226" s="4" t="inlineStr">
        <is>
          <t>LIM</t>
        </is>
      </c>
      <c r="G2226" s="4" t="inlineStr">
        <is>
          <t>AQP</t>
        </is>
      </c>
      <c r="H2226" s="4" t="inlineStr">
        <is>
          <t>11:40:00</t>
        </is>
      </c>
      <c r="I2226" s="4" t="inlineStr">
        <is>
          <t>13:10:00</t>
        </is>
      </c>
      <c r="J2226" s="4" t="n">
        <v>320</v>
      </c>
      <c r="L2226" s="4" t="inlineStr">
        <is>
          <t>01:30:00</t>
        </is>
      </c>
      <c r="M2226" s="5" t="n"/>
      <c r="N2226" s="6" t="n"/>
      <c r="O2226" s="5" t="n"/>
      <c r="Q2226" s="4">
        <f>B2226</f>
        <v/>
      </c>
      <c r="R2226" s="4">
        <f>C2226</f>
        <v/>
      </c>
      <c r="S2226" s="4">
        <f>D2226</f>
        <v/>
      </c>
      <c r="T2226" s="4">
        <f>E2226&amp;"/"&amp;E2227</f>
        <v/>
      </c>
      <c r="U2226" s="4">
        <f>F2226&amp;"-"&amp;G2226&amp;"-"&amp;F2226</f>
        <v/>
      </c>
      <c r="V2226" s="4">
        <f>IF($M$2226="","",$M$2226)</f>
        <v/>
      </c>
      <c r="W2226" s="4">
        <f>IF($O$2226="","",$O$2226)</f>
        <v/>
      </c>
      <c r="X2226" s="4">
        <f>J2226</f>
        <v/>
      </c>
    </row>
    <row r="2227">
      <c r="B2227" s="4" t="n">
        <v>2173</v>
      </c>
      <c r="C2227" s="4" t="inlineStr">
        <is>
          <t>25/09/2026</t>
        </is>
      </c>
      <c r="D2227" s="4" t="inlineStr">
        <is>
          <t>viernes</t>
        </is>
      </c>
      <c r="E2227" s="4" t="n">
        <v>2110</v>
      </c>
      <c r="F2227" s="4" t="inlineStr">
        <is>
          <t>AQP</t>
        </is>
      </c>
      <c r="G2227" s="4" t="inlineStr">
        <is>
          <t>LIM</t>
        </is>
      </c>
      <c r="H2227" s="4" t="inlineStr">
        <is>
          <t>17:50:00</t>
        </is>
      </c>
      <c r="I2227" s="4" t="inlineStr">
        <is>
          <t>19:30:00</t>
        </is>
      </c>
      <c r="J2227" s="4" t="n">
        <v>320</v>
      </c>
      <c r="K2227">
        <f>TEXT(TIMEVALUE(H2227)-TIMEVALUE(I2226)+(TIMEVALUE(H2227)&lt;TIMEVALUE(I2226)),"[h]:mm")</f>
        <v/>
      </c>
      <c r="L2227" s="4" t="inlineStr">
        <is>
          <t>01:40:00</t>
        </is>
      </c>
      <c r="O2227">
        <f>"LIM-"&amp;G2226&amp;"-LIM   LA "&amp;E2226&amp;" ("&amp;LEFT(H2226,5)&amp;"-"&amp;LEFT(I2226,5)&amp;" hrs)  /  LA "&amp;E2227&amp;" ("&amp;LEFT(H2227,5)&amp;"-"&amp;LEFT(I2227,5)&amp;" hrs)"</f>
        <v/>
      </c>
    </row>
    <row r="2228">
      <c r="J2228" s="8" t="inlineStr">
        <is>
          <t>PSV total:</t>
        </is>
      </c>
      <c r="K2228" s="9">
        <f>TEXT(TIMEVALUE(I2227)-TIMEVALUE(H2226)+(I2227&lt;H2226),"[h]:mm")</f>
        <v/>
      </c>
    </row>
    <row r="2230">
      <c r="B2230" s="3" t="inlineStr">
        <is>
          <t>Pairing ID</t>
        </is>
      </c>
      <c r="C2230" s="3" t="inlineStr">
        <is>
          <t>FECHA REAL</t>
        </is>
      </c>
      <c r="D2230" s="3" t="inlineStr">
        <is>
          <t>Day of Week</t>
        </is>
      </c>
      <c r="E2230" s="3" t="inlineStr">
        <is>
          <t>Flight No</t>
        </is>
      </c>
      <c r="F2230" s="3" t="inlineStr">
        <is>
          <t>Dep Stn</t>
        </is>
      </c>
      <c r="G2230" s="3" t="inlineStr">
        <is>
          <t>Arr Stn</t>
        </is>
      </c>
      <c r="H2230" s="3" t="inlineStr">
        <is>
          <t>STD</t>
        </is>
      </c>
      <c r="I2230" s="3" t="inlineStr">
        <is>
          <t>STA</t>
        </is>
      </c>
      <c r="J2230" s="3" t="inlineStr">
        <is>
          <t>subflota</t>
        </is>
      </c>
      <c r="K2230" s="3" t="inlineStr">
        <is>
          <t>Conexion</t>
        </is>
      </c>
      <c r="L2230" s="3" t="inlineStr">
        <is>
          <t>HBT</t>
        </is>
      </c>
    </row>
    <row r="2231">
      <c r="B2231" s="4" t="n">
        <v>2174</v>
      </c>
      <c r="C2231" s="4" t="inlineStr">
        <is>
          <t>25/09/2026</t>
        </is>
      </c>
      <c r="D2231" s="4" t="inlineStr">
        <is>
          <t>viernes</t>
        </is>
      </c>
      <c r="E2231" s="4" t="n">
        <v>2316</v>
      </c>
      <c r="F2231" s="4" t="inlineStr">
        <is>
          <t>LIM</t>
        </is>
      </c>
      <c r="G2231" s="4" t="inlineStr">
        <is>
          <t>PIU</t>
        </is>
      </c>
      <c r="H2231" s="4" t="inlineStr">
        <is>
          <t>11:40:00</t>
        </is>
      </c>
      <c r="I2231" s="4" t="inlineStr">
        <is>
          <t>13:25:00</t>
        </is>
      </c>
      <c r="J2231" s="4" t="n">
        <v>319</v>
      </c>
      <c r="L2231" s="4" t="inlineStr">
        <is>
          <t>01:45:00</t>
        </is>
      </c>
      <c r="M2231" s="5" t="n"/>
      <c r="N2231" s="6" t="n"/>
      <c r="O2231" s="5" t="n"/>
      <c r="Q2231" s="4">
        <f>B2231</f>
        <v/>
      </c>
      <c r="R2231" s="4">
        <f>C2231</f>
        <v/>
      </c>
      <c r="S2231" s="4">
        <f>D2231</f>
        <v/>
      </c>
      <c r="T2231" s="4">
        <f>E2231&amp;"/"&amp;E2232</f>
        <v/>
      </c>
      <c r="U2231" s="4">
        <f>F2231&amp;"-"&amp;G2231&amp;"-"&amp;F2231</f>
        <v/>
      </c>
      <c r="V2231" s="4">
        <f>IF($M$2231="","",$M$2231)</f>
        <v/>
      </c>
      <c r="W2231" s="4">
        <f>IF($O$2231="","",$O$2231)</f>
        <v/>
      </c>
      <c r="X2231" s="4">
        <f>J2231</f>
        <v/>
      </c>
    </row>
    <row r="2232">
      <c r="B2232" s="4" t="n">
        <v>2174</v>
      </c>
      <c r="C2232" s="4" t="inlineStr">
        <is>
          <t>25/09/2026</t>
        </is>
      </c>
      <c r="D2232" s="4" t="inlineStr">
        <is>
          <t>viernes</t>
        </is>
      </c>
      <c r="E2232" s="4" t="n">
        <v>2317</v>
      </c>
      <c r="F2232" s="4" t="inlineStr">
        <is>
          <t>PIU</t>
        </is>
      </c>
      <c r="G2232" s="4" t="inlineStr">
        <is>
          <t>LIM</t>
        </is>
      </c>
      <c r="H2232" s="4" t="inlineStr">
        <is>
          <t>14:05:00</t>
        </is>
      </c>
      <c r="I2232" s="4" t="inlineStr">
        <is>
          <t>15:40:00</t>
        </is>
      </c>
      <c r="J2232" s="4" t="n">
        <v>319</v>
      </c>
      <c r="K2232">
        <f>TEXT(TIMEVALUE(H2232)-TIMEVALUE(I2231)+(TIMEVALUE(H2232)&lt;TIMEVALUE(I2231)),"[h]:mm")</f>
        <v/>
      </c>
      <c r="L2232" s="4" t="inlineStr">
        <is>
          <t>01:35:00</t>
        </is>
      </c>
      <c r="O2232">
        <f>"LIM-"&amp;G2231&amp;"-LIM   LA "&amp;E2231&amp;" ("&amp;LEFT(H2231,5)&amp;"-"&amp;LEFT(I2231,5)&amp;" hrs)  /  LA "&amp;E2232&amp;" ("&amp;LEFT(H2232,5)&amp;"-"&amp;LEFT(I2232,5)&amp;" hrs)"</f>
        <v/>
      </c>
    </row>
    <row r="2233">
      <c r="B2233" s="4" t="n">
        <v>2206</v>
      </c>
      <c r="C2233" s="4" t="inlineStr">
        <is>
          <t>25/09/2026</t>
        </is>
      </c>
      <c r="D2233" s="4" t="inlineStr">
        <is>
          <t>viernes</t>
        </is>
      </c>
      <c r="E2233" s="4" t="n">
        <v>2276</v>
      </c>
      <c r="F2233" s="4" t="inlineStr">
        <is>
          <t>LIM</t>
        </is>
      </c>
      <c r="G2233" s="4" t="inlineStr">
        <is>
          <t>CUZ</t>
        </is>
      </c>
      <c r="H2233" s="4" t="inlineStr">
        <is>
          <t>16:35:00</t>
        </is>
      </c>
      <c r="I2233" s="4" t="inlineStr">
        <is>
          <t>17:55:00</t>
        </is>
      </c>
      <c r="J2233" s="4" t="n">
        <v>320</v>
      </c>
      <c r="K2233" s="7">
        <f>TEXT(TIMEVALUE(H2233)-TIMEVALUE(I2232)+(TIMEVALUE(H2233)&lt;TIMEVALUE(I2232)),"[h]:mm")</f>
        <v/>
      </c>
      <c r="L2233" s="4" t="inlineStr">
        <is>
          <t>01:20:00</t>
        </is>
      </c>
      <c r="M2233">
        <f>IF($M$2231="","",$M$2231)</f>
        <v/>
      </c>
      <c r="O2233">
        <f>IF($O$2231="","",$O$2231)</f>
        <v/>
      </c>
      <c r="Q2233" s="4">
        <f>B2233</f>
        <v/>
      </c>
      <c r="R2233" s="4">
        <f>C2233</f>
        <v/>
      </c>
      <c r="S2233" s="4">
        <f>D2233</f>
        <v/>
      </c>
      <c r="T2233" s="4">
        <f>E2233&amp;"/"&amp;E2234</f>
        <v/>
      </c>
      <c r="U2233" s="4">
        <f>F2233&amp;"-"&amp;G2233&amp;"-"&amp;F2233</f>
        <v/>
      </c>
      <c r="V2233" s="4">
        <f>IF($M$2231="","",$M$2231)</f>
        <v/>
      </c>
      <c r="W2233" s="4">
        <f>IF($O$2231="","",$O$2231)</f>
        <v/>
      </c>
      <c r="X2233" s="4">
        <f>J2233</f>
        <v/>
      </c>
    </row>
    <row r="2234">
      <c r="B2234" s="4" t="n">
        <v>2206</v>
      </c>
      <c r="C2234" s="4" t="inlineStr">
        <is>
          <t>25/09/2026</t>
        </is>
      </c>
      <c r="D2234" s="4" t="inlineStr">
        <is>
          <t>viernes</t>
        </is>
      </c>
      <c r="E2234" s="4" t="n">
        <v>2277</v>
      </c>
      <c r="F2234" s="4" t="inlineStr">
        <is>
          <t>CUZ</t>
        </is>
      </c>
      <c r="G2234" s="4" t="inlineStr">
        <is>
          <t>LIM</t>
        </is>
      </c>
      <c r="H2234" s="4" t="inlineStr">
        <is>
          <t>18:50:00</t>
        </is>
      </c>
      <c r="I2234" s="4" t="inlineStr">
        <is>
          <t>20:25:00</t>
        </is>
      </c>
      <c r="J2234" s="4" t="n">
        <v>320</v>
      </c>
      <c r="K2234">
        <f>TEXT(TIMEVALUE(H2234)-TIMEVALUE(I2233)+(TIMEVALUE(H2234)&lt;TIMEVALUE(I2233)),"[h]:mm")</f>
        <v/>
      </c>
      <c r="L2234" s="4" t="inlineStr">
        <is>
          <t>01:35:00</t>
        </is>
      </c>
      <c r="O2234">
        <f>"LIM-"&amp;G2233&amp;"-LIM   LA "&amp;E2233&amp;" ("&amp;LEFT(H2233,5)&amp;"-"&amp;LEFT(I2233,5)&amp;" hrs)  /  LA "&amp;E2234&amp;" ("&amp;LEFT(H2234,5)&amp;"-"&amp;LEFT(I2234,5)&amp;" hrs)"</f>
        <v/>
      </c>
    </row>
    <row r="2235">
      <c r="J2235" s="8" t="inlineStr">
        <is>
          <t>PSV total:</t>
        </is>
      </c>
      <c r="K2235" s="9">
        <f>TEXT(TIMEVALUE(I2234)-TIMEVALUE(H2231)+(I2234&lt;H2231),"[h]:mm")</f>
        <v/>
      </c>
    </row>
    <row r="2237">
      <c r="B2237" s="3" t="inlineStr">
        <is>
          <t>Pairing ID</t>
        </is>
      </c>
      <c r="C2237" s="3" t="inlineStr">
        <is>
          <t>FECHA REAL</t>
        </is>
      </c>
      <c r="D2237" s="3" t="inlineStr">
        <is>
          <t>Day of Week</t>
        </is>
      </c>
      <c r="E2237" s="3" t="inlineStr">
        <is>
          <t>Flight No</t>
        </is>
      </c>
      <c r="F2237" s="3" t="inlineStr">
        <is>
          <t>Dep Stn</t>
        </is>
      </c>
      <c r="G2237" s="3" t="inlineStr">
        <is>
          <t>Arr Stn</t>
        </is>
      </c>
      <c r="H2237" s="3" t="inlineStr">
        <is>
          <t>STD</t>
        </is>
      </c>
      <c r="I2237" s="3" t="inlineStr">
        <is>
          <t>STA</t>
        </is>
      </c>
      <c r="J2237" s="3" t="inlineStr">
        <is>
          <t>subflota</t>
        </is>
      </c>
      <c r="K2237" s="3" t="inlineStr">
        <is>
          <t>Conexion</t>
        </is>
      </c>
      <c r="L2237" s="3" t="inlineStr">
        <is>
          <t>HBT</t>
        </is>
      </c>
    </row>
    <row r="2238">
      <c r="B2238" s="4" t="n">
        <v>2176</v>
      </c>
      <c r="C2238" s="4" t="inlineStr">
        <is>
          <t>25/09/2026</t>
        </is>
      </c>
      <c r="D2238" s="4" t="inlineStr">
        <is>
          <t>viernes</t>
        </is>
      </c>
      <c r="E2238" s="4" t="n">
        <v>2356</v>
      </c>
      <c r="F2238" s="4" t="inlineStr">
        <is>
          <t>LIM</t>
        </is>
      </c>
      <c r="G2238" s="4" t="inlineStr">
        <is>
          <t>CUZ</t>
        </is>
      </c>
      <c r="H2238" s="4" t="inlineStr">
        <is>
          <t>12:10:00</t>
        </is>
      </c>
      <c r="I2238" s="4" t="inlineStr">
        <is>
          <t>13:35:00</t>
        </is>
      </c>
      <c r="J2238" s="4" t="n">
        <v>320</v>
      </c>
      <c r="L2238" s="4" t="inlineStr">
        <is>
          <t>01:25:00</t>
        </is>
      </c>
      <c r="M2238" s="5" t="n"/>
      <c r="N2238" s="6" t="n"/>
      <c r="O2238" s="5" t="n"/>
      <c r="Q2238" s="4">
        <f>B2238</f>
        <v/>
      </c>
      <c r="R2238" s="4">
        <f>C2238</f>
        <v/>
      </c>
      <c r="S2238" s="4">
        <f>D2238</f>
        <v/>
      </c>
      <c r="T2238" s="4">
        <f>E2238&amp;"/"&amp;E2239</f>
        <v/>
      </c>
      <c r="U2238" s="4">
        <f>F2238&amp;"-"&amp;G2238&amp;"-"&amp;F2238</f>
        <v/>
      </c>
      <c r="V2238" s="4">
        <f>IF($M$2238="","",$M$2238)</f>
        <v/>
      </c>
      <c r="W2238" s="4">
        <f>IF($O$2238="","",$O$2238)</f>
        <v/>
      </c>
      <c r="X2238" s="4">
        <f>J2238</f>
        <v/>
      </c>
    </row>
    <row r="2239">
      <c r="B2239" s="4" t="n">
        <v>2176</v>
      </c>
      <c r="C2239" s="4" t="inlineStr">
        <is>
          <t>25/09/2026</t>
        </is>
      </c>
      <c r="D2239" s="4" t="inlineStr">
        <is>
          <t>viernes</t>
        </is>
      </c>
      <c r="E2239" s="4" t="n">
        <v>2357</v>
      </c>
      <c r="F2239" s="4" t="inlineStr">
        <is>
          <t>CUZ</t>
        </is>
      </c>
      <c r="G2239" s="4" t="inlineStr">
        <is>
          <t>LIM</t>
        </is>
      </c>
      <c r="H2239" s="4" t="inlineStr">
        <is>
          <t>14:15:00</t>
        </is>
      </c>
      <c r="I2239" s="4" t="inlineStr">
        <is>
          <t>15:50:00</t>
        </is>
      </c>
      <c r="J2239" s="4" t="n">
        <v>320</v>
      </c>
      <c r="K2239">
        <f>TEXT(TIMEVALUE(H2239)-TIMEVALUE(I2238)+(TIMEVALUE(H2239)&lt;TIMEVALUE(I2238)),"[h]:mm")</f>
        <v/>
      </c>
      <c r="L2239" s="4" t="inlineStr">
        <is>
          <t>01:35:00</t>
        </is>
      </c>
      <c r="O2239">
        <f>"LIM-"&amp;G2238&amp;"-LIM   LA "&amp;E2238&amp;" ("&amp;LEFT(H2238,5)&amp;"-"&amp;LEFT(I2238,5)&amp;" hrs)  /  LA "&amp;E2239&amp;" ("&amp;LEFT(H2239,5)&amp;"-"&amp;LEFT(I2239,5)&amp;" hrs)"</f>
        <v/>
      </c>
    </row>
    <row r="2240">
      <c r="B2240" s="4" t="n">
        <v>2207</v>
      </c>
      <c r="C2240" s="4" t="inlineStr">
        <is>
          <t>25/09/2026</t>
        </is>
      </c>
      <c r="D2240" s="4" t="inlineStr">
        <is>
          <t>viernes</t>
        </is>
      </c>
      <c r="E2240" s="4" t="n">
        <v>2115</v>
      </c>
      <c r="F2240" s="4" t="inlineStr">
        <is>
          <t>LIM</t>
        </is>
      </c>
      <c r="G2240" s="4" t="inlineStr">
        <is>
          <t>AQP</t>
        </is>
      </c>
      <c r="H2240" s="4" t="inlineStr">
        <is>
          <t>17:15:00</t>
        </is>
      </c>
      <c r="I2240" s="4" t="inlineStr">
        <is>
          <t>18:45:00</t>
        </is>
      </c>
      <c r="J2240" s="4" t="n">
        <v>320</v>
      </c>
      <c r="K2240" s="7">
        <f>TEXT(TIMEVALUE(H2240)-TIMEVALUE(I2239)+(TIMEVALUE(H2240)&lt;TIMEVALUE(I2239)),"[h]:mm")</f>
        <v/>
      </c>
      <c r="L2240" s="4" t="inlineStr">
        <is>
          <t>01:30:00</t>
        </is>
      </c>
      <c r="M2240">
        <f>IF($M$2238="","",$M$2238)</f>
        <v/>
      </c>
      <c r="O2240">
        <f>IF($O$2238="","",$O$2238)</f>
        <v/>
      </c>
      <c r="Q2240" s="4">
        <f>B2240</f>
        <v/>
      </c>
      <c r="R2240" s="4">
        <f>C2240</f>
        <v/>
      </c>
      <c r="S2240" s="4">
        <f>D2240</f>
        <v/>
      </c>
      <c r="T2240" s="4">
        <f>E2240&amp;"/"&amp;E2241</f>
        <v/>
      </c>
      <c r="U2240" s="4">
        <f>F2240&amp;"-"&amp;G2240&amp;"-"&amp;F2240</f>
        <v/>
      </c>
      <c r="V2240" s="4">
        <f>IF($M$2238="","",$M$2238)</f>
        <v/>
      </c>
      <c r="W2240" s="4">
        <f>IF($O$2238="","",$O$2238)</f>
        <v/>
      </c>
      <c r="X2240" s="4">
        <f>J2240</f>
        <v/>
      </c>
    </row>
    <row r="2241">
      <c r="B2241" s="4" t="n">
        <v>2207</v>
      </c>
      <c r="C2241" s="4" t="inlineStr">
        <is>
          <t>25/09/2026</t>
        </is>
      </c>
      <c r="D2241" s="4" t="inlineStr">
        <is>
          <t>viernes</t>
        </is>
      </c>
      <c r="E2241" s="4" t="n">
        <v>2114</v>
      </c>
      <c r="F2241" s="4" t="inlineStr">
        <is>
          <t>AQP</t>
        </is>
      </c>
      <c r="G2241" s="4" t="inlineStr">
        <is>
          <t>LIM</t>
        </is>
      </c>
      <c r="H2241" s="4" t="inlineStr">
        <is>
          <t>19:20:00</t>
        </is>
      </c>
      <c r="I2241" s="4" t="inlineStr">
        <is>
          <t>20:55:00</t>
        </is>
      </c>
      <c r="J2241" s="4" t="n">
        <v>320</v>
      </c>
      <c r="K2241">
        <f>TEXT(TIMEVALUE(H2241)-TIMEVALUE(I2240)+(TIMEVALUE(H2241)&lt;TIMEVALUE(I2240)),"[h]:mm")</f>
        <v/>
      </c>
      <c r="L2241" s="4" t="inlineStr">
        <is>
          <t>01:35:00</t>
        </is>
      </c>
      <c r="O2241">
        <f>"LIM-"&amp;G2240&amp;"-LIM   LA "&amp;E2240&amp;" ("&amp;LEFT(H2240,5)&amp;"-"&amp;LEFT(I2240,5)&amp;" hrs)  /  LA "&amp;E2241&amp;" ("&amp;LEFT(H2241,5)&amp;"-"&amp;LEFT(I2241,5)&amp;" hrs)"</f>
        <v/>
      </c>
    </row>
    <row r="2242">
      <c r="J2242" s="8" t="inlineStr">
        <is>
          <t>PSV total:</t>
        </is>
      </c>
      <c r="K2242" s="9">
        <f>TEXT(TIMEVALUE(I2241)-TIMEVALUE(H2238)+(I2241&lt;H2238),"[h]:mm")</f>
        <v/>
      </c>
    </row>
    <row r="2244">
      <c r="B2244" s="3" t="inlineStr">
        <is>
          <t>Pairing ID</t>
        </is>
      </c>
      <c r="C2244" s="3" t="inlineStr">
        <is>
          <t>FECHA REAL</t>
        </is>
      </c>
      <c r="D2244" s="3" t="inlineStr">
        <is>
          <t>Day of Week</t>
        </is>
      </c>
      <c r="E2244" s="3" t="inlineStr">
        <is>
          <t>Flight No</t>
        </is>
      </c>
      <c r="F2244" s="3" t="inlineStr">
        <is>
          <t>Dep Stn</t>
        </is>
      </c>
      <c r="G2244" s="3" t="inlineStr">
        <is>
          <t>Arr Stn</t>
        </is>
      </c>
      <c r="H2244" s="3" t="inlineStr">
        <is>
          <t>STD</t>
        </is>
      </c>
      <c r="I2244" s="3" t="inlineStr">
        <is>
          <t>STA</t>
        </is>
      </c>
      <c r="J2244" s="3" t="inlineStr">
        <is>
          <t>subflota</t>
        </is>
      </c>
      <c r="K2244" s="3" t="inlineStr">
        <is>
          <t>Conexion</t>
        </is>
      </c>
      <c r="L2244" s="3" t="inlineStr">
        <is>
          <t>HBT</t>
        </is>
      </c>
    </row>
    <row r="2245">
      <c r="B2245" s="4" t="n">
        <v>2178</v>
      </c>
      <c r="C2245" s="4" t="inlineStr">
        <is>
          <t>25/09/2026</t>
        </is>
      </c>
      <c r="D2245" s="4" t="inlineStr">
        <is>
          <t>viernes</t>
        </is>
      </c>
      <c r="E2245" s="4" t="n">
        <v>2023</v>
      </c>
      <c r="F2245" s="4" t="inlineStr">
        <is>
          <t>LIM</t>
        </is>
      </c>
      <c r="G2245" s="4" t="inlineStr">
        <is>
          <t>PEM</t>
        </is>
      </c>
      <c r="H2245" s="4" t="inlineStr">
        <is>
          <t>12:15:00</t>
        </is>
      </c>
      <c r="I2245" s="4" t="inlineStr">
        <is>
          <t>13:55:00</t>
        </is>
      </c>
      <c r="J2245" s="4" t="n">
        <v>319</v>
      </c>
      <c r="L2245" s="4" t="inlineStr">
        <is>
          <t>01:40:00</t>
        </is>
      </c>
      <c r="M2245" s="5" t="n"/>
      <c r="N2245" s="6" t="n"/>
      <c r="O2245" s="5" t="n"/>
      <c r="Q2245" s="4">
        <f>B2245</f>
        <v/>
      </c>
      <c r="R2245" s="4">
        <f>C2245</f>
        <v/>
      </c>
      <c r="S2245" s="4">
        <f>D2245</f>
        <v/>
      </c>
      <c r="T2245" s="4">
        <f>E2245&amp;"/"&amp;E2246</f>
        <v/>
      </c>
      <c r="U2245" s="4">
        <f>F2245&amp;"-"&amp;G2245&amp;"-"&amp;F2245</f>
        <v/>
      </c>
      <c r="V2245" s="4">
        <f>IF($M$2245="","",$M$2245)</f>
        <v/>
      </c>
      <c r="W2245" s="4">
        <f>IF($O$2245="","",$O$2245)</f>
        <v/>
      </c>
      <c r="X2245" s="4">
        <f>J2245</f>
        <v/>
      </c>
    </row>
    <row r="2246">
      <c r="B2246" s="4" t="n">
        <v>2178</v>
      </c>
      <c r="C2246" s="4" t="inlineStr">
        <is>
          <t>25/09/2026</t>
        </is>
      </c>
      <c r="D2246" s="4" t="inlineStr">
        <is>
          <t>viernes</t>
        </is>
      </c>
      <c r="E2246" s="4" t="n">
        <v>2024</v>
      </c>
      <c r="F2246" s="4" t="inlineStr">
        <is>
          <t>PEM</t>
        </is>
      </c>
      <c r="G2246" s="4" t="inlineStr">
        <is>
          <t>LIM</t>
        </is>
      </c>
      <c r="H2246" s="4" t="inlineStr">
        <is>
          <t>14:35:00</t>
        </is>
      </c>
      <c r="I2246" s="4" t="inlineStr">
        <is>
          <t>16:10:00</t>
        </is>
      </c>
      <c r="J2246" s="4" t="n">
        <v>319</v>
      </c>
      <c r="K2246">
        <f>TEXT(TIMEVALUE(H2246)-TIMEVALUE(I2245)+(TIMEVALUE(H2246)&lt;TIMEVALUE(I2245)),"[h]:mm")</f>
        <v/>
      </c>
      <c r="L2246" s="4" t="inlineStr">
        <is>
          <t>01:35:00</t>
        </is>
      </c>
      <c r="O2246">
        <f>"LIM-"&amp;G2245&amp;"-LIM   LA "&amp;E2245&amp;" ("&amp;LEFT(H2245,5)&amp;"-"&amp;LEFT(I2245,5)&amp;" hrs)  /  LA "&amp;E2246&amp;" ("&amp;LEFT(H2246,5)&amp;"-"&amp;LEFT(I2246,5)&amp;" hrs)"</f>
        <v/>
      </c>
    </row>
    <row r="2247">
      <c r="J2247" s="8" t="inlineStr">
        <is>
          <t>PSV total:</t>
        </is>
      </c>
      <c r="K2247" s="9">
        <f>TEXT(TIMEVALUE(I2246)-TIMEVALUE(H2245)+(I2246&lt;H2245),"[h]:mm")</f>
        <v/>
      </c>
    </row>
    <row r="2249">
      <c r="B2249" s="3" t="inlineStr">
        <is>
          <t>Pairing ID</t>
        </is>
      </c>
      <c r="C2249" s="3" t="inlineStr">
        <is>
          <t>FECHA REAL</t>
        </is>
      </c>
      <c r="D2249" s="3" t="inlineStr">
        <is>
          <t>Day of Week</t>
        </is>
      </c>
      <c r="E2249" s="3" t="inlineStr">
        <is>
          <t>Flight No</t>
        </is>
      </c>
      <c r="F2249" s="3" t="inlineStr">
        <is>
          <t>Dep Stn</t>
        </is>
      </c>
      <c r="G2249" s="3" t="inlineStr">
        <is>
          <t>Arr Stn</t>
        </is>
      </c>
      <c r="H2249" s="3" t="inlineStr">
        <is>
          <t>STD</t>
        </is>
      </c>
      <c r="I2249" s="3" t="inlineStr">
        <is>
          <t>STA</t>
        </is>
      </c>
      <c r="J2249" s="3" t="inlineStr">
        <is>
          <t>subflota</t>
        </is>
      </c>
      <c r="K2249" s="3" t="inlineStr">
        <is>
          <t>Conexion</t>
        </is>
      </c>
      <c r="L2249" s="3" t="inlineStr">
        <is>
          <t>HBT</t>
        </is>
      </c>
    </row>
    <row r="2250">
      <c r="B2250" s="4" t="n">
        <v>2184</v>
      </c>
      <c r="C2250" s="4" t="inlineStr">
        <is>
          <t>25/09/2026</t>
        </is>
      </c>
      <c r="D2250" s="4" t="inlineStr">
        <is>
          <t>viernes</t>
        </is>
      </c>
      <c r="E2250" s="4" t="n">
        <v>2270</v>
      </c>
      <c r="F2250" s="4" t="inlineStr">
        <is>
          <t>LIM</t>
        </is>
      </c>
      <c r="G2250" s="4" t="inlineStr">
        <is>
          <t>CIX</t>
        </is>
      </c>
      <c r="H2250" s="4" t="inlineStr">
        <is>
          <t>13:00:00</t>
        </is>
      </c>
      <c r="I2250" s="4" t="inlineStr">
        <is>
          <t>14:30:00</t>
        </is>
      </c>
      <c r="J2250" s="4" t="n">
        <v>319</v>
      </c>
      <c r="L2250" s="4" t="inlineStr">
        <is>
          <t>01:30:00</t>
        </is>
      </c>
      <c r="M2250" s="5" t="n"/>
      <c r="N2250" s="6" t="n"/>
      <c r="O2250" s="5" t="n"/>
      <c r="Q2250" s="4">
        <f>B2250</f>
        <v/>
      </c>
      <c r="R2250" s="4">
        <f>C2250</f>
        <v/>
      </c>
      <c r="S2250" s="4">
        <f>D2250</f>
        <v/>
      </c>
      <c r="T2250" s="4">
        <f>E2250&amp;"/"&amp;E2251</f>
        <v/>
      </c>
      <c r="U2250" s="4">
        <f>F2250&amp;"-"&amp;G2250&amp;"-"&amp;F2250</f>
        <v/>
      </c>
      <c r="V2250" s="4">
        <f>IF($M$2250="","",$M$2250)</f>
        <v/>
      </c>
      <c r="W2250" s="4">
        <f>IF($O$2250="","",$O$2250)</f>
        <v/>
      </c>
      <c r="X2250" s="4">
        <f>J2250</f>
        <v/>
      </c>
    </row>
    <row r="2251">
      <c r="B2251" s="4" t="n">
        <v>2184</v>
      </c>
      <c r="C2251" s="4" t="inlineStr">
        <is>
          <t>25/09/2026</t>
        </is>
      </c>
      <c r="D2251" s="4" t="inlineStr">
        <is>
          <t>viernes</t>
        </is>
      </c>
      <c r="E2251" s="4" t="n">
        <v>2271</v>
      </c>
      <c r="F2251" s="4" t="inlineStr">
        <is>
          <t>CIX</t>
        </is>
      </c>
      <c r="G2251" s="4" t="inlineStr">
        <is>
          <t>LIM</t>
        </is>
      </c>
      <c r="H2251" s="4" t="inlineStr">
        <is>
          <t>15:05:00</t>
        </is>
      </c>
      <c r="I2251" s="4" t="inlineStr">
        <is>
          <t>16:20:00</t>
        </is>
      </c>
      <c r="J2251" s="4" t="n">
        <v>319</v>
      </c>
      <c r="K2251">
        <f>TEXT(TIMEVALUE(H2251)-TIMEVALUE(I2250)+(TIMEVALUE(H2251)&lt;TIMEVALUE(I2250)),"[h]:mm")</f>
        <v/>
      </c>
      <c r="L2251" s="4" t="inlineStr">
        <is>
          <t>01:15:00</t>
        </is>
      </c>
      <c r="O2251">
        <f>"LIM-"&amp;G2250&amp;"-LIM   LA "&amp;E2250&amp;" ("&amp;LEFT(H2250,5)&amp;"-"&amp;LEFT(I2250,5)&amp;" hrs)  /  LA "&amp;E2251&amp;" ("&amp;LEFT(H2251,5)&amp;"-"&amp;LEFT(I2251,5)&amp;" hrs)"</f>
        <v/>
      </c>
    </row>
    <row r="2252">
      <c r="J2252" s="8" t="inlineStr">
        <is>
          <t>PSV total:</t>
        </is>
      </c>
      <c r="K2252" s="9">
        <f>TEXT(TIMEVALUE(I2251)-TIMEVALUE(H2250)+(I2251&lt;H2250),"[h]:mm")</f>
        <v/>
      </c>
    </row>
    <row r="2254">
      <c r="B2254" s="3" t="inlineStr">
        <is>
          <t>Pairing ID</t>
        </is>
      </c>
      <c r="C2254" s="3" t="inlineStr">
        <is>
          <t>FECHA REAL</t>
        </is>
      </c>
      <c r="D2254" s="3" t="inlineStr">
        <is>
          <t>Day of Week</t>
        </is>
      </c>
      <c r="E2254" s="3" t="inlineStr">
        <is>
          <t>Flight No</t>
        </is>
      </c>
      <c r="F2254" s="3" t="inlineStr">
        <is>
          <t>Dep Stn</t>
        </is>
      </c>
      <c r="G2254" s="3" t="inlineStr">
        <is>
          <t>Arr Stn</t>
        </is>
      </c>
      <c r="H2254" s="3" t="inlineStr">
        <is>
          <t>STD</t>
        </is>
      </c>
      <c r="I2254" s="3" t="inlineStr">
        <is>
          <t>STA</t>
        </is>
      </c>
      <c r="J2254" s="3" t="inlineStr">
        <is>
          <t>subflota</t>
        </is>
      </c>
      <c r="K2254" s="3" t="inlineStr">
        <is>
          <t>Conexion</t>
        </is>
      </c>
      <c r="L2254" s="3" t="inlineStr">
        <is>
          <t>HBT</t>
        </is>
      </c>
    </row>
    <row r="2255">
      <c r="B2255" s="4" t="n">
        <v>2189</v>
      </c>
      <c r="C2255" s="4" t="inlineStr">
        <is>
          <t>25/09/2026</t>
        </is>
      </c>
      <c r="D2255" s="4" t="inlineStr">
        <is>
          <t>viernes</t>
        </is>
      </c>
      <c r="E2255" s="4" t="n">
        <v>2295</v>
      </c>
      <c r="F2255" s="4" t="inlineStr">
        <is>
          <t>LIM</t>
        </is>
      </c>
      <c r="G2255" s="4" t="inlineStr">
        <is>
          <t>CJA</t>
        </is>
      </c>
      <c r="H2255" s="4" t="inlineStr">
        <is>
          <t>14:10:00</t>
        </is>
      </c>
      <c r="I2255" s="4" t="inlineStr">
        <is>
          <t>15:30:00</t>
        </is>
      </c>
      <c r="J2255" s="4" t="n">
        <v>320</v>
      </c>
      <c r="L2255" s="4" t="inlineStr">
        <is>
          <t>01:20:00</t>
        </is>
      </c>
      <c r="M2255" s="5" t="n"/>
      <c r="N2255" s="6" t="n"/>
      <c r="O2255" s="5" t="n"/>
      <c r="Q2255" s="4">
        <f>B2255</f>
        <v/>
      </c>
      <c r="R2255" s="4">
        <f>C2255</f>
        <v/>
      </c>
      <c r="S2255" s="4">
        <f>D2255</f>
        <v/>
      </c>
      <c r="T2255" s="4">
        <f>E2255&amp;"/"&amp;E2256</f>
        <v/>
      </c>
      <c r="U2255" s="4">
        <f>F2255&amp;"-"&amp;G2255&amp;"-"&amp;F2255</f>
        <v/>
      </c>
      <c r="V2255" s="4">
        <f>IF($M$2255="","",$M$2255)</f>
        <v/>
      </c>
      <c r="W2255" s="4">
        <f>IF($O$2255="","",$O$2255)</f>
        <v/>
      </c>
      <c r="X2255" s="4">
        <f>J2255</f>
        <v/>
      </c>
    </row>
    <row r="2256">
      <c r="B2256" s="4" t="n">
        <v>2189</v>
      </c>
      <c r="C2256" s="4" t="inlineStr">
        <is>
          <t>25/09/2026</t>
        </is>
      </c>
      <c r="D2256" s="4" t="inlineStr">
        <is>
          <t>viernes</t>
        </is>
      </c>
      <c r="E2256" s="4" t="n">
        <v>2294</v>
      </c>
      <c r="F2256" s="4" t="inlineStr">
        <is>
          <t>CJA</t>
        </is>
      </c>
      <c r="G2256" s="4" t="inlineStr">
        <is>
          <t>LIM</t>
        </is>
      </c>
      <c r="H2256" s="4" t="inlineStr">
        <is>
          <t>16:10:00</t>
        </is>
      </c>
      <c r="I2256" s="4" t="inlineStr">
        <is>
          <t>17:15:00</t>
        </is>
      </c>
      <c r="J2256" s="4" t="n">
        <v>320</v>
      </c>
      <c r="K2256">
        <f>TEXT(TIMEVALUE(H2256)-TIMEVALUE(I2255)+(TIMEVALUE(H2256)&lt;TIMEVALUE(I2255)),"[h]:mm")</f>
        <v/>
      </c>
      <c r="L2256" s="4" t="inlineStr">
        <is>
          <t>01:05:00</t>
        </is>
      </c>
      <c r="O2256">
        <f>"LIM-"&amp;G2255&amp;"-LIM   LA "&amp;E2255&amp;" ("&amp;LEFT(H2255,5)&amp;"-"&amp;LEFT(I2255,5)&amp;" hrs)  /  LA "&amp;E2256&amp;" ("&amp;LEFT(H2256,5)&amp;"-"&amp;LEFT(I2256,5)&amp;" hrs)"</f>
        <v/>
      </c>
    </row>
    <row r="2257">
      <c r="B2257" s="4" t="n">
        <v>2209</v>
      </c>
      <c r="C2257" s="4" t="inlineStr">
        <is>
          <t>25/09/2026</t>
        </is>
      </c>
      <c r="D2257" s="4" t="inlineStr">
        <is>
          <t>viernes</t>
        </is>
      </c>
      <c r="E2257" s="4" t="n">
        <v>2039</v>
      </c>
      <c r="F2257" s="4" t="inlineStr">
        <is>
          <t>LIM</t>
        </is>
      </c>
      <c r="G2257" s="4" t="inlineStr">
        <is>
          <t>PCL</t>
        </is>
      </c>
      <c r="H2257" s="4" t="inlineStr">
        <is>
          <t>18:15:00</t>
        </is>
      </c>
      <c r="I2257" s="4" t="inlineStr">
        <is>
          <t>19:30:00</t>
        </is>
      </c>
      <c r="J2257" s="4" t="n">
        <v>320</v>
      </c>
      <c r="K2257" s="7">
        <f>TEXT(TIMEVALUE(H2257)-TIMEVALUE(I2256)+(TIMEVALUE(H2257)&lt;TIMEVALUE(I2256)),"[h]:mm")</f>
        <v/>
      </c>
      <c r="L2257" s="4" t="inlineStr">
        <is>
          <t>01:15:00</t>
        </is>
      </c>
      <c r="M2257">
        <f>IF($M$2255="","",$M$2255)</f>
        <v/>
      </c>
      <c r="O2257">
        <f>IF($O$2255="","",$O$2255)</f>
        <v/>
      </c>
      <c r="Q2257" s="4">
        <f>B2257</f>
        <v/>
      </c>
      <c r="R2257" s="4">
        <f>C2257</f>
        <v/>
      </c>
      <c r="S2257" s="4">
        <f>D2257</f>
        <v/>
      </c>
      <c r="T2257" s="4">
        <f>E2257&amp;"/"&amp;E2258</f>
        <v/>
      </c>
      <c r="U2257" s="4">
        <f>F2257&amp;"-"&amp;G2257&amp;"-"&amp;F2257</f>
        <v/>
      </c>
      <c r="V2257" s="4">
        <f>IF($M$2255="","",$M$2255)</f>
        <v/>
      </c>
      <c r="W2257" s="4">
        <f>IF($O$2255="","",$O$2255)</f>
        <v/>
      </c>
      <c r="X2257" s="4">
        <f>J2257</f>
        <v/>
      </c>
    </row>
    <row r="2258">
      <c r="B2258" s="4" t="n">
        <v>2209</v>
      </c>
      <c r="C2258" s="4" t="inlineStr">
        <is>
          <t>25/09/2026</t>
        </is>
      </c>
      <c r="D2258" s="4" t="inlineStr">
        <is>
          <t>viernes</t>
        </is>
      </c>
      <c r="E2258" s="4" t="n">
        <v>2040</v>
      </c>
      <c r="F2258" s="4" t="inlineStr">
        <is>
          <t>PCL</t>
        </is>
      </c>
      <c r="G2258" s="4" t="inlineStr">
        <is>
          <t>LIM</t>
        </is>
      </c>
      <c r="H2258" s="4" t="inlineStr">
        <is>
          <t>20:15:00</t>
        </is>
      </c>
      <c r="I2258" s="4" t="inlineStr">
        <is>
          <t>21:30:00</t>
        </is>
      </c>
      <c r="J2258" s="4" t="n">
        <v>320</v>
      </c>
      <c r="K2258">
        <f>TEXT(TIMEVALUE(H2258)-TIMEVALUE(I2257)+(TIMEVALUE(H2258)&lt;TIMEVALUE(I2257)),"[h]:mm")</f>
        <v/>
      </c>
      <c r="L2258" s="4" t="inlineStr">
        <is>
          <t>01:15:00</t>
        </is>
      </c>
      <c r="O2258">
        <f>"LIM-"&amp;G2257&amp;"-LIM   LA "&amp;E2257&amp;" ("&amp;LEFT(H2257,5)&amp;"-"&amp;LEFT(I2257,5)&amp;" hrs)  /  LA "&amp;E2258&amp;" ("&amp;LEFT(H2258,5)&amp;"-"&amp;LEFT(I2258,5)&amp;" hrs)"</f>
        <v/>
      </c>
    </row>
    <row r="2259">
      <c r="J2259" s="8" t="inlineStr">
        <is>
          <t>PSV total:</t>
        </is>
      </c>
      <c r="K2259" s="9">
        <f>TEXT(TIMEVALUE(I2258)-TIMEVALUE(H2255)+(I2258&lt;H2255),"[h]:mm")</f>
        <v/>
      </c>
    </row>
    <row r="2261">
      <c r="B2261" s="3" t="inlineStr">
        <is>
          <t>Pairing ID</t>
        </is>
      </c>
      <c r="C2261" s="3" t="inlineStr">
        <is>
          <t>FECHA REAL</t>
        </is>
      </c>
      <c r="D2261" s="3" t="inlineStr">
        <is>
          <t>Day of Week</t>
        </is>
      </c>
      <c r="E2261" s="3" t="inlineStr">
        <is>
          <t>Flight No</t>
        </is>
      </c>
      <c r="F2261" s="3" t="inlineStr">
        <is>
          <t>Dep Stn</t>
        </is>
      </c>
      <c r="G2261" s="3" t="inlineStr">
        <is>
          <t>Arr Stn</t>
        </is>
      </c>
      <c r="H2261" s="3" t="inlineStr">
        <is>
          <t>STD</t>
        </is>
      </c>
      <c r="I2261" s="3" t="inlineStr">
        <is>
          <t>STA</t>
        </is>
      </c>
      <c r="J2261" s="3" t="inlineStr">
        <is>
          <t>subflota</t>
        </is>
      </c>
      <c r="K2261" s="3" t="inlineStr">
        <is>
          <t>Conexion</t>
        </is>
      </c>
      <c r="L2261" s="3" t="inlineStr">
        <is>
          <t>HBT</t>
        </is>
      </c>
    </row>
    <row r="2262">
      <c r="B2262" s="4" t="n">
        <v>2192</v>
      </c>
      <c r="C2262" s="4" t="inlineStr">
        <is>
          <t>25/09/2026</t>
        </is>
      </c>
      <c r="D2262" s="4" t="inlineStr">
        <is>
          <t>viernes</t>
        </is>
      </c>
      <c r="E2262" s="4" t="n">
        <v>2338</v>
      </c>
      <c r="F2262" s="4" t="inlineStr">
        <is>
          <t>LIM</t>
        </is>
      </c>
      <c r="G2262" s="4" t="inlineStr">
        <is>
          <t>PIU</t>
        </is>
      </c>
      <c r="H2262" s="4" t="inlineStr">
        <is>
          <t>14:55:00</t>
        </is>
      </c>
      <c r="I2262" s="4" t="inlineStr">
        <is>
          <t>16:45:00</t>
        </is>
      </c>
      <c r="J2262" s="4" t="n">
        <v>320</v>
      </c>
      <c r="L2262" s="4" t="inlineStr">
        <is>
          <t>01:50:00</t>
        </is>
      </c>
      <c r="M2262" s="5" t="n"/>
      <c r="N2262" s="6" t="n"/>
      <c r="O2262" s="5" t="n"/>
      <c r="Q2262" s="4">
        <f>B2262</f>
        <v/>
      </c>
      <c r="R2262" s="4">
        <f>C2262</f>
        <v/>
      </c>
      <c r="S2262" s="4">
        <f>D2262</f>
        <v/>
      </c>
      <c r="T2262" s="4">
        <f>E2262&amp;"/"&amp;E2263</f>
        <v/>
      </c>
      <c r="U2262" s="4">
        <f>F2262&amp;"-"&amp;G2262&amp;"-"&amp;F2262</f>
        <v/>
      </c>
      <c r="V2262" s="4">
        <f>IF($M$2262="","",$M$2262)</f>
        <v/>
      </c>
      <c r="W2262" s="4">
        <f>IF($O$2262="","",$O$2262)</f>
        <v/>
      </c>
      <c r="X2262" s="4">
        <f>J2262</f>
        <v/>
      </c>
    </row>
    <row r="2263">
      <c r="B2263" s="4" t="n">
        <v>2192</v>
      </c>
      <c r="C2263" s="4" t="inlineStr">
        <is>
          <t>25/09/2026</t>
        </is>
      </c>
      <c r="D2263" s="4" t="inlineStr">
        <is>
          <t>viernes</t>
        </is>
      </c>
      <c r="E2263" s="4" t="n">
        <v>2339</v>
      </c>
      <c r="F2263" s="4" t="inlineStr">
        <is>
          <t>PIU</t>
        </is>
      </c>
      <c r="G2263" s="4" t="inlineStr">
        <is>
          <t>LIM</t>
        </is>
      </c>
      <c r="H2263" s="4" t="inlineStr">
        <is>
          <t>17:20:00</t>
        </is>
      </c>
      <c r="I2263" s="4" t="inlineStr">
        <is>
          <t>18:50:00</t>
        </is>
      </c>
      <c r="J2263" s="4" t="n">
        <v>320</v>
      </c>
      <c r="K2263">
        <f>TEXT(TIMEVALUE(H2263)-TIMEVALUE(I2262)+(TIMEVALUE(H2263)&lt;TIMEVALUE(I2262)),"[h]:mm")</f>
        <v/>
      </c>
      <c r="L2263" s="4" t="inlineStr">
        <is>
          <t>01:30:00</t>
        </is>
      </c>
      <c r="O2263">
        <f>"LIM-"&amp;G2262&amp;"-LIM   LA "&amp;E2262&amp;" ("&amp;LEFT(H2262,5)&amp;"-"&amp;LEFT(I2262,5)&amp;" hrs)  /  LA "&amp;E2263&amp;" ("&amp;LEFT(H2263,5)&amp;"-"&amp;LEFT(I2263,5)&amp;" hrs)"</f>
        <v/>
      </c>
    </row>
    <row r="2264">
      <c r="J2264" s="8" t="inlineStr">
        <is>
          <t>PSV total:</t>
        </is>
      </c>
      <c r="K2264" s="9">
        <f>TEXT(TIMEVALUE(I2263)-TIMEVALUE(H2262)+(I2263&lt;H2262),"[h]:mm")</f>
        <v/>
      </c>
    </row>
    <row r="2266">
      <c r="B2266" s="3" t="inlineStr">
        <is>
          <t>Pairing ID</t>
        </is>
      </c>
      <c r="C2266" s="3" t="inlineStr">
        <is>
          <t>FECHA REAL</t>
        </is>
      </c>
      <c r="D2266" s="3" t="inlineStr">
        <is>
          <t>Day of Week</t>
        </is>
      </c>
      <c r="E2266" s="3" t="inlineStr">
        <is>
          <t>Flight No</t>
        </is>
      </c>
      <c r="F2266" s="3" t="inlineStr">
        <is>
          <t>Dep Stn</t>
        </is>
      </c>
      <c r="G2266" s="3" t="inlineStr">
        <is>
          <t>Arr Stn</t>
        </is>
      </c>
      <c r="H2266" s="3" t="inlineStr">
        <is>
          <t>STD</t>
        </is>
      </c>
      <c r="I2266" s="3" t="inlineStr">
        <is>
          <t>STA</t>
        </is>
      </c>
      <c r="J2266" s="3" t="inlineStr">
        <is>
          <t>subflota</t>
        </is>
      </c>
      <c r="K2266" s="3" t="inlineStr">
        <is>
          <t>Conexion</t>
        </is>
      </c>
      <c r="L2266" s="3" t="inlineStr">
        <is>
          <t>HBT</t>
        </is>
      </c>
    </row>
    <row r="2267">
      <c r="B2267" s="4" t="n">
        <v>2193</v>
      </c>
      <c r="C2267" s="4" t="inlineStr">
        <is>
          <t>25/09/2026</t>
        </is>
      </c>
      <c r="D2267" s="4" t="inlineStr">
        <is>
          <t>viernes</t>
        </is>
      </c>
      <c r="E2267" s="4" t="n">
        <v>2338</v>
      </c>
      <c r="F2267" s="4" t="inlineStr">
        <is>
          <t>LIM</t>
        </is>
      </c>
      <c r="G2267" s="4" t="inlineStr">
        <is>
          <t>PIU</t>
        </is>
      </c>
      <c r="H2267" s="4" t="inlineStr">
        <is>
          <t>14:55:00</t>
        </is>
      </c>
      <c r="I2267" s="4" t="inlineStr">
        <is>
          <t>16:45:00</t>
        </is>
      </c>
      <c r="J2267" s="4" t="n">
        <v>320</v>
      </c>
      <c r="L2267" s="4" t="inlineStr">
        <is>
          <t>01:50:00</t>
        </is>
      </c>
      <c r="M2267" s="5" t="n"/>
      <c r="N2267" s="6" t="n"/>
      <c r="O2267" s="5" t="n"/>
      <c r="Q2267" s="4">
        <f>B2267</f>
        <v/>
      </c>
      <c r="R2267" s="4">
        <f>C2267</f>
        <v/>
      </c>
      <c r="S2267" s="4">
        <f>D2267</f>
        <v/>
      </c>
      <c r="T2267" s="4">
        <f>E2267&amp;"/"&amp;E2268</f>
        <v/>
      </c>
      <c r="U2267" s="4">
        <f>F2267&amp;"-"&amp;G2267&amp;"-"&amp;F2267</f>
        <v/>
      </c>
      <c r="V2267" s="4">
        <f>IF($M$2267="","",$M$2267)</f>
        <v/>
      </c>
      <c r="W2267" s="4">
        <f>IF($O$2267="","",$O$2267)</f>
        <v/>
      </c>
      <c r="X2267" s="4">
        <f>J2267</f>
        <v/>
      </c>
    </row>
    <row r="2268">
      <c r="B2268" s="4" t="n">
        <v>2193</v>
      </c>
      <c r="C2268" s="4" t="inlineStr">
        <is>
          <t>25/09/2026</t>
        </is>
      </c>
      <c r="D2268" s="4" t="inlineStr">
        <is>
          <t>viernes</t>
        </is>
      </c>
      <c r="E2268" s="4" t="n">
        <v>2339</v>
      </c>
      <c r="F2268" s="4" t="inlineStr">
        <is>
          <t>PIU</t>
        </is>
      </c>
      <c r="G2268" s="4" t="inlineStr">
        <is>
          <t>LIM</t>
        </is>
      </c>
      <c r="H2268" s="4" t="inlineStr">
        <is>
          <t>17:20:00</t>
        </is>
      </c>
      <c r="I2268" s="4" t="inlineStr">
        <is>
          <t>18:50:00</t>
        </is>
      </c>
      <c r="J2268" s="4" t="n">
        <v>320</v>
      </c>
      <c r="K2268">
        <f>TEXT(TIMEVALUE(H2268)-TIMEVALUE(I2267)+(TIMEVALUE(H2268)&lt;TIMEVALUE(I2267)),"[h]:mm")</f>
        <v/>
      </c>
      <c r="L2268" s="4" t="inlineStr">
        <is>
          <t>01:30:00</t>
        </is>
      </c>
      <c r="O2268">
        <f>"LIM-"&amp;G2267&amp;"-LIM   LA "&amp;E2267&amp;" ("&amp;LEFT(H2267,5)&amp;"-"&amp;LEFT(I2267,5)&amp;" hrs)  /  LA "&amp;E2268&amp;" ("&amp;LEFT(H2268,5)&amp;"-"&amp;LEFT(I2268,5)&amp;" hrs)"</f>
        <v/>
      </c>
    </row>
    <row r="2269">
      <c r="J2269" s="8" t="inlineStr">
        <is>
          <t>PSV total:</t>
        </is>
      </c>
      <c r="K2269" s="9">
        <f>TEXT(TIMEVALUE(I2268)-TIMEVALUE(H2267)+(I2268&lt;H2267),"[h]:mm")</f>
        <v/>
      </c>
    </row>
    <row r="2271">
      <c r="B2271" s="3" t="inlineStr">
        <is>
          <t>Pairing ID</t>
        </is>
      </c>
      <c r="C2271" s="3" t="inlineStr">
        <is>
          <t>FECHA REAL</t>
        </is>
      </c>
      <c r="D2271" s="3" t="inlineStr">
        <is>
          <t>Day of Week</t>
        </is>
      </c>
      <c r="E2271" s="3" t="inlineStr">
        <is>
          <t>Flight No</t>
        </is>
      </c>
      <c r="F2271" s="3" t="inlineStr">
        <is>
          <t>Dep Stn</t>
        </is>
      </c>
      <c r="G2271" s="3" t="inlineStr">
        <is>
          <t>Arr Stn</t>
        </is>
      </c>
      <c r="H2271" s="3" t="inlineStr">
        <is>
          <t>STD</t>
        </is>
      </c>
      <c r="I2271" s="3" t="inlineStr">
        <is>
          <t>STA</t>
        </is>
      </c>
      <c r="J2271" s="3" t="inlineStr">
        <is>
          <t>subflota</t>
        </is>
      </c>
      <c r="K2271" s="3" t="inlineStr">
        <is>
          <t>Conexion</t>
        </is>
      </c>
      <c r="L2271" s="3" t="inlineStr">
        <is>
          <t>HBT</t>
        </is>
      </c>
    </row>
    <row r="2272">
      <c r="B2272" s="4" t="n">
        <v>2194</v>
      </c>
      <c r="C2272" s="4" t="inlineStr">
        <is>
          <t>25/09/2026</t>
        </is>
      </c>
      <c r="D2272" s="4" t="inlineStr">
        <is>
          <t>viernes</t>
        </is>
      </c>
      <c r="E2272" s="4" t="n">
        <v>2248</v>
      </c>
      <c r="F2272" s="4" t="inlineStr">
        <is>
          <t>LIM</t>
        </is>
      </c>
      <c r="G2272" s="4" t="inlineStr">
        <is>
          <t>CUZ</t>
        </is>
      </c>
      <c r="H2272" s="4" t="inlineStr">
        <is>
          <t>15:00:00</t>
        </is>
      </c>
      <c r="I2272" s="4" t="inlineStr">
        <is>
          <t>16:20:00</t>
        </is>
      </c>
      <c r="J2272" s="4" t="n">
        <v>320</v>
      </c>
      <c r="L2272" s="4" t="inlineStr">
        <is>
          <t>01:20:00</t>
        </is>
      </c>
      <c r="M2272" s="5" t="n"/>
      <c r="N2272" s="6" t="n"/>
      <c r="O2272" s="5" t="n"/>
      <c r="Q2272" s="4">
        <f>B2272</f>
        <v/>
      </c>
      <c r="R2272" s="4">
        <f>C2272</f>
        <v/>
      </c>
      <c r="S2272" s="4">
        <f>D2272</f>
        <v/>
      </c>
      <c r="T2272" s="4">
        <f>E2272&amp;"/"&amp;E2273</f>
        <v/>
      </c>
      <c r="U2272" s="4">
        <f>F2272&amp;"-"&amp;G2272&amp;"-"&amp;F2272</f>
        <v/>
      </c>
      <c r="V2272" s="4">
        <f>IF($M$2272="","",$M$2272)</f>
        <v/>
      </c>
      <c r="W2272" s="4">
        <f>IF($O$2272="","",$O$2272)</f>
        <v/>
      </c>
      <c r="X2272" s="4">
        <f>J2272</f>
        <v/>
      </c>
    </row>
    <row r="2273">
      <c r="B2273" s="4" t="n">
        <v>2194</v>
      </c>
      <c r="C2273" s="4" t="inlineStr">
        <is>
          <t>25/09/2026</t>
        </is>
      </c>
      <c r="D2273" s="4" t="inlineStr">
        <is>
          <t>viernes</t>
        </is>
      </c>
      <c r="E2273" s="4" t="n">
        <v>2249</v>
      </c>
      <c r="F2273" s="4" t="inlineStr">
        <is>
          <t>CUZ</t>
        </is>
      </c>
      <c r="G2273" s="4" t="inlineStr">
        <is>
          <t>LIM</t>
        </is>
      </c>
      <c r="H2273" s="4" t="inlineStr">
        <is>
          <t>17:00:00</t>
        </is>
      </c>
      <c r="I2273" s="4" t="inlineStr">
        <is>
          <t>18:35:00</t>
        </is>
      </c>
      <c r="J2273" s="4" t="n">
        <v>320</v>
      </c>
      <c r="K2273">
        <f>TEXT(TIMEVALUE(H2273)-TIMEVALUE(I2272)+(TIMEVALUE(H2273)&lt;TIMEVALUE(I2272)),"[h]:mm")</f>
        <v/>
      </c>
      <c r="L2273" s="4" t="inlineStr">
        <is>
          <t>01:35:00</t>
        </is>
      </c>
      <c r="O2273">
        <f>"LIM-"&amp;G2272&amp;"-LIM   LA "&amp;E2272&amp;" ("&amp;LEFT(H2272,5)&amp;"-"&amp;LEFT(I2272,5)&amp;" hrs)  /  LA "&amp;E2273&amp;" ("&amp;LEFT(H2273,5)&amp;"-"&amp;LEFT(I2273,5)&amp;" hrs)"</f>
        <v/>
      </c>
    </row>
    <row r="2274">
      <c r="J2274" s="8" t="inlineStr">
        <is>
          <t>PSV total:</t>
        </is>
      </c>
      <c r="K2274" s="9">
        <f>TEXT(TIMEVALUE(I2273)-TIMEVALUE(H2272)+(I2273&lt;H2272),"[h]:mm")</f>
        <v/>
      </c>
    </row>
    <row r="2276">
      <c r="B2276" s="3" t="inlineStr">
        <is>
          <t>Pairing ID</t>
        </is>
      </c>
      <c r="C2276" s="3" t="inlineStr">
        <is>
          <t>FECHA REAL</t>
        </is>
      </c>
      <c r="D2276" s="3" t="inlineStr">
        <is>
          <t>Day of Week</t>
        </is>
      </c>
      <c r="E2276" s="3" t="inlineStr">
        <is>
          <t>Flight No</t>
        </is>
      </c>
      <c r="F2276" s="3" t="inlineStr">
        <is>
          <t>Dep Stn</t>
        </is>
      </c>
      <c r="G2276" s="3" t="inlineStr">
        <is>
          <t>Arr Stn</t>
        </is>
      </c>
      <c r="H2276" s="3" t="inlineStr">
        <is>
          <t>STD</t>
        </is>
      </c>
      <c r="I2276" s="3" t="inlineStr">
        <is>
          <t>STA</t>
        </is>
      </c>
      <c r="J2276" s="3" t="inlineStr">
        <is>
          <t>subflota</t>
        </is>
      </c>
      <c r="K2276" s="3" t="inlineStr">
        <is>
          <t>Conexion</t>
        </is>
      </c>
      <c r="L2276" s="3" t="inlineStr">
        <is>
          <t>HBT</t>
        </is>
      </c>
    </row>
    <row r="2277">
      <c r="B2277" s="4" t="n">
        <v>2195</v>
      </c>
      <c r="C2277" s="4" t="inlineStr">
        <is>
          <t>25/09/2026</t>
        </is>
      </c>
      <c r="D2277" s="4" t="inlineStr">
        <is>
          <t>viernes</t>
        </is>
      </c>
      <c r="E2277" s="4" t="n">
        <v>2113</v>
      </c>
      <c r="F2277" s="4" t="inlineStr">
        <is>
          <t>LIM</t>
        </is>
      </c>
      <c r="G2277" s="4" t="inlineStr">
        <is>
          <t>AQP</t>
        </is>
      </c>
      <c r="H2277" s="4" t="inlineStr">
        <is>
          <t>15:05:00</t>
        </is>
      </c>
      <c r="I2277" s="4" t="inlineStr">
        <is>
          <t>16:35:00</t>
        </is>
      </c>
      <c r="J2277" s="4" t="n">
        <v>319</v>
      </c>
      <c r="L2277" s="4" t="inlineStr">
        <is>
          <t>01:30:00</t>
        </is>
      </c>
      <c r="M2277" s="5" t="n"/>
      <c r="N2277" s="6" t="n"/>
      <c r="O2277" s="5" t="n"/>
      <c r="Q2277" s="4">
        <f>B2277</f>
        <v/>
      </c>
      <c r="R2277" s="4">
        <f>C2277</f>
        <v/>
      </c>
      <c r="S2277" s="4">
        <f>D2277</f>
        <v/>
      </c>
      <c r="T2277" s="4">
        <f>E2277&amp;"/"&amp;E2278</f>
        <v/>
      </c>
      <c r="U2277" s="4">
        <f>F2277&amp;"-"&amp;G2277&amp;"-"&amp;F2277</f>
        <v/>
      </c>
      <c r="V2277" s="4">
        <f>IF($M$2277="","",$M$2277)</f>
        <v/>
      </c>
      <c r="W2277" s="4">
        <f>IF($O$2277="","",$O$2277)</f>
        <v/>
      </c>
      <c r="X2277" s="4">
        <f>J2277</f>
        <v/>
      </c>
    </row>
    <row r="2278">
      <c r="B2278" s="4" t="n">
        <v>2195</v>
      </c>
      <c r="C2278" s="4" t="inlineStr">
        <is>
          <t>25/09/2026</t>
        </is>
      </c>
      <c r="D2278" s="4" t="inlineStr">
        <is>
          <t>viernes</t>
        </is>
      </c>
      <c r="E2278" s="4" t="n">
        <v>2112</v>
      </c>
      <c r="F2278" s="4" t="inlineStr">
        <is>
          <t>AQP</t>
        </is>
      </c>
      <c r="G2278" s="4" t="inlineStr">
        <is>
          <t>LIM</t>
        </is>
      </c>
      <c r="H2278" s="4" t="inlineStr">
        <is>
          <t>17:15:00</t>
        </is>
      </c>
      <c r="I2278" s="4" t="inlineStr">
        <is>
          <t>18:55:00</t>
        </is>
      </c>
      <c r="J2278" s="4" t="n">
        <v>319</v>
      </c>
      <c r="K2278">
        <f>TEXT(TIMEVALUE(H2278)-TIMEVALUE(I2277)+(TIMEVALUE(H2278)&lt;TIMEVALUE(I2277)),"[h]:mm")</f>
        <v/>
      </c>
      <c r="L2278" s="4" t="inlineStr">
        <is>
          <t>01:40:00</t>
        </is>
      </c>
      <c r="O2278">
        <f>"LIM-"&amp;G2277&amp;"-LIM   LA "&amp;E2277&amp;" ("&amp;LEFT(H2277,5)&amp;"-"&amp;LEFT(I2277,5)&amp;" hrs)  /  LA "&amp;E2278&amp;" ("&amp;LEFT(H2278,5)&amp;"-"&amp;LEFT(I2278,5)&amp;" hrs)"</f>
        <v/>
      </c>
    </row>
    <row r="2279">
      <c r="J2279" s="8" t="inlineStr">
        <is>
          <t>PSV total:</t>
        </is>
      </c>
      <c r="K2279" s="9">
        <f>TEXT(TIMEVALUE(I2278)-TIMEVALUE(H2277)+(I2278&lt;H2277),"[h]:mm")</f>
        <v/>
      </c>
    </row>
    <row r="2281">
      <c r="B2281" s="3" t="inlineStr">
        <is>
          <t>Pairing ID</t>
        </is>
      </c>
      <c r="C2281" s="3" t="inlineStr">
        <is>
          <t>FECHA REAL</t>
        </is>
      </c>
      <c r="D2281" s="3" t="inlineStr">
        <is>
          <t>Day of Week</t>
        </is>
      </c>
      <c r="E2281" s="3" t="inlineStr">
        <is>
          <t>Flight No</t>
        </is>
      </c>
      <c r="F2281" s="3" t="inlineStr">
        <is>
          <t>Dep Stn</t>
        </is>
      </c>
      <c r="G2281" s="3" t="inlineStr">
        <is>
          <t>Arr Stn</t>
        </is>
      </c>
      <c r="H2281" s="3" t="inlineStr">
        <is>
          <t>STD</t>
        </is>
      </c>
      <c r="I2281" s="3" t="inlineStr">
        <is>
          <t>STA</t>
        </is>
      </c>
      <c r="J2281" s="3" t="inlineStr">
        <is>
          <t>subflota</t>
        </is>
      </c>
      <c r="K2281" s="3" t="inlineStr">
        <is>
          <t>Conexion</t>
        </is>
      </c>
      <c r="L2281" s="3" t="inlineStr">
        <is>
          <t>HBT</t>
        </is>
      </c>
    </row>
    <row r="2282">
      <c r="B2282" s="4" t="n">
        <v>2197</v>
      </c>
      <c r="C2282" s="4" t="inlineStr">
        <is>
          <t>25/09/2026</t>
        </is>
      </c>
      <c r="D2282" s="4" t="inlineStr">
        <is>
          <t>viernes</t>
        </is>
      </c>
      <c r="E2282" s="4" t="n">
        <v>2297</v>
      </c>
      <c r="F2282" s="4" t="inlineStr">
        <is>
          <t>LIM</t>
        </is>
      </c>
      <c r="G2282" s="4" t="inlineStr">
        <is>
          <t>CJA</t>
        </is>
      </c>
      <c r="H2282" s="4" t="inlineStr">
        <is>
          <t>15:15:00</t>
        </is>
      </c>
      <c r="I2282" s="4" t="inlineStr">
        <is>
          <t>16:35:00</t>
        </is>
      </c>
      <c r="J2282" s="4" t="n">
        <v>320</v>
      </c>
      <c r="L2282" s="4" t="inlineStr">
        <is>
          <t>01:20:00</t>
        </is>
      </c>
      <c r="M2282" s="5" t="n"/>
      <c r="N2282" s="6" t="n"/>
      <c r="O2282" s="5" t="n"/>
      <c r="Q2282" s="4">
        <f>B2282</f>
        <v/>
      </c>
      <c r="R2282" s="4">
        <f>C2282</f>
        <v/>
      </c>
      <c r="S2282" s="4">
        <f>D2282</f>
        <v/>
      </c>
      <c r="T2282" s="4">
        <f>E2282&amp;"/"&amp;E2283</f>
        <v/>
      </c>
      <c r="U2282" s="4">
        <f>F2282&amp;"-"&amp;G2282&amp;"-"&amp;F2282</f>
        <v/>
      </c>
      <c r="V2282" s="4">
        <f>IF($M$2282="","",$M$2282)</f>
        <v/>
      </c>
      <c r="W2282" s="4">
        <f>IF($O$2282="","",$O$2282)</f>
        <v/>
      </c>
      <c r="X2282" s="4">
        <f>J2282</f>
        <v/>
      </c>
    </row>
    <row r="2283">
      <c r="B2283" s="4" t="n">
        <v>2197</v>
      </c>
      <c r="C2283" s="4" t="inlineStr">
        <is>
          <t>25/09/2026</t>
        </is>
      </c>
      <c r="D2283" s="4" t="inlineStr">
        <is>
          <t>viernes</t>
        </is>
      </c>
      <c r="E2283" s="4" t="n">
        <v>2296</v>
      </c>
      <c r="F2283" s="4" t="inlineStr">
        <is>
          <t>CJA</t>
        </is>
      </c>
      <c r="G2283" s="4" t="inlineStr">
        <is>
          <t>LIM</t>
        </is>
      </c>
      <c r="H2283" s="4" t="inlineStr">
        <is>
          <t>17:20:00</t>
        </is>
      </c>
      <c r="I2283" s="4" t="inlineStr">
        <is>
          <t>18:25:00</t>
        </is>
      </c>
      <c r="J2283" s="4" t="n">
        <v>320</v>
      </c>
      <c r="K2283">
        <f>TEXT(TIMEVALUE(H2283)-TIMEVALUE(I2282)+(TIMEVALUE(H2283)&lt;TIMEVALUE(I2282)),"[h]:mm")</f>
        <v/>
      </c>
      <c r="L2283" s="4" t="inlineStr">
        <is>
          <t>01:05:00</t>
        </is>
      </c>
      <c r="O2283">
        <f>"LIM-"&amp;G2282&amp;"-LIM   LA "&amp;E2282&amp;" ("&amp;LEFT(H2282,5)&amp;"-"&amp;LEFT(I2282,5)&amp;" hrs)  /  LA "&amp;E2283&amp;" ("&amp;LEFT(H2283,5)&amp;"-"&amp;LEFT(I2283,5)&amp;" hrs)"</f>
        <v/>
      </c>
    </row>
    <row r="2284">
      <c r="J2284" s="8" t="inlineStr">
        <is>
          <t>PSV total:</t>
        </is>
      </c>
      <c r="K2284" s="9">
        <f>TEXT(TIMEVALUE(I2283)-TIMEVALUE(H2282)+(I2283&lt;H2282),"[h]:mm")</f>
        <v/>
      </c>
    </row>
    <row r="2286">
      <c r="B2286" s="3" t="inlineStr">
        <is>
          <t>Pairing ID</t>
        </is>
      </c>
      <c r="C2286" s="3" t="inlineStr">
        <is>
          <t>FECHA REAL</t>
        </is>
      </c>
      <c r="D2286" s="3" t="inlineStr">
        <is>
          <t>Day of Week</t>
        </is>
      </c>
      <c r="E2286" s="3" t="inlineStr">
        <is>
          <t>Flight No</t>
        </is>
      </c>
      <c r="F2286" s="3" t="inlineStr">
        <is>
          <t>Dep Stn</t>
        </is>
      </c>
      <c r="G2286" s="3" t="inlineStr">
        <is>
          <t>Arr Stn</t>
        </is>
      </c>
      <c r="H2286" s="3" t="inlineStr">
        <is>
          <t>STD</t>
        </is>
      </c>
      <c r="I2286" s="3" t="inlineStr">
        <is>
          <t>STA</t>
        </is>
      </c>
      <c r="J2286" s="3" t="inlineStr">
        <is>
          <t>subflota</t>
        </is>
      </c>
      <c r="K2286" s="3" t="inlineStr">
        <is>
          <t>Conexion</t>
        </is>
      </c>
      <c r="L2286" s="3" t="inlineStr">
        <is>
          <t>HBT</t>
        </is>
      </c>
    </row>
    <row r="2287">
      <c r="B2287" s="4" t="n">
        <v>2198</v>
      </c>
      <c r="C2287" s="4" t="inlineStr">
        <is>
          <t>25/09/2026</t>
        </is>
      </c>
      <c r="D2287" s="4" t="inlineStr">
        <is>
          <t>viernes</t>
        </is>
      </c>
      <c r="E2287" s="4" t="n">
        <v>2360</v>
      </c>
      <c r="F2287" s="4" t="inlineStr">
        <is>
          <t>LIM</t>
        </is>
      </c>
      <c r="G2287" s="4" t="inlineStr">
        <is>
          <t>PCL</t>
        </is>
      </c>
      <c r="H2287" s="4" t="inlineStr">
        <is>
          <t>15:25:00</t>
        </is>
      </c>
      <c r="I2287" s="4" t="inlineStr">
        <is>
          <t>16:40:00</t>
        </is>
      </c>
      <c r="J2287" s="4" t="n">
        <v>320</v>
      </c>
      <c r="L2287" s="4" t="inlineStr">
        <is>
          <t>01:15:00</t>
        </is>
      </c>
      <c r="M2287" s="5" t="n"/>
      <c r="N2287" s="6" t="n"/>
      <c r="O2287" s="5" t="n"/>
      <c r="Q2287" s="4">
        <f>B2287</f>
        <v/>
      </c>
      <c r="R2287" s="4">
        <f>C2287</f>
        <v/>
      </c>
      <c r="S2287" s="4">
        <f>D2287</f>
        <v/>
      </c>
      <c r="T2287" s="4">
        <f>E2287&amp;"/"&amp;E2288</f>
        <v/>
      </c>
      <c r="U2287" s="4">
        <f>F2287&amp;"-"&amp;G2287&amp;"-"&amp;F2287</f>
        <v/>
      </c>
      <c r="V2287" s="4">
        <f>IF($M$2287="","",$M$2287)</f>
        <v/>
      </c>
      <c r="W2287" s="4">
        <f>IF($O$2287="","",$O$2287)</f>
        <v/>
      </c>
      <c r="X2287" s="4">
        <f>J2287</f>
        <v/>
      </c>
    </row>
    <row r="2288">
      <c r="B2288" s="4" t="n">
        <v>2198</v>
      </c>
      <c r="C2288" s="4" t="inlineStr">
        <is>
          <t>25/09/2026</t>
        </is>
      </c>
      <c r="D2288" s="4" t="inlineStr">
        <is>
          <t>viernes</t>
        </is>
      </c>
      <c r="E2288" s="4" t="n">
        <v>2361</v>
      </c>
      <c r="F2288" s="4" t="inlineStr">
        <is>
          <t>PCL</t>
        </is>
      </c>
      <c r="G2288" s="4" t="inlineStr">
        <is>
          <t>LIM</t>
        </is>
      </c>
      <c r="H2288" s="4" t="inlineStr">
        <is>
          <t>17:20:00</t>
        </is>
      </c>
      <c r="I2288" s="4" t="inlineStr">
        <is>
          <t>18:35:00</t>
        </is>
      </c>
      <c r="J2288" s="4" t="n">
        <v>320</v>
      </c>
      <c r="K2288">
        <f>TEXT(TIMEVALUE(H2288)-TIMEVALUE(I2287)+(TIMEVALUE(H2288)&lt;TIMEVALUE(I2287)),"[h]:mm")</f>
        <v/>
      </c>
      <c r="L2288" s="4" t="inlineStr">
        <is>
          <t>01:15:00</t>
        </is>
      </c>
      <c r="O2288">
        <f>"LIM-"&amp;G2287&amp;"-LIM   LA "&amp;E2287&amp;" ("&amp;LEFT(H2287,5)&amp;"-"&amp;LEFT(I2287,5)&amp;" hrs)  /  LA "&amp;E2288&amp;" ("&amp;LEFT(H2288,5)&amp;"-"&amp;LEFT(I2288,5)&amp;" hrs)"</f>
        <v/>
      </c>
    </row>
    <row r="2289">
      <c r="J2289" s="8" t="inlineStr">
        <is>
          <t>PSV total:</t>
        </is>
      </c>
      <c r="K2289" s="9">
        <f>TEXT(TIMEVALUE(I2288)-TIMEVALUE(H2287)+(I2288&lt;H2287),"[h]:mm")</f>
        <v/>
      </c>
    </row>
    <row r="2291">
      <c r="B2291" s="3" t="inlineStr">
        <is>
          <t>Pairing ID</t>
        </is>
      </c>
      <c r="C2291" s="3" t="inlineStr">
        <is>
          <t>FECHA REAL</t>
        </is>
      </c>
      <c r="D2291" s="3" t="inlineStr">
        <is>
          <t>Day of Week</t>
        </is>
      </c>
      <c r="E2291" s="3" t="inlineStr">
        <is>
          <t>Flight No</t>
        </is>
      </c>
      <c r="F2291" s="3" t="inlineStr">
        <is>
          <t>Dep Stn</t>
        </is>
      </c>
      <c r="G2291" s="3" t="inlineStr">
        <is>
          <t>Arr Stn</t>
        </is>
      </c>
      <c r="H2291" s="3" t="inlineStr">
        <is>
          <t>STD</t>
        </is>
      </c>
      <c r="I2291" s="3" t="inlineStr">
        <is>
          <t>STA</t>
        </is>
      </c>
      <c r="J2291" s="3" t="inlineStr">
        <is>
          <t>subflota</t>
        </is>
      </c>
      <c r="K2291" s="3" t="inlineStr">
        <is>
          <t>Conexion</t>
        </is>
      </c>
      <c r="L2291" s="3" t="inlineStr">
        <is>
          <t>HBT</t>
        </is>
      </c>
    </row>
    <row r="2292">
      <c r="B2292" s="4" t="n">
        <v>2199</v>
      </c>
      <c r="C2292" s="4" t="inlineStr">
        <is>
          <t>25/09/2026</t>
        </is>
      </c>
      <c r="D2292" s="4" t="inlineStr">
        <is>
          <t>viernes</t>
        </is>
      </c>
      <c r="E2292" s="4" t="n">
        <v>2312</v>
      </c>
      <c r="F2292" s="4" t="inlineStr">
        <is>
          <t>LIM</t>
        </is>
      </c>
      <c r="G2292" s="4" t="inlineStr">
        <is>
          <t>CIX</t>
        </is>
      </c>
      <c r="H2292" s="4" t="inlineStr">
        <is>
          <t>15:35:00</t>
        </is>
      </c>
      <c r="I2292" s="4" t="inlineStr">
        <is>
          <t>17:05:00</t>
        </is>
      </c>
      <c r="J2292" s="4" t="n">
        <v>320</v>
      </c>
      <c r="L2292" s="4" t="inlineStr">
        <is>
          <t>01:30:00</t>
        </is>
      </c>
      <c r="M2292" s="5" t="n"/>
      <c r="N2292" s="6" t="n"/>
      <c r="O2292" s="5" t="n"/>
      <c r="Q2292" s="4">
        <f>B2292</f>
        <v/>
      </c>
      <c r="R2292" s="4">
        <f>C2292</f>
        <v/>
      </c>
      <c r="S2292" s="4">
        <f>D2292</f>
        <v/>
      </c>
      <c r="T2292" s="4">
        <f>E2292&amp;"/"&amp;E2293</f>
        <v/>
      </c>
      <c r="U2292" s="4">
        <f>F2292&amp;"-"&amp;G2292&amp;"-"&amp;F2292</f>
        <v/>
      </c>
      <c r="V2292" s="4">
        <f>IF($M$2292="","",$M$2292)</f>
        <v/>
      </c>
      <c r="W2292" s="4">
        <f>IF($O$2292="","",$O$2292)</f>
        <v/>
      </c>
      <c r="X2292" s="4">
        <f>J2292</f>
        <v/>
      </c>
    </row>
    <row r="2293">
      <c r="B2293" s="4" t="n">
        <v>2199</v>
      </c>
      <c r="C2293" s="4" t="inlineStr">
        <is>
          <t>25/09/2026</t>
        </is>
      </c>
      <c r="D2293" s="4" t="inlineStr">
        <is>
          <t>viernes</t>
        </is>
      </c>
      <c r="E2293" s="4" t="n">
        <v>2313</v>
      </c>
      <c r="F2293" s="4" t="inlineStr">
        <is>
          <t>CIX</t>
        </is>
      </c>
      <c r="G2293" s="4" t="inlineStr">
        <is>
          <t>LIM</t>
        </is>
      </c>
      <c r="H2293" s="4" t="inlineStr">
        <is>
          <t>17:50:00</t>
        </is>
      </c>
      <c r="I2293" s="4" t="inlineStr">
        <is>
          <t>19:10:00</t>
        </is>
      </c>
      <c r="J2293" s="4" t="n">
        <v>320</v>
      </c>
      <c r="K2293">
        <f>TEXT(TIMEVALUE(H2293)-TIMEVALUE(I2292)+(TIMEVALUE(H2293)&lt;TIMEVALUE(I2292)),"[h]:mm")</f>
        <v/>
      </c>
      <c r="L2293" s="4" t="inlineStr">
        <is>
          <t>01:20:00</t>
        </is>
      </c>
      <c r="O2293">
        <f>"LIM-"&amp;G2292&amp;"-LIM   LA "&amp;E2292&amp;" ("&amp;LEFT(H2292,5)&amp;"-"&amp;LEFT(I2292,5)&amp;" hrs)  /  LA "&amp;E2293&amp;" ("&amp;LEFT(H2293,5)&amp;"-"&amp;LEFT(I2293,5)&amp;" hrs)"</f>
        <v/>
      </c>
    </row>
    <row r="2294">
      <c r="J2294" s="8" t="inlineStr">
        <is>
          <t>PSV total:</t>
        </is>
      </c>
      <c r="K2294" s="9">
        <f>TEXT(TIMEVALUE(I2293)-TIMEVALUE(H2292)+(I2293&lt;H2292),"[h]:mm")</f>
        <v/>
      </c>
    </row>
    <row r="2296">
      <c r="B2296" s="3" t="inlineStr">
        <is>
          <t>Pairing ID</t>
        </is>
      </c>
      <c r="C2296" s="3" t="inlineStr">
        <is>
          <t>FECHA REAL</t>
        </is>
      </c>
      <c r="D2296" s="3" t="inlineStr">
        <is>
          <t>Day of Week</t>
        </is>
      </c>
      <c r="E2296" s="3" t="inlineStr">
        <is>
          <t>Flight No</t>
        </is>
      </c>
      <c r="F2296" s="3" t="inlineStr">
        <is>
          <t>Dep Stn</t>
        </is>
      </c>
      <c r="G2296" s="3" t="inlineStr">
        <is>
          <t>Arr Stn</t>
        </is>
      </c>
      <c r="H2296" s="3" t="inlineStr">
        <is>
          <t>STD</t>
        </is>
      </c>
      <c r="I2296" s="3" t="inlineStr">
        <is>
          <t>STA</t>
        </is>
      </c>
      <c r="J2296" s="3" t="inlineStr">
        <is>
          <t>subflota</t>
        </is>
      </c>
      <c r="K2296" s="3" t="inlineStr">
        <is>
          <t>Conexion</t>
        </is>
      </c>
      <c r="L2296" s="3" t="inlineStr">
        <is>
          <t>HBT</t>
        </is>
      </c>
    </row>
    <row r="2297">
      <c r="B2297" s="4" t="n">
        <v>2200</v>
      </c>
      <c r="C2297" s="4" t="inlineStr">
        <is>
          <t>25/09/2026</t>
        </is>
      </c>
      <c r="D2297" s="4" t="inlineStr">
        <is>
          <t>viernes</t>
        </is>
      </c>
      <c r="E2297" s="4" t="n">
        <v>2301</v>
      </c>
      <c r="F2297" s="4" t="inlineStr">
        <is>
          <t>LIM</t>
        </is>
      </c>
      <c r="G2297" s="4" t="inlineStr">
        <is>
          <t>TPP</t>
        </is>
      </c>
      <c r="H2297" s="4" t="inlineStr">
        <is>
          <t>15:40:00</t>
        </is>
      </c>
      <c r="I2297" s="4" t="inlineStr">
        <is>
          <t>17:05:00</t>
        </is>
      </c>
      <c r="J2297" s="4" t="n">
        <v>319</v>
      </c>
      <c r="L2297" s="4" t="inlineStr">
        <is>
          <t>01:25:00</t>
        </is>
      </c>
      <c r="M2297" s="5" t="n"/>
      <c r="N2297" s="6" t="n"/>
      <c r="O2297" s="5" t="n"/>
      <c r="Q2297" s="4">
        <f>B2297</f>
        <v/>
      </c>
      <c r="R2297" s="4">
        <f>C2297</f>
        <v/>
      </c>
      <c r="S2297" s="4">
        <f>D2297</f>
        <v/>
      </c>
      <c r="T2297" s="4">
        <f>E2297&amp;"/"&amp;E2298</f>
        <v/>
      </c>
      <c r="U2297" s="4">
        <f>F2297&amp;"-"&amp;G2297&amp;"-"&amp;F2297</f>
        <v/>
      </c>
      <c r="V2297" s="4">
        <f>IF($M$2297="","",$M$2297)</f>
        <v/>
      </c>
      <c r="W2297" s="4">
        <f>IF($O$2297="","",$O$2297)</f>
        <v/>
      </c>
      <c r="X2297" s="4">
        <f>J2297</f>
        <v/>
      </c>
    </row>
    <row r="2298">
      <c r="B2298" s="4" t="n">
        <v>2200</v>
      </c>
      <c r="C2298" s="4" t="inlineStr">
        <is>
          <t>25/09/2026</t>
        </is>
      </c>
      <c r="D2298" s="4" t="inlineStr">
        <is>
          <t>viernes</t>
        </is>
      </c>
      <c r="E2298" s="4" t="n">
        <v>2300</v>
      </c>
      <c r="F2298" s="4" t="inlineStr">
        <is>
          <t>TPP</t>
        </is>
      </c>
      <c r="G2298" s="4" t="inlineStr">
        <is>
          <t>LIM</t>
        </is>
      </c>
      <c r="H2298" s="4" t="inlineStr">
        <is>
          <t>17:50:00</t>
        </is>
      </c>
      <c r="I2298" s="4" t="inlineStr">
        <is>
          <t>19:15:00</t>
        </is>
      </c>
      <c r="J2298" s="4" t="n">
        <v>319</v>
      </c>
      <c r="K2298">
        <f>TEXT(TIMEVALUE(H2298)-TIMEVALUE(I2297)+(TIMEVALUE(H2298)&lt;TIMEVALUE(I2297)),"[h]:mm")</f>
        <v/>
      </c>
      <c r="L2298" s="4" t="inlineStr">
        <is>
          <t>01:25:00</t>
        </is>
      </c>
      <c r="O2298">
        <f>"LIM-"&amp;G2297&amp;"-LIM   LA "&amp;E2297&amp;" ("&amp;LEFT(H2297,5)&amp;"-"&amp;LEFT(I2297,5)&amp;" hrs)  /  LA "&amp;E2298&amp;" ("&amp;LEFT(H2298,5)&amp;"-"&amp;LEFT(I2298,5)&amp;" hrs)"</f>
        <v/>
      </c>
    </row>
    <row r="2299">
      <c r="J2299" s="8" t="inlineStr">
        <is>
          <t>PSV total:</t>
        </is>
      </c>
      <c r="K2299" s="9">
        <f>TEXT(TIMEVALUE(I2298)-TIMEVALUE(H2297)+(I2298&lt;H2297),"[h]:mm")</f>
        <v/>
      </c>
    </row>
    <row r="2301">
      <c r="B2301" s="3" t="inlineStr">
        <is>
          <t>Pairing ID</t>
        </is>
      </c>
      <c r="C2301" s="3" t="inlineStr">
        <is>
          <t>FECHA REAL</t>
        </is>
      </c>
      <c r="D2301" s="3" t="inlineStr">
        <is>
          <t>Day of Week</t>
        </is>
      </c>
      <c r="E2301" s="3" t="inlineStr">
        <is>
          <t>Flight No</t>
        </is>
      </c>
      <c r="F2301" s="3" t="inlineStr">
        <is>
          <t>Dep Stn</t>
        </is>
      </c>
      <c r="G2301" s="3" t="inlineStr">
        <is>
          <t>Arr Stn</t>
        </is>
      </c>
      <c r="H2301" s="3" t="inlineStr">
        <is>
          <t>STD</t>
        </is>
      </c>
      <c r="I2301" s="3" t="inlineStr">
        <is>
          <t>STA</t>
        </is>
      </c>
      <c r="J2301" s="3" t="inlineStr">
        <is>
          <t>subflota</t>
        </is>
      </c>
      <c r="K2301" s="3" t="inlineStr">
        <is>
          <t>Conexion</t>
        </is>
      </c>
      <c r="L2301" s="3" t="inlineStr">
        <is>
          <t>HBT</t>
        </is>
      </c>
    </row>
    <row r="2302">
      <c r="B2302" s="4" t="n">
        <v>2210</v>
      </c>
      <c r="C2302" s="4" t="inlineStr">
        <is>
          <t>25/09/2026</t>
        </is>
      </c>
      <c r="D2302" s="4" t="inlineStr">
        <is>
          <t>viernes</t>
        </is>
      </c>
      <c r="E2302" s="4" t="n">
        <v>2310</v>
      </c>
      <c r="F2302" s="4" t="inlineStr">
        <is>
          <t>LIM</t>
        </is>
      </c>
      <c r="G2302" s="4" t="inlineStr">
        <is>
          <t>CIX</t>
        </is>
      </c>
      <c r="H2302" s="4" t="inlineStr">
        <is>
          <t>18:20:00</t>
        </is>
      </c>
      <c r="I2302" s="4" t="inlineStr">
        <is>
          <t>19:45:00</t>
        </is>
      </c>
      <c r="J2302" s="4" t="n">
        <v>320</v>
      </c>
      <c r="L2302" s="4" t="inlineStr">
        <is>
          <t>01:25:00</t>
        </is>
      </c>
      <c r="M2302" s="5" t="n"/>
      <c r="N2302" s="6" t="n"/>
      <c r="O2302" s="5" t="n"/>
      <c r="Q2302" s="4">
        <f>B2302</f>
        <v/>
      </c>
      <c r="R2302" s="4">
        <f>C2302</f>
        <v/>
      </c>
      <c r="S2302" s="4">
        <f>D2302</f>
        <v/>
      </c>
      <c r="T2302" s="4">
        <f>E2302&amp;"/"&amp;E2303</f>
        <v/>
      </c>
      <c r="U2302" s="4">
        <f>F2302&amp;"-"&amp;G2302&amp;"-"&amp;F2302</f>
        <v/>
      </c>
      <c r="V2302" s="4">
        <f>IF($M$2302="","",$M$2302)</f>
        <v/>
      </c>
      <c r="W2302" s="4">
        <f>IF($O$2302="","",$O$2302)</f>
        <v/>
      </c>
      <c r="X2302" s="4">
        <f>J2302</f>
        <v/>
      </c>
    </row>
    <row r="2303">
      <c r="B2303" s="4" t="n">
        <v>2210</v>
      </c>
      <c r="C2303" s="4" t="inlineStr">
        <is>
          <t>25/09/2026</t>
        </is>
      </c>
      <c r="D2303" s="4" t="inlineStr">
        <is>
          <t>viernes</t>
        </is>
      </c>
      <c r="E2303" s="4" t="n">
        <v>2311</v>
      </c>
      <c r="F2303" s="4" t="inlineStr">
        <is>
          <t>CIX</t>
        </is>
      </c>
      <c r="G2303" s="4" t="inlineStr">
        <is>
          <t>LIM</t>
        </is>
      </c>
      <c r="H2303" s="4" t="inlineStr">
        <is>
          <t>20:20:00</t>
        </is>
      </c>
      <c r="I2303" s="4" t="inlineStr">
        <is>
          <t>21:35:00</t>
        </is>
      </c>
      <c r="J2303" s="4" t="n">
        <v>320</v>
      </c>
      <c r="K2303">
        <f>TEXT(TIMEVALUE(H2303)-TIMEVALUE(I2302)+(TIMEVALUE(H2303)&lt;TIMEVALUE(I2302)),"[h]:mm")</f>
        <v/>
      </c>
      <c r="L2303" s="4" t="inlineStr">
        <is>
          <t>01:15:00</t>
        </is>
      </c>
      <c r="O2303">
        <f>"LIM-"&amp;G2302&amp;"-LIM   LA "&amp;E2302&amp;" ("&amp;LEFT(H2302,5)&amp;"-"&amp;LEFT(I2302,5)&amp;" hrs)  /  LA "&amp;E2303&amp;" ("&amp;LEFT(H2303,5)&amp;"-"&amp;LEFT(I2303,5)&amp;" hrs)"</f>
        <v/>
      </c>
    </row>
    <row r="2304">
      <c r="J2304" s="8" t="inlineStr">
        <is>
          <t>PSV total:</t>
        </is>
      </c>
      <c r="K2304" s="9">
        <f>TEXT(TIMEVALUE(I2303)-TIMEVALUE(H2302)+(I2303&lt;H2302),"[h]:mm")</f>
        <v/>
      </c>
    </row>
    <row r="2306">
      <c r="B2306" s="3" t="inlineStr">
        <is>
          <t>Pairing ID</t>
        </is>
      </c>
      <c r="C2306" s="3" t="inlineStr">
        <is>
          <t>FECHA REAL</t>
        </is>
      </c>
      <c r="D2306" s="3" t="inlineStr">
        <is>
          <t>Day of Week</t>
        </is>
      </c>
      <c r="E2306" s="3" t="inlineStr">
        <is>
          <t>Flight No</t>
        </is>
      </c>
      <c r="F2306" s="3" t="inlineStr">
        <is>
          <t>Dep Stn</t>
        </is>
      </c>
      <c r="G2306" s="3" t="inlineStr">
        <is>
          <t>Arr Stn</t>
        </is>
      </c>
      <c r="H2306" s="3" t="inlineStr">
        <is>
          <t>STD</t>
        </is>
      </c>
      <c r="I2306" s="3" t="inlineStr">
        <is>
          <t>STA</t>
        </is>
      </c>
      <c r="J2306" s="3" t="inlineStr">
        <is>
          <t>subflota</t>
        </is>
      </c>
      <c r="K2306" s="3" t="inlineStr">
        <is>
          <t>Conexion</t>
        </is>
      </c>
      <c r="L2306" s="3" t="inlineStr">
        <is>
          <t>HBT</t>
        </is>
      </c>
    </row>
    <row r="2307">
      <c r="B2307" s="4" t="n">
        <v>2211</v>
      </c>
      <c r="C2307" s="4" t="inlineStr">
        <is>
          <t>25/09/2026</t>
        </is>
      </c>
      <c r="D2307" s="4" t="inlineStr">
        <is>
          <t>viernes</t>
        </is>
      </c>
      <c r="E2307" s="4" t="n">
        <v>2117</v>
      </c>
      <c r="F2307" s="4" t="inlineStr">
        <is>
          <t>LIM</t>
        </is>
      </c>
      <c r="G2307" s="4" t="inlineStr">
        <is>
          <t>AQP</t>
        </is>
      </c>
      <c r="H2307" s="4" t="inlineStr">
        <is>
          <t>18:35:00</t>
        </is>
      </c>
      <c r="I2307" s="4" t="inlineStr">
        <is>
          <t>20:05:00</t>
        </is>
      </c>
      <c r="J2307" s="4" t="n">
        <v>320</v>
      </c>
      <c r="L2307" s="4" t="inlineStr">
        <is>
          <t>01:30:00</t>
        </is>
      </c>
      <c r="M2307" s="5" t="n"/>
      <c r="N2307" s="6" t="n"/>
      <c r="O2307" s="5" t="n"/>
      <c r="Q2307" s="4">
        <f>B2307</f>
        <v/>
      </c>
      <c r="R2307" s="4">
        <f>C2307</f>
        <v/>
      </c>
      <c r="S2307" s="4">
        <f>D2307</f>
        <v/>
      </c>
      <c r="T2307" s="4">
        <f>E2307&amp;"/"&amp;E2308</f>
        <v/>
      </c>
      <c r="U2307" s="4">
        <f>F2307&amp;"-"&amp;G2307&amp;"-"&amp;F2307</f>
        <v/>
      </c>
      <c r="V2307" s="4">
        <f>IF($M$2307="","",$M$2307)</f>
        <v/>
      </c>
      <c r="W2307" s="4">
        <f>IF($O$2307="","",$O$2307)</f>
        <v/>
      </c>
      <c r="X2307" s="4">
        <f>J2307</f>
        <v/>
      </c>
    </row>
    <row r="2308">
      <c r="B2308" s="4" t="n">
        <v>2211</v>
      </c>
      <c r="C2308" s="4" t="inlineStr">
        <is>
          <t>25/09/2026</t>
        </is>
      </c>
      <c r="D2308" s="4" t="inlineStr">
        <is>
          <t>viernes</t>
        </is>
      </c>
      <c r="E2308" s="4" t="n">
        <v>2116</v>
      </c>
      <c r="F2308" s="4" t="inlineStr">
        <is>
          <t>AQP</t>
        </is>
      </c>
      <c r="G2308" s="4" t="inlineStr">
        <is>
          <t>LIM</t>
        </is>
      </c>
      <c r="H2308" s="4" t="inlineStr">
        <is>
          <t>20:40:00</t>
        </is>
      </c>
      <c r="I2308" s="4" t="inlineStr">
        <is>
          <t>22:20:00</t>
        </is>
      </c>
      <c r="J2308" s="4" t="n">
        <v>320</v>
      </c>
      <c r="K2308">
        <f>TEXT(TIMEVALUE(H2308)-TIMEVALUE(I2307)+(TIMEVALUE(H2308)&lt;TIMEVALUE(I2307)),"[h]:mm")</f>
        <v/>
      </c>
      <c r="L2308" s="4" t="inlineStr">
        <is>
          <t>01:40:00</t>
        </is>
      </c>
      <c r="O2308">
        <f>"LIM-"&amp;G2307&amp;"-LIM   LA "&amp;E2307&amp;" ("&amp;LEFT(H2307,5)&amp;"-"&amp;LEFT(I2307,5)&amp;" hrs)  /  LA "&amp;E2308&amp;" ("&amp;LEFT(H2308,5)&amp;"-"&amp;LEFT(I2308,5)&amp;" hrs)"</f>
        <v/>
      </c>
    </row>
    <row r="2309">
      <c r="J2309" s="8" t="inlineStr">
        <is>
          <t>PSV total:</t>
        </is>
      </c>
      <c r="K2309" s="9">
        <f>TEXT(TIMEVALUE(I2308)-TIMEVALUE(H2307)+(I2308&lt;H2307),"[h]:mm")</f>
        <v/>
      </c>
    </row>
    <row r="2311">
      <c r="B2311" s="3" t="inlineStr">
        <is>
          <t>Pairing ID</t>
        </is>
      </c>
      <c r="C2311" s="3" t="inlineStr">
        <is>
          <t>FECHA REAL</t>
        </is>
      </c>
      <c r="D2311" s="3" t="inlineStr">
        <is>
          <t>Day of Week</t>
        </is>
      </c>
      <c r="E2311" s="3" t="inlineStr">
        <is>
          <t>Flight No</t>
        </is>
      </c>
      <c r="F2311" s="3" t="inlineStr">
        <is>
          <t>Dep Stn</t>
        </is>
      </c>
      <c r="G2311" s="3" t="inlineStr">
        <is>
          <t>Arr Stn</t>
        </is>
      </c>
      <c r="H2311" s="3" t="inlineStr">
        <is>
          <t>STD</t>
        </is>
      </c>
      <c r="I2311" s="3" t="inlineStr">
        <is>
          <t>STA</t>
        </is>
      </c>
      <c r="J2311" s="3" t="inlineStr">
        <is>
          <t>subflota</t>
        </is>
      </c>
      <c r="K2311" s="3" t="inlineStr">
        <is>
          <t>Conexion</t>
        </is>
      </c>
      <c r="L2311" s="3" t="inlineStr">
        <is>
          <t>HBT</t>
        </is>
      </c>
    </row>
    <row r="2312">
      <c r="B2312" s="4" t="n">
        <v>2248</v>
      </c>
      <c r="C2312" s="4" t="inlineStr">
        <is>
          <t>26/09/2026</t>
        </is>
      </c>
      <c r="D2312" s="4" t="inlineStr">
        <is>
          <t>sábado</t>
        </is>
      </c>
      <c r="E2312" s="4" t="n">
        <v>2013</v>
      </c>
      <c r="F2312" s="4" t="inlineStr">
        <is>
          <t>LIM</t>
        </is>
      </c>
      <c r="G2312" s="4" t="inlineStr">
        <is>
          <t>CUZ</t>
        </is>
      </c>
      <c r="H2312" s="4" t="inlineStr">
        <is>
          <t>08:35:00</t>
        </is>
      </c>
      <c r="I2312" s="4" t="inlineStr">
        <is>
          <t>09:55:00</t>
        </is>
      </c>
      <c r="J2312" s="4" t="n">
        <v>320</v>
      </c>
      <c r="L2312" s="4" t="inlineStr">
        <is>
          <t>01:20:00</t>
        </is>
      </c>
      <c r="M2312" s="5" t="n"/>
      <c r="N2312" s="6" t="n"/>
      <c r="O2312" s="5" t="n"/>
      <c r="Q2312" s="4">
        <f>B2312</f>
        <v/>
      </c>
      <c r="R2312" s="4">
        <f>C2312</f>
        <v/>
      </c>
      <c r="S2312" s="4">
        <f>D2312</f>
        <v/>
      </c>
      <c r="T2312" s="4">
        <f>E2312&amp;"/"&amp;E2313</f>
        <v/>
      </c>
      <c r="U2312" s="4">
        <f>F2312&amp;"-"&amp;G2312&amp;"-"&amp;F2312</f>
        <v/>
      </c>
      <c r="V2312" s="4">
        <f>IF($M$2312="","",$M$2312)</f>
        <v/>
      </c>
      <c r="W2312" s="4">
        <f>IF($O$2312="","",$O$2312)</f>
        <v/>
      </c>
      <c r="X2312" s="4">
        <f>J2312</f>
        <v/>
      </c>
    </row>
    <row r="2313">
      <c r="B2313" s="4" t="n">
        <v>2248</v>
      </c>
      <c r="C2313" s="4" t="inlineStr">
        <is>
          <t>26/09/2026</t>
        </is>
      </c>
      <c r="D2313" s="4" t="inlineStr">
        <is>
          <t>sábado</t>
        </is>
      </c>
      <c r="E2313" s="4" t="n">
        <v>2014</v>
      </c>
      <c r="F2313" s="4" t="inlineStr">
        <is>
          <t>CUZ</t>
        </is>
      </c>
      <c r="G2313" s="4" t="inlineStr">
        <is>
          <t>LIM</t>
        </is>
      </c>
      <c r="H2313" s="4" t="inlineStr">
        <is>
          <t>10:40:00</t>
        </is>
      </c>
      <c r="I2313" s="4" t="inlineStr">
        <is>
          <t>12:15:00</t>
        </is>
      </c>
      <c r="J2313" s="4" t="n">
        <v>320</v>
      </c>
      <c r="K2313">
        <f>TEXT(TIMEVALUE(H2313)-TIMEVALUE(I2312)+(TIMEVALUE(H2313)&lt;TIMEVALUE(I2312)),"[h]:mm")</f>
        <v/>
      </c>
      <c r="L2313" s="4" t="inlineStr">
        <is>
          <t>01:35:00</t>
        </is>
      </c>
      <c r="O2313">
        <f>"LIM-"&amp;G2312&amp;"-LIM   LA "&amp;E2312&amp;" ("&amp;LEFT(H2312,5)&amp;"-"&amp;LEFT(I2312,5)&amp;" hrs)  /  LA "&amp;E2313&amp;" ("&amp;LEFT(H2313,5)&amp;"-"&amp;LEFT(I2313,5)&amp;" hrs)"</f>
        <v/>
      </c>
    </row>
    <row r="2314">
      <c r="J2314" s="8" t="inlineStr">
        <is>
          <t>PSV total:</t>
        </is>
      </c>
      <c r="K2314" s="9">
        <f>TEXT(TIMEVALUE(I2313)-TIMEVALUE(H2312)+(I2313&lt;H2312),"[h]:mm")</f>
        <v/>
      </c>
    </row>
    <row r="2316">
      <c r="B2316" s="3" t="inlineStr">
        <is>
          <t>Pairing ID</t>
        </is>
      </c>
      <c r="C2316" s="3" t="inlineStr">
        <is>
          <t>FECHA REAL</t>
        </is>
      </c>
      <c r="D2316" s="3" t="inlineStr">
        <is>
          <t>Day of Week</t>
        </is>
      </c>
      <c r="E2316" s="3" t="inlineStr">
        <is>
          <t>Flight No</t>
        </is>
      </c>
      <c r="F2316" s="3" t="inlineStr">
        <is>
          <t>Dep Stn</t>
        </is>
      </c>
      <c r="G2316" s="3" t="inlineStr">
        <is>
          <t>Arr Stn</t>
        </is>
      </c>
      <c r="H2316" s="3" t="inlineStr">
        <is>
          <t>STD</t>
        </is>
      </c>
      <c r="I2316" s="3" t="inlineStr">
        <is>
          <t>STA</t>
        </is>
      </c>
      <c r="J2316" s="3" t="inlineStr">
        <is>
          <t>subflota</t>
        </is>
      </c>
      <c r="K2316" s="3" t="inlineStr">
        <is>
          <t>Conexion</t>
        </is>
      </c>
      <c r="L2316" s="3" t="inlineStr">
        <is>
          <t>HBT</t>
        </is>
      </c>
    </row>
    <row r="2317">
      <c r="B2317" s="4" t="n">
        <v>2255</v>
      </c>
      <c r="C2317" s="4" t="inlineStr">
        <is>
          <t>26/09/2026</t>
        </is>
      </c>
      <c r="D2317" s="4" t="inlineStr">
        <is>
          <t>sábado</t>
        </is>
      </c>
      <c r="E2317" s="4" t="n">
        <v>2266</v>
      </c>
      <c r="F2317" s="4" t="inlineStr">
        <is>
          <t>LIM</t>
        </is>
      </c>
      <c r="G2317" s="4" t="inlineStr">
        <is>
          <t>CUZ</t>
        </is>
      </c>
      <c r="H2317" s="4" t="inlineStr">
        <is>
          <t>11:10:00</t>
        </is>
      </c>
      <c r="I2317" s="4" t="inlineStr">
        <is>
          <t>12:30:00</t>
        </is>
      </c>
      <c r="J2317" s="4" t="n">
        <v>320</v>
      </c>
      <c r="L2317" s="4" t="inlineStr">
        <is>
          <t>01:20:00</t>
        </is>
      </c>
      <c r="M2317" s="5" t="n"/>
      <c r="N2317" s="6" t="n"/>
      <c r="O2317" s="5" t="n"/>
      <c r="Q2317" s="4">
        <f>B2317</f>
        <v/>
      </c>
      <c r="R2317" s="4">
        <f>C2317</f>
        <v/>
      </c>
      <c r="S2317" s="4">
        <f>D2317</f>
        <v/>
      </c>
      <c r="T2317" s="4">
        <f>E2317&amp;"/"&amp;E2318</f>
        <v/>
      </c>
      <c r="U2317" s="4">
        <f>F2317&amp;"-"&amp;G2317&amp;"-"&amp;F2317</f>
        <v/>
      </c>
      <c r="V2317" s="4">
        <f>IF($M$2317="","",$M$2317)</f>
        <v/>
      </c>
      <c r="W2317" s="4">
        <f>IF($O$2317="","",$O$2317)</f>
        <v/>
      </c>
      <c r="X2317" s="4">
        <f>J2317</f>
        <v/>
      </c>
    </row>
    <row r="2318">
      <c r="B2318" s="4" t="n">
        <v>2255</v>
      </c>
      <c r="C2318" s="4" t="inlineStr">
        <is>
          <t>26/09/2026</t>
        </is>
      </c>
      <c r="D2318" s="4" t="inlineStr">
        <is>
          <t>sábado</t>
        </is>
      </c>
      <c r="E2318" s="4" t="n">
        <v>2267</v>
      </c>
      <c r="F2318" s="4" t="inlineStr">
        <is>
          <t>CUZ</t>
        </is>
      </c>
      <c r="G2318" s="4" t="inlineStr">
        <is>
          <t>LIM</t>
        </is>
      </c>
      <c r="H2318" s="4" t="inlineStr">
        <is>
          <t>13:10:00</t>
        </is>
      </c>
      <c r="I2318" s="4" t="inlineStr">
        <is>
          <t>14:45:00</t>
        </is>
      </c>
      <c r="J2318" s="4" t="n">
        <v>320</v>
      </c>
      <c r="K2318">
        <f>TEXT(TIMEVALUE(H2318)-TIMEVALUE(I2317)+(TIMEVALUE(H2318)&lt;TIMEVALUE(I2317)),"[h]:mm")</f>
        <v/>
      </c>
      <c r="L2318" s="4" t="inlineStr">
        <is>
          <t>01:35:00</t>
        </is>
      </c>
      <c r="O2318">
        <f>"LIM-"&amp;G2317&amp;"-LIM   LA "&amp;E2317&amp;" ("&amp;LEFT(H2317,5)&amp;"-"&amp;LEFT(I2317,5)&amp;" hrs)  /  LA "&amp;E2318&amp;" ("&amp;LEFT(H2318,5)&amp;"-"&amp;LEFT(I2318,5)&amp;" hrs)"</f>
        <v/>
      </c>
    </row>
    <row r="2319">
      <c r="B2319" s="4" t="n">
        <v>2281</v>
      </c>
      <c r="C2319" s="4" t="inlineStr">
        <is>
          <t>26/09/2026</t>
        </is>
      </c>
      <c r="D2319" s="4" t="inlineStr">
        <is>
          <t>sábado</t>
        </is>
      </c>
      <c r="E2319" s="4" t="n">
        <v>2301</v>
      </c>
      <c r="F2319" s="4" t="inlineStr">
        <is>
          <t>LIM</t>
        </is>
      </c>
      <c r="G2319" s="4" t="inlineStr">
        <is>
          <t>TPP</t>
        </is>
      </c>
      <c r="H2319" s="4" t="inlineStr">
        <is>
          <t>15:40:00</t>
        </is>
      </c>
      <c r="I2319" s="4" t="inlineStr">
        <is>
          <t>17:05:00</t>
        </is>
      </c>
      <c r="J2319" s="4" t="n">
        <v>320</v>
      </c>
      <c r="K2319" s="7">
        <f>TEXT(TIMEVALUE(H2319)-TIMEVALUE(I2318)+(TIMEVALUE(H2319)&lt;TIMEVALUE(I2318)),"[h]:mm")</f>
        <v/>
      </c>
      <c r="L2319" s="4" t="inlineStr">
        <is>
          <t>01:25:00</t>
        </is>
      </c>
      <c r="M2319">
        <f>IF($M$2317="","",$M$2317)</f>
        <v/>
      </c>
      <c r="O2319">
        <f>IF($O$2317="","",$O$2317)</f>
        <v/>
      </c>
      <c r="Q2319" s="4">
        <f>B2319</f>
        <v/>
      </c>
      <c r="R2319" s="4">
        <f>C2319</f>
        <v/>
      </c>
      <c r="S2319" s="4">
        <f>D2319</f>
        <v/>
      </c>
      <c r="T2319" s="4">
        <f>E2319&amp;"/"&amp;E2320</f>
        <v/>
      </c>
      <c r="U2319" s="4">
        <f>F2319&amp;"-"&amp;G2319&amp;"-"&amp;F2319</f>
        <v/>
      </c>
      <c r="V2319" s="4">
        <f>IF($M$2317="","",$M$2317)</f>
        <v/>
      </c>
      <c r="W2319" s="4">
        <f>IF($O$2317="","",$O$2317)</f>
        <v/>
      </c>
      <c r="X2319" s="4">
        <f>J2319</f>
        <v/>
      </c>
    </row>
    <row r="2320">
      <c r="B2320" s="4" t="n">
        <v>2281</v>
      </c>
      <c r="C2320" s="4" t="inlineStr">
        <is>
          <t>26/09/2026</t>
        </is>
      </c>
      <c r="D2320" s="4" t="inlineStr">
        <is>
          <t>sábado</t>
        </is>
      </c>
      <c r="E2320" s="4" t="n">
        <v>2300</v>
      </c>
      <c r="F2320" s="4" t="inlineStr">
        <is>
          <t>TPP</t>
        </is>
      </c>
      <c r="G2320" s="4" t="inlineStr">
        <is>
          <t>LIM</t>
        </is>
      </c>
      <c r="H2320" s="4" t="inlineStr">
        <is>
          <t>17:50:00</t>
        </is>
      </c>
      <c r="I2320" s="4" t="inlineStr">
        <is>
          <t>19:20:00</t>
        </is>
      </c>
      <c r="J2320" s="4" t="n">
        <v>320</v>
      </c>
      <c r="K2320">
        <f>TEXT(TIMEVALUE(H2320)-TIMEVALUE(I2319)+(TIMEVALUE(H2320)&lt;TIMEVALUE(I2319)),"[h]:mm")</f>
        <v/>
      </c>
      <c r="L2320" s="4" t="inlineStr">
        <is>
          <t>01:30:00</t>
        </is>
      </c>
      <c r="O2320">
        <f>"LIM-"&amp;G2319&amp;"-LIM   LA "&amp;E2319&amp;" ("&amp;LEFT(H2319,5)&amp;"-"&amp;LEFT(I2319,5)&amp;" hrs)  /  LA "&amp;E2320&amp;" ("&amp;LEFT(H2320,5)&amp;"-"&amp;LEFT(I2320,5)&amp;" hrs)"</f>
        <v/>
      </c>
    </row>
    <row r="2321">
      <c r="J2321" s="8" t="inlineStr">
        <is>
          <t>PSV total:</t>
        </is>
      </c>
      <c r="K2321" s="9">
        <f>TEXT(TIMEVALUE(I2320)-TIMEVALUE(H2317)+(I2320&lt;H2317),"[h]:mm")</f>
        <v/>
      </c>
    </row>
    <row r="2323">
      <c r="B2323" s="3" t="inlineStr">
        <is>
          <t>Pairing ID</t>
        </is>
      </c>
      <c r="C2323" s="3" t="inlineStr">
        <is>
          <t>FECHA REAL</t>
        </is>
      </c>
      <c r="D2323" s="3" t="inlineStr">
        <is>
          <t>Day of Week</t>
        </is>
      </c>
      <c r="E2323" s="3" t="inlineStr">
        <is>
          <t>Flight No</t>
        </is>
      </c>
      <c r="F2323" s="3" t="inlineStr">
        <is>
          <t>Dep Stn</t>
        </is>
      </c>
      <c r="G2323" s="3" t="inlineStr">
        <is>
          <t>Arr Stn</t>
        </is>
      </c>
      <c r="H2323" s="3" t="inlineStr">
        <is>
          <t>STD</t>
        </is>
      </c>
      <c r="I2323" s="3" t="inlineStr">
        <is>
          <t>STA</t>
        </is>
      </c>
      <c r="J2323" s="3" t="inlineStr">
        <is>
          <t>subflota</t>
        </is>
      </c>
      <c r="K2323" s="3" t="inlineStr">
        <is>
          <t>Conexion</t>
        </is>
      </c>
      <c r="L2323" s="3" t="inlineStr">
        <is>
          <t>HBT</t>
        </is>
      </c>
    </row>
    <row r="2324">
      <c r="B2324" s="4" t="n">
        <v>2256</v>
      </c>
      <c r="C2324" s="4" t="inlineStr">
        <is>
          <t>26/09/2026</t>
        </is>
      </c>
      <c r="D2324" s="4" t="inlineStr">
        <is>
          <t>sábado</t>
        </is>
      </c>
      <c r="E2324" s="4" t="n">
        <v>2019</v>
      </c>
      <c r="F2324" s="4" t="inlineStr">
        <is>
          <t>LIM</t>
        </is>
      </c>
      <c r="G2324" s="4" t="inlineStr">
        <is>
          <t>IQT</t>
        </is>
      </c>
      <c r="H2324" s="4" t="inlineStr">
        <is>
          <t>11:35:00</t>
        </is>
      </c>
      <c r="I2324" s="4" t="inlineStr">
        <is>
          <t>13:25:00</t>
        </is>
      </c>
      <c r="J2324" s="4" t="n">
        <v>320</v>
      </c>
      <c r="L2324" s="4" t="inlineStr">
        <is>
          <t>01:50:00</t>
        </is>
      </c>
      <c r="M2324" s="5" t="n"/>
      <c r="N2324" s="6" t="n"/>
      <c r="O2324" s="5" t="n"/>
      <c r="Q2324" s="4">
        <f>B2324</f>
        <v/>
      </c>
      <c r="R2324" s="4">
        <f>C2324</f>
        <v/>
      </c>
      <c r="S2324" s="4">
        <f>D2324</f>
        <v/>
      </c>
      <c r="T2324" s="4">
        <f>E2324&amp;"/"&amp;E2325</f>
        <v/>
      </c>
      <c r="U2324" s="4">
        <f>F2324&amp;"-"&amp;G2324&amp;"-"&amp;F2324</f>
        <v/>
      </c>
      <c r="V2324" s="4">
        <f>IF($M$2324="","",$M$2324)</f>
        <v/>
      </c>
      <c r="W2324" s="4">
        <f>IF($O$2324="","",$O$2324)</f>
        <v/>
      </c>
      <c r="X2324" s="4">
        <f>J2324</f>
        <v/>
      </c>
    </row>
    <row r="2325">
      <c r="B2325" s="4" t="n">
        <v>2256</v>
      </c>
      <c r="C2325" s="4" t="inlineStr">
        <is>
          <t>26/09/2026</t>
        </is>
      </c>
      <c r="D2325" s="4" t="inlineStr">
        <is>
          <t>sábado</t>
        </is>
      </c>
      <c r="E2325" s="4" t="n">
        <v>2038</v>
      </c>
      <c r="F2325" s="4" t="inlineStr">
        <is>
          <t>IQT</t>
        </is>
      </c>
      <c r="G2325" s="4" t="inlineStr">
        <is>
          <t>LIM</t>
        </is>
      </c>
      <c r="H2325" s="4" t="inlineStr">
        <is>
          <t>14:05:00</t>
        </is>
      </c>
      <c r="I2325" s="4" t="inlineStr">
        <is>
          <t>15:55:00</t>
        </is>
      </c>
      <c r="J2325" s="4" t="n">
        <v>320</v>
      </c>
      <c r="K2325">
        <f>TEXT(TIMEVALUE(H2325)-TIMEVALUE(I2324)+(TIMEVALUE(H2325)&lt;TIMEVALUE(I2324)),"[h]:mm")</f>
        <v/>
      </c>
      <c r="L2325" s="4" t="inlineStr">
        <is>
          <t>01:50:00</t>
        </is>
      </c>
      <c r="O2325">
        <f>"LIM-"&amp;G2324&amp;"-LIM   LA "&amp;E2324&amp;" ("&amp;LEFT(H2324,5)&amp;"-"&amp;LEFT(I2324,5)&amp;" hrs)  /  LA "&amp;E2325&amp;" ("&amp;LEFT(H2325,5)&amp;"-"&amp;LEFT(I2325,5)&amp;" hrs)"</f>
        <v/>
      </c>
    </row>
    <row r="2326">
      <c r="B2326" s="4" t="n">
        <v>2286</v>
      </c>
      <c r="C2326" s="4" t="inlineStr">
        <is>
          <t>26/09/2026</t>
        </is>
      </c>
      <c r="D2326" s="4" t="inlineStr">
        <is>
          <t>sábado</t>
        </is>
      </c>
      <c r="E2326" s="4" t="n">
        <v>2115</v>
      </c>
      <c r="F2326" s="4" t="inlineStr">
        <is>
          <t>LIM</t>
        </is>
      </c>
      <c r="G2326" s="4" t="inlineStr">
        <is>
          <t>AQP</t>
        </is>
      </c>
      <c r="H2326" s="4" t="inlineStr">
        <is>
          <t>17:15:00</t>
        </is>
      </c>
      <c r="I2326" s="4" t="inlineStr">
        <is>
          <t>18:45:00</t>
        </is>
      </c>
      <c r="J2326" s="4" t="n">
        <v>320</v>
      </c>
      <c r="K2326" s="7">
        <f>TEXT(TIMEVALUE(H2326)-TIMEVALUE(I2325)+(TIMEVALUE(H2326)&lt;TIMEVALUE(I2325)),"[h]:mm")</f>
        <v/>
      </c>
      <c r="L2326" s="4" t="inlineStr">
        <is>
          <t>01:30:00</t>
        </is>
      </c>
      <c r="M2326">
        <f>IF($M$2324="","",$M$2324)</f>
        <v/>
      </c>
      <c r="O2326">
        <f>IF($O$2324="","",$O$2324)</f>
        <v/>
      </c>
      <c r="Q2326" s="4">
        <f>B2326</f>
        <v/>
      </c>
      <c r="R2326" s="4">
        <f>C2326</f>
        <v/>
      </c>
      <c r="S2326" s="4">
        <f>D2326</f>
        <v/>
      </c>
      <c r="T2326" s="4">
        <f>E2326&amp;"/"&amp;E2327</f>
        <v/>
      </c>
      <c r="U2326" s="4">
        <f>F2326&amp;"-"&amp;G2326&amp;"-"&amp;F2326</f>
        <v/>
      </c>
      <c r="V2326" s="4">
        <f>IF($M$2324="","",$M$2324)</f>
        <v/>
      </c>
      <c r="W2326" s="4">
        <f>IF($O$2324="","",$O$2324)</f>
        <v/>
      </c>
      <c r="X2326" s="4">
        <f>J2326</f>
        <v/>
      </c>
    </row>
    <row r="2327">
      <c r="B2327" s="4" t="n">
        <v>2286</v>
      </c>
      <c r="C2327" s="4" t="inlineStr">
        <is>
          <t>26/09/2026</t>
        </is>
      </c>
      <c r="D2327" s="4" t="inlineStr">
        <is>
          <t>sábado</t>
        </is>
      </c>
      <c r="E2327" s="4" t="n">
        <v>2114</v>
      </c>
      <c r="F2327" s="4" t="inlineStr">
        <is>
          <t>AQP</t>
        </is>
      </c>
      <c r="G2327" s="4" t="inlineStr">
        <is>
          <t>LIM</t>
        </is>
      </c>
      <c r="H2327" s="4" t="inlineStr">
        <is>
          <t>19:20:00</t>
        </is>
      </c>
      <c r="I2327" s="4" t="inlineStr">
        <is>
          <t>20:55:00</t>
        </is>
      </c>
      <c r="J2327" s="4" t="n">
        <v>320</v>
      </c>
      <c r="K2327">
        <f>TEXT(TIMEVALUE(H2327)-TIMEVALUE(I2326)+(TIMEVALUE(H2327)&lt;TIMEVALUE(I2326)),"[h]:mm")</f>
        <v/>
      </c>
      <c r="L2327" s="4" t="inlineStr">
        <is>
          <t>01:35:00</t>
        </is>
      </c>
      <c r="O2327">
        <f>"LIM-"&amp;G2326&amp;"-LIM   LA "&amp;E2326&amp;" ("&amp;LEFT(H2326,5)&amp;"-"&amp;LEFT(I2326,5)&amp;" hrs)  /  LA "&amp;E2327&amp;" ("&amp;LEFT(H2327,5)&amp;"-"&amp;LEFT(I2327,5)&amp;" hrs)"</f>
        <v/>
      </c>
    </row>
    <row r="2328">
      <c r="J2328" s="8" t="inlineStr">
        <is>
          <t>PSV total:</t>
        </is>
      </c>
      <c r="K2328" s="9">
        <f>TEXT(TIMEVALUE(I2327)-TIMEVALUE(H2324)+(I2327&lt;H2324),"[h]:mm")</f>
        <v/>
      </c>
    </row>
    <row r="2330">
      <c r="B2330" s="3" t="inlineStr">
        <is>
          <t>Pairing ID</t>
        </is>
      </c>
      <c r="C2330" s="3" t="inlineStr">
        <is>
          <t>FECHA REAL</t>
        </is>
      </c>
      <c r="D2330" s="3" t="inlineStr">
        <is>
          <t>Day of Week</t>
        </is>
      </c>
      <c r="E2330" s="3" t="inlineStr">
        <is>
          <t>Flight No</t>
        </is>
      </c>
      <c r="F2330" s="3" t="inlineStr">
        <is>
          <t>Dep Stn</t>
        </is>
      </c>
      <c r="G2330" s="3" t="inlineStr">
        <is>
          <t>Arr Stn</t>
        </is>
      </c>
      <c r="H2330" s="3" t="inlineStr">
        <is>
          <t>STD</t>
        </is>
      </c>
      <c r="I2330" s="3" t="inlineStr">
        <is>
          <t>STA</t>
        </is>
      </c>
      <c r="J2330" s="3" t="inlineStr">
        <is>
          <t>subflota</t>
        </is>
      </c>
      <c r="K2330" s="3" t="inlineStr">
        <is>
          <t>Conexion</t>
        </is>
      </c>
      <c r="L2330" s="3" t="inlineStr">
        <is>
          <t>HBT</t>
        </is>
      </c>
    </row>
    <row r="2331">
      <c r="B2331" s="4" t="n">
        <v>2258</v>
      </c>
      <c r="C2331" s="4" t="inlineStr">
        <is>
          <t>26/09/2026</t>
        </is>
      </c>
      <c r="D2331" s="4" t="inlineStr">
        <is>
          <t>sábado</t>
        </is>
      </c>
      <c r="E2331" s="4" t="n">
        <v>2111</v>
      </c>
      <c r="F2331" s="4" t="inlineStr">
        <is>
          <t>LIM</t>
        </is>
      </c>
      <c r="G2331" s="4" t="inlineStr">
        <is>
          <t>AQP</t>
        </is>
      </c>
      <c r="H2331" s="4" t="inlineStr">
        <is>
          <t>11:40:00</t>
        </is>
      </c>
      <c r="I2331" s="4" t="inlineStr">
        <is>
          <t>13:10:00</t>
        </is>
      </c>
      <c r="J2331" s="4" t="n">
        <v>319</v>
      </c>
      <c r="L2331" s="4" t="inlineStr">
        <is>
          <t>01:30:00</t>
        </is>
      </c>
      <c r="M2331" s="5" t="n"/>
      <c r="N2331" s="6" t="n"/>
      <c r="O2331" s="5" t="n"/>
      <c r="Q2331" s="4">
        <f>B2331</f>
        <v/>
      </c>
      <c r="R2331" s="4">
        <f>C2331</f>
        <v/>
      </c>
      <c r="S2331" s="4">
        <f>D2331</f>
        <v/>
      </c>
      <c r="T2331" s="4">
        <f>E2331&amp;"/"&amp;E2332</f>
        <v/>
      </c>
      <c r="U2331" s="4">
        <f>F2331&amp;"-"&amp;G2331&amp;"-"&amp;F2331</f>
        <v/>
      </c>
      <c r="V2331" s="4">
        <f>IF($M$2331="","",$M$2331)</f>
        <v/>
      </c>
      <c r="W2331" s="4">
        <f>IF($O$2331="","",$O$2331)</f>
        <v/>
      </c>
      <c r="X2331" s="4">
        <f>J2331</f>
        <v/>
      </c>
    </row>
    <row r="2332">
      <c r="B2332" s="4" t="n">
        <v>2258</v>
      </c>
      <c r="C2332" s="4" t="inlineStr">
        <is>
          <t>26/09/2026</t>
        </is>
      </c>
      <c r="D2332" s="4" t="inlineStr">
        <is>
          <t>sábado</t>
        </is>
      </c>
      <c r="E2332" s="4" t="n">
        <v>2110</v>
      </c>
      <c r="F2332" s="4" t="inlineStr">
        <is>
          <t>AQP</t>
        </is>
      </c>
      <c r="G2332" s="4" t="inlineStr">
        <is>
          <t>LIM</t>
        </is>
      </c>
      <c r="H2332" s="4" t="inlineStr">
        <is>
          <t>13:55:00</t>
        </is>
      </c>
      <c r="I2332" s="4" t="inlineStr">
        <is>
          <t>15:30:00</t>
        </is>
      </c>
      <c r="J2332" s="4" t="n">
        <v>319</v>
      </c>
      <c r="K2332">
        <f>TEXT(TIMEVALUE(H2332)-TIMEVALUE(I2331)+(TIMEVALUE(H2332)&lt;TIMEVALUE(I2331)),"[h]:mm")</f>
        <v/>
      </c>
      <c r="L2332" s="4" t="inlineStr">
        <is>
          <t>01:35:00</t>
        </is>
      </c>
      <c r="O2332">
        <f>"LIM-"&amp;G2331&amp;"-LIM   LA "&amp;E2331&amp;" ("&amp;LEFT(H2331,5)&amp;"-"&amp;LEFT(I2331,5)&amp;" hrs)  /  LA "&amp;E2332&amp;" ("&amp;LEFT(H2332,5)&amp;"-"&amp;LEFT(I2332,5)&amp;" hrs)"</f>
        <v/>
      </c>
    </row>
    <row r="2333">
      <c r="J2333" s="8" t="inlineStr">
        <is>
          <t>PSV total:</t>
        </is>
      </c>
      <c r="K2333" s="9">
        <f>TEXT(TIMEVALUE(I2332)-TIMEVALUE(H2331)+(I2332&lt;H2331),"[h]:mm")</f>
        <v/>
      </c>
    </row>
    <row r="2335">
      <c r="B2335" s="3" t="inlineStr">
        <is>
          <t>Pairing ID</t>
        </is>
      </c>
      <c r="C2335" s="3" t="inlineStr">
        <is>
          <t>FECHA REAL</t>
        </is>
      </c>
      <c r="D2335" s="3" t="inlineStr">
        <is>
          <t>Day of Week</t>
        </is>
      </c>
      <c r="E2335" s="3" t="inlineStr">
        <is>
          <t>Flight No</t>
        </is>
      </c>
      <c r="F2335" s="3" t="inlineStr">
        <is>
          <t>Dep Stn</t>
        </is>
      </c>
      <c r="G2335" s="3" t="inlineStr">
        <is>
          <t>Arr Stn</t>
        </is>
      </c>
      <c r="H2335" s="3" t="inlineStr">
        <is>
          <t>STD</t>
        </is>
      </c>
      <c r="I2335" s="3" t="inlineStr">
        <is>
          <t>STA</t>
        </is>
      </c>
      <c r="J2335" s="3" t="inlineStr">
        <is>
          <t>subflota</t>
        </is>
      </c>
      <c r="K2335" s="3" t="inlineStr">
        <is>
          <t>Conexion</t>
        </is>
      </c>
      <c r="L2335" s="3" t="inlineStr">
        <is>
          <t>HBT</t>
        </is>
      </c>
    </row>
    <row r="2336">
      <c r="B2336" s="4" t="n">
        <v>2261</v>
      </c>
      <c r="C2336" s="4" t="inlineStr">
        <is>
          <t>26/09/2026</t>
        </is>
      </c>
      <c r="D2336" s="4" t="inlineStr">
        <is>
          <t>sábado</t>
        </is>
      </c>
      <c r="E2336" s="4" t="n">
        <v>2023</v>
      </c>
      <c r="F2336" s="4" t="inlineStr">
        <is>
          <t>LIM</t>
        </is>
      </c>
      <c r="G2336" s="4" t="inlineStr">
        <is>
          <t>PEM</t>
        </is>
      </c>
      <c r="H2336" s="4" t="inlineStr">
        <is>
          <t>12:15:00</t>
        </is>
      </c>
      <c r="I2336" s="4" t="inlineStr">
        <is>
          <t>13:55:00</t>
        </is>
      </c>
      <c r="J2336" s="4" t="n">
        <v>320</v>
      </c>
      <c r="L2336" s="4" t="inlineStr">
        <is>
          <t>01:40:00</t>
        </is>
      </c>
      <c r="M2336" s="5" t="n"/>
      <c r="N2336" s="6" t="n"/>
      <c r="O2336" s="5" t="n"/>
      <c r="Q2336" s="4">
        <f>B2336</f>
        <v/>
      </c>
      <c r="R2336" s="4">
        <f>C2336</f>
        <v/>
      </c>
      <c r="S2336" s="4">
        <f>D2336</f>
        <v/>
      </c>
      <c r="T2336" s="4">
        <f>E2336&amp;"/"&amp;E2337</f>
        <v/>
      </c>
      <c r="U2336" s="4">
        <f>F2336&amp;"-"&amp;G2336&amp;"-"&amp;F2336</f>
        <v/>
      </c>
      <c r="V2336" s="4">
        <f>IF($M$2336="","",$M$2336)</f>
        <v/>
      </c>
      <c r="W2336" s="4">
        <f>IF($O$2336="","",$O$2336)</f>
        <v/>
      </c>
      <c r="X2336" s="4">
        <f>J2336</f>
        <v/>
      </c>
    </row>
    <row r="2337">
      <c r="B2337" s="4" t="n">
        <v>2261</v>
      </c>
      <c r="C2337" s="4" t="inlineStr">
        <is>
          <t>26/09/2026</t>
        </is>
      </c>
      <c r="D2337" s="4" t="inlineStr">
        <is>
          <t>sábado</t>
        </is>
      </c>
      <c r="E2337" s="4" t="n">
        <v>2024</v>
      </c>
      <c r="F2337" s="4" t="inlineStr">
        <is>
          <t>PEM</t>
        </is>
      </c>
      <c r="G2337" s="4" t="inlineStr">
        <is>
          <t>LIM</t>
        </is>
      </c>
      <c r="H2337" s="4" t="inlineStr">
        <is>
          <t>14:35:00</t>
        </is>
      </c>
      <c r="I2337" s="4" t="inlineStr">
        <is>
          <t>16:10:00</t>
        </is>
      </c>
      <c r="J2337" s="4" t="n">
        <v>320</v>
      </c>
      <c r="K2337">
        <f>TEXT(TIMEVALUE(H2337)-TIMEVALUE(I2336)+(TIMEVALUE(H2337)&lt;TIMEVALUE(I2336)),"[h]:mm")</f>
        <v/>
      </c>
      <c r="L2337" s="4" t="inlineStr">
        <is>
          <t>01:35:00</t>
        </is>
      </c>
      <c r="O2337">
        <f>"LIM-"&amp;G2336&amp;"-LIM   LA "&amp;E2336&amp;" ("&amp;LEFT(H2336,5)&amp;"-"&amp;LEFT(I2336,5)&amp;" hrs)  /  LA "&amp;E2337&amp;" ("&amp;LEFT(H2337,5)&amp;"-"&amp;LEFT(I2337,5)&amp;" hrs)"</f>
        <v/>
      </c>
    </row>
    <row r="2338">
      <c r="J2338" s="8" t="inlineStr">
        <is>
          <t>PSV total:</t>
        </is>
      </c>
      <c r="K2338" s="9">
        <f>TEXT(TIMEVALUE(I2337)-TIMEVALUE(H2336)+(I2337&lt;H2336),"[h]:mm")</f>
        <v/>
      </c>
    </row>
    <row r="2340">
      <c r="B2340" s="3" t="inlineStr">
        <is>
          <t>Pairing ID</t>
        </is>
      </c>
      <c r="C2340" s="3" t="inlineStr">
        <is>
          <t>FECHA REAL</t>
        </is>
      </c>
      <c r="D2340" s="3" t="inlineStr">
        <is>
          <t>Day of Week</t>
        </is>
      </c>
      <c r="E2340" s="3" t="inlineStr">
        <is>
          <t>Flight No</t>
        </is>
      </c>
      <c r="F2340" s="3" t="inlineStr">
        <is>
          <t>Dep Stn</t>
        </is>
      </c>
      <c r="G2340" s="3" t="inlineStr">
        <is>
          <t>Arr Stn</t>
        </is>
      </c>
      <c r="H2340" s="3" t="inlineStr">
        <is>
          <t>STD</t>
        </is>
      </c>
      <c r="I2340" s="3" t="inlineStr">
        <is>
          <t>STA</t>
        </is>
      </c>
      <c r="J2340" s="3" t="inlineStr">
        <is>
          <t>subflota</t>
        </is>
      </c>
      <c r="K2340" s="3" t="inlineStr">
        <is>
          <t>Conexion</t>
        </is>
      </c>
      <c r="L2340" s="3" t="inlineStr">
        <is>
          <t>HBT</t>
        </is>
      </c>
    </row>
    <row r="2341">
      <c r="B2341" s="4" t="n">
        <v>2271</v>
      </c>
      <c r="C2341" s="4" t="inlineStr">
        <is>
          <t>26/09/2026</t>
        </is>
      </c>
      <c r="D2341" s="4" t="inlineStr">
        <is>
          <t>sábado</t>
        </is>
      </c>
      <c r="E2341" s="4" t="n">
        <v>2295</v>
      </c>
      <c r="F2341" s="4" t="inlineStr">
        <is>
          <t>LIM</t>
        </is>
      </c>
      <c r="G2341" s="4" t="inlineStr">
        <is>
          <t>CJA</t>
        </is>
      </c>
      <c r="H2341" s="4" t="inlineStr">
        <is>
          <t>14:10:00</t>
        </is>
      </c>
      <c r="I2341" s="4" t="inlineStr">
        <is>
          <t>15:30:00</t>
        </is>
      </c>
      <c r="J2341" s="4" t="n">
        <v>320</v>
      </c>
      <c r="L2341" s="4" t="inlineStr">
        <is>
          <t>01:20:00</t>
        </is>
      </c>
      <c r="M2341" s="5" t="n"/>
      <c r="N2341" s="6" t="n"/>
      <c r="O2341" s="5" t="n"/>
      <c r="Q2341" s="4">
        <f>B2341</f>
        <v/>
      </c>
      <c r="R2341" s="4">
        <f>C2341</f>
        <v/>
      </c>
      <c r="S2341" s="4">
        <f>D2341</f>
        <v/>
      </c>
      <c r="T2341" s="4">
        <f>E2341&amp;"/"&amp;E2342</f>
        <v/>
      </c>
      <c r="U2341" s="4">
        <f>F2341&amp;"-"&amp;G2341&amp;"-"&amp;F2341</f>
        <v/>
      </c>
      <c r="V2341" s="4">
        <f>IF($M$2341="","",$M$2341)</f>
        <v/>
      </c>
      <c r="W2341" s="4">
        <f>IF($O$2341="","",$O$2341)</f>
        <v/>
      </c>
      <c r="X2341" s="4">
        <f>J2341</f>
        <v/>
      </c>
    </row>
    <row r="2342">
      <c r="B2342" s="4" t="n">
        <v>2271</v>
      </c>
      <c r="C2342" s="4" t="inlineStr">
        <is>
          <t>26/09/2026</t>
        </is>
      </c>
      <c r="D2342" s="4" t="inlineStr">
        <is>
          <t>sábado</t>
        </is>
      </c>
      <c r="E2342" s="4" t="n">
        <v>2294</v>
      </c>
      <c r="F2342" s="4" t="inlineStr">
        <is>
          <t>CJA</t>
        </is>
      </c>
      <c r="G2342" s="4" t="inlineStr">
        <is>
          <t>LIM</t>
        </is>
      </c>
      <c r="H2342" s="4" t="inlineStr">
        <is>
          <t>16:10:00</t>
        </is>
      </c>
      <c r="I2342" s="4" t="inlineStr">
        <is>
          <t>17:15:00</t>
        </is>
      </c>
      <c r="J2342" s="4" t="n">
        <v>320</v>
      </c>
      <c r="K2342">
        <f>TEXT(TIMEVALUE(H2342)-TIMEVALUE(I2341)+(TIMEVALUE(H2342)&lt;TIMEVALUE(I2341)),"[h]:mm")</f>
        <v/>
      </c>
      <c r="L2342" s="4" t="inlineStr">
        <is>
          <t>01:05:00</t>
        </is>
      </c>
      <c r="O2342">
        <f>"LIM-"&amp;G2341&amp;"-LIM   LA "&amp;E2341&amp;" ("&amp;LEFT(H2341,5)&amp;"-"&amp;LEFT(I2341,5)&amp;" hrs)  /  LA "&amp;E2342&amp;" ("&amp;LEFT(H2342,5)&amp;"-"&amp;LEFT(I2342,5)&amp;" hrs)"</f>
        <v/>
      </c>
    </row>
    <row r="2343">
      <c r="B2343" s="4" t="n">
        <v>2287</v>
      </c>
      <c r="C2343" s="4" t="inlineStr">
        <is>
          <t>26/09/2026</t>
        </is>
      </c>
      <c r="D2343" s="4" t="inlineStr">
        <is>
          <t>sábado</t>
        </is>
      </c>
      <c r="E2343" s="4" t="n">
        <v>2091</v>
      </c>
      <c r="F2343" s="4" t="inlineStr">
        <is>
          <t>LIM</t>
        </is>
      </c>
      <c r="G2343" s="4" t="inlineStr">
        <is>
          <t>TPP</t>
        </is>
      </c>
      <c r="H2343" s="4" t="inlineStr">
        <is>
          <t>18:35:00</t>
        </is>
      </c>
      <c r="I2343" s="4" t="inlineStr">
        <is>
          <t>20:00:00</t>
        </is>
      </c>
      <c r="J2343" s="4" t="n">
        <v>320</v>
      </c>
      <c r="K2343" s="7">
        <f>TEXT(TIMEVALUE(H2343)-TIMEVALUE(I2342)+(TIMEVALUE(H2343)&lt;TIMEVALUE(I2342)),"[h]:mm")</f>
        <v/>
      </c>
      <c r="L2343" s="4" t="inlineStr">
        <is>
          <t>01:25:00</t>
        </is>
      </c>
      <c r="M2343">
        <f>IF($M$2341="","",$M$2341)</f>
        <v/>
      </c>
      <c r="O2343">
        <f>IF($O$2341="","",$O$2341)</f>
        <v/>
      </c>
      <c r="Q2343" s="4">
        <f>B2343</f>
        <v/>
      </c>
      <c r="R2343" s="4">
        <f>C2343</f>
        <v/>
      </c>
      <c r="S2343" s="4">
        <f>D2343</f>
        <v/>
      </c>
      <c r="T2343" s="4">
        <f>E2343&amp;"/"&amp;E2344</f>
        <v/>
      </c>
      <c r="U2343" s="4">
        <f>F2343&amp;"-"&amp;G2343&amp;"-"&amp;F2343</f>
        <v/>
      </c>
      <c r="V2343" s="4">
        <f>IF($M$2341="","",$M$2341)</f>
        <v/>
      </c>
      <c r="W2343" s="4">
        <f>IF($O$2341="","",$O$2341)</f>
        <v/>
      </c>
      <c r="X2343" s="4">
        <f>J2343</f>
        <v/>
      </c>
    </row>
    <row r="2344">
      <c r="B2344" s="4" t="n">
        <v>2287</v>
      </c>
      <c r="C2344" s="4" t="inlineStr">
        <is>
          <t>26/09/2026</t>
        </is>
      </c>
      <c r="D2344" s="4" t="inlineStr">
        <is>
          <t>sábado</t>
        </is>
      </c>
      <c r="E2344" s="4" t="n">
        <v>2092</v>
      </c>
      <c r="F2344" s="4" t="inlineStr">
        <is>
          <t>TPP</t>
        </is>
      </c>
      <c r="G2344" s="4" t="inlineStr">
        <is>
          <t>LIM</t>
        </is>
      </c>
      <c r="H2344" s="4" t="inlineStr">
        <is>
          <t>20:40:00</t>
        </is>
      </c>
      <c r="I2344" s="4" t="inlineStr">
        <is>
          <t>22:05:00</t>
        </is>
      </c>
      <c r="J2344" s="4" t="n">
        <v>320</v>
      </c>
      <c r="K2344">
        <f>TEXT(TIMEVALUE(H2344)-TIMEVALUE(I2343)+(TIMEVALUE(H2344)&lt;TIMEVALUE(I2343)),"[h]:mm")</f>
        <v/>
      </c>
      <c r="L2344" s="4" t="inlineStr">
        <is>
          <t>01:25:00</t>
        </is>
      </c>
      <c r="O2344">
        <f>"LIM-"&amp;G2343&amp;"-LIM   LA "&amp;E2343&amp;" ("&amp;LEFT(H2343,5)&amp;"-"&amp;LEFT(I2343,5)&amp;" hrs)  /  LA "&amp;E2344&amp;" ("&amp;LEFT(H2344,5)&amp;"-"&amp;LEFT(I2344,5)&amp;" hrs)"</f>
        <v/>
      </c>
    </row>
    <row r="2345">
      <c r="J2345" s="8" t="inlineStr">
        <is>
          <t>PSV total:</t>
        </is>
      </c>
      <c r="K2345" s="9">
        <f>TEXT(TIMEVALUE(I2344)-TIMEVALUE(H2341)+(I2344&lt;H2341),"[h]:mm")</f>
        <v/>
      </c>
    </row>
    <row r="2347">
      <c r="B2347" s="3" t="inlineStr">
        <is>
          <t>Pairing ID</t>
        </is>
      </c>
      <c r="C2347" s="3" t="inlineStr">
        <is>
          <t>FECHA REAL</t>
        </is>
      </c>
      <c r="D2347" s="3" t="inlineStr">
        <is>
          <t>Day of Week</t>
        </is>
      </c>
      <c r="E2347" s="3" t="inlineStr">
        <is>
          <t>Flight No</t>
        </is>
      </c>
      <c r="F2347" s="3" t="inlineStr">
        <is>
          <t>Dep Stn</t>
        </is>
      </c>
      <c r="G2347" s="3" t="inlineStr">
        <is>
          <t>Arr Stn</t>
        </is>
      </c>
      <c r="H2347" s="3" t="inlineStr">
        <is>
          <t>STD</t>
        </is>
      </c>
      <c r="I2347" s="3" t="inlineStr">
        <is>
          <t>STA</t>
        </is>
      </c>
      <c r="J2347" s="3" t="inlineStr">
        <is>
          <t>subflota</t>
        </is>
      </c>
      <c r="K2347" s="3" t="inlineStr">
        <is>
          <t>Conexion</t>
        </is>
      </c>
      <c r="L2347" s="3" t="inlineStr">
        <is>
          <t>HBT</t>
        </is>
      </c>
    </row>
    <row r="2348">
      <c r="B2348" s="4" t="n">
        <v>2274</v>
      </c>
      <c r="C2348" s="4" t="inlineStr">
        <is>
          <t>26/09/2026</t>
        </is>
      </c>
      <c r="D2348" s="4" t="inlineStr">
        <is>
          <t>sábado</t>
        </is>
      </c>
      <c r="E2348" s="4" t="n">
        <v>2264</v>
      </c>
      <c r="F2348" s="4" t="inlineStr">
        <is>
          <t>LIM</t>
        </is>
      </c>
      <c r="G2348" s="4" t="inlineStr">
        <is>
          <t>PEM</t>
        </is>
      </c>
      <c r="H2348" s="4" t="inlineStr">
        <is>
          <t>14:55:00</t>
        </is>
      </c>
      <c r="I2348" s="4" t="inlineStr">
        <is>
          <t>16:40:00</t>
        </is>
      </c>
      <c r="J2348" s="4" t="n">
        <v>320</v>
      </c>
      <c r="L2348" s="4" t="inlineStr">
        <is>
          <t>01:45:00</t>
        </is>
      </c>
      <c r="M2348" s="5" t="n"/>
      <c r="N2348" s="6" t="n"/>
      <c r="O2348" s="5" t="n"/>
      <c r="Q2348" s="4">
        <f>B2348</f>
        <v/>
      </c>
      <c r="R2348" s="4">
        <f>C2348</f>
        <v/>
      </c>
      <c r="S2348" s="4">
        <f>D2348</f>
        <v/>
      </c>
      <c r="T2348" s="4">
        <f>E2348&amp;"/"&amp;E2349</f>
        <v/>
      </c>
      <c r="U2348" s="4">
        <f>F2348&amp;"-"&amp;G2348&amp;"-"&amp;F2348</f>
        <v/>
      </c>
      <c r="V2348" s="4">
        <f>IF($M$2348="","",$M$2348)</f>
        <v/>
      </c>
      <c r="W2348" s="4">
        <f>IF($O$2348="","",$O$2348)</f>
        <v/>
      </c>
      <c r="X2348" s="4">
        <f>J2348</f>
        <v/>
      </c>
    </row>
    <row r="2349">
      <c r="B2349" s="4" t="n">
        <v>2274</v>
      </c>
      <c r="C2349" s="4" t="inlineStr">
        <is>
          <t>26/09/2026</t>
        </is>
      </c>
      <c r="D2349" s="4" t="inlineStr">
        <is>
          <t>sábado</t>
        </is>
      </c>
      <c r="E2349" s="4" t="n">
        <v>2265</v>
      </c>
      <c r="F2349" s="4" t="inlineStr">
        <is>
          <t>PEM</t>
        </is>
      </c>
      <c r="G2349" s="4" t="inlineStr">
        <is>
          <t>LIM</t>
        </is>
      </c>
      <c r="H2349" s="4" t="inlineStr">
        <is>
          <t>17:20:00</t>
        </is>
      </c>
      <c r="I2349" s="4" t="inlineStr">
        <is>
          <t>18:55:00</t>
        </is>
      </c>
      <c r="J2349" s="4" t="n">
        <v>320</v>
      </c>
      <c r="K2349">
        <f>TEXT(TIMEVALUE(H2349)-TIMEVALUE(I2348)+(TIMEVALUE(H2349)&lt;TIMEVALUE(I2348)),"[h]:mm")</f>
        <v/>
      </c>
      <c r="L2349" s="4" t="inlineStr">
        <is>
          <t>01:35:00</t>
        </is>
      </c>
      <c r="O2349">
        <f>"LIM-"&amp;G2348&amp;"-LIM   LA "&amp;E2348&amp;" ("&amp;LEFT(H2348,5)&amp;"-"&amp;LEFT(I2348,5)&amp;" hrs)  /  LA "&amp;E2349&amp;" ("&amp;LEFT(H2349,5)&amp;"-"&amp;LEFT(I2349,5)&amp;" hrs)"</f>
        <v/>
      </c>
    </row>
    <row r="2350">
      <c r="J2350" s="8" t="inlineStr">
        <is>
          <t>PSV total:</t>
        </is>
      </c>
      <c r="K2350" s="9">
        <f>TEXT(TIMEVALUE(I2349)-TIMEVALUE(H2348)+(I2349&lt;H2348),"[h]:mm")</f>
        <v/>
      </c>
    </row>
    <row r="2352">
      <c r="B2352" s="3" t="inlineStr">
        <is>
          <t>Pairing ID</t>
        </is>
      </c>
      <c r="C2352" s="3" t="inlineStr">
        <is>
          <t>FECHA REAL</t>
        </is>
      </c>
      <c r="D2352" s="3" t="inlineStr">
        <is>
          <t>Day of Week</t>
        </is>
      </c>
      <c r="E2352" s="3" t="inlineStr">
        <is>
          <t>Flight No</t>
        </is>
      </c>
      <c r="F2352" s="3" t="inlineStr">
        <is>
          <t>Dep Stn</t>
        </is>
      </c>
      <c r="G2352" s="3" t="inlineStr">
        <is>
          <t>Arr Stn</t>
        </is>
      </c>
      <c r="H2352" s="3" t="inlineStr">
        <is>
          <t>STD</t>
        </is>
      </c>
      <c r="I2352" s="3" t="inlineStr">
        <is>
          <t>STA</t>
        </is>
      </c>
      <c r="J2352" s="3" t="inlineStr">
        <is>
          <t>subflota</t>
        </is>
      </c>
      <c r="K2352" s="3" t="inlineStr">
        <is>
          <t>Conexion</t>
        </is>
      </c>
      <c r="L2352" s="3" t="inlineStr">
        <is>
          <t>HBT</t>
        </is>
      </c>
    </row>
    <row r="2353">
      <c r="B2353" s="4" t="n">
        <v>2275</v>
      </c>
      <c r="C2353" s="4" t="inlineStr">
        <is>
          <t>26/09/2026</t>
        </is>
      </c>
      <c r="D2353" s="4" t="inlineStr">
        <is>
          <t>sábado</t>
        </is>
      </c>
      <c r="E2353" s="4" t="n">
        <v>2338</v>
      </c>
      <c r="F2353" s="4" t="inlineStr">
        <is>
          <t>LIM</t>
        </is>
      </c>
      <c r="G2353" s="4" t="inlineStr">
        <is>
          <t>PIU</t>
        </is>
      </c>
      <c r="H2353" s="4" t="inlineStr">
        <is>
          <t>15:00:00</t>
        </is>
      </c>
      <c r="I2353" s="4" t="inlineStr">
        <is>
          <t>16:45:00</t>
        </is>
      </c>
      <c r="J2353" s="4" t="n">
        <v>320</v>
      </c>
      <c r="L2353" s="4" t="inlineStr">
        <is>
          <t>01:45:00</t>
        </is>
      </c>
      <c r="M2353" s="5" t="n"/>
      <c r="N2353" s="6" t="n"/>
      <c r="O2353" s="5" t="n"/>
      <c r="Q2353" s="4">
        <f>B2353</f>
        <v/>
      </c>
      <c r="R2353" s="4">
        <f>C2353</f>
        <v/>
      </c>
      <c r="S2353" s="4">
        <f>D2353</f>
        <v/>
      </c>
      <c r="T2353" s="4">
        <f>E2353&amp;"/"&amp;E2354</f>
        <v/>
      </c>
      <c r="U2353" s="4">
        <f>F2353&amp;"-"&amp;G2353&amp;"-"&amp;F2353</f>
        <v/>
      </c>
      <c r="V2353" s="4">
        <f>IF($M$2353="","",$M$2353)</f>
        <v/>
      </c>
      <c r="W2353" s="4">
        <f>IF($O$2353="","",$O$2353)</f>
        <v/>
      </c>
      <c r="X2353" s="4">
        <f>J2353</f>
        <v/>
      </c>
    </row>
    <row r="2354">
      <c r="B2354" s="4" t="n">
        <v>2275</v>
      </c>
      <c r="C2354" s="4" t="inlineStr">
        <is>
          <t>26/09/2026</t>
        </is>
      </c>
      <c r="D2354" s="4" t="inlineStr">
        <is>
          <t>sábado</t>
        </is>
      </c>
      <c r="E2354" s="4" t="n">
        <v>2339</v>
      </c>
      <c r="F2354" s="4" t="inlineStr">
        <is>
          <t>PIU</t>
        </is>
      </c>
      <c r="G2354" s="4" t="inlineStr">
        <is>
          <t>LIM</t>
        </is>
      </c>
      <c r="H2354" s="4" t="inlineStr">
        <is>
          <t>17:20:00</t>
        </is>
      </c>
      <c r="I2354" s="4" t="inlineStr">
        <is>
          <t>18:50:00</t>
        </is>
      </c>
      <c r="J2354" s="4" t="n">
        <v>320</v>
      </c>
      <c r="K2354">
        <f>TEXT(TIMEVALUE(H2354)-TIMEVALUE(I2353)+(TIMEVALUE(H2354)&lt;TIMEVALUE(I2353)),"[h]:mm")</f>
        <v/>
      </c>
      <c r="L2354" s="4" t="inlineStr">
        <is>
          <t>01:30:00</t>
        </is>
      </c>
      <c r="O2354">
        <f>"LIM-"&amp;G2353&amp;"-LIM   LA "&amp;E2353&amp;" ("&amp;LEFT(H2353,5)&amp;"-"&amp;LEFT(I2353,5)&amp;" hrs)  /  LA "&amp;E2354&amp;" ("&amp;LEFT(H2354,5)&amp;"-"&amp;LEFT(I2354,5)&amp;" hrs)"</f>
        <v/>
      </c>
    </row>
    <row r="2355">
      <c r="J2355" s="8" t="inlineStr">
        <is>
          <t>PSV total:</t>
        </is>
      </c>
      <c r="K2355" s="9">
        <f>TEXT(TIMEVALUE(I2354)-TIMEVALUE(H2353)+(I2354&lt;H2353),"[h]:mm")</f>
        <v/>
      </c>
    </row>
    <row r="2357">
      <c r="B2357" s="3" t="inlineStr">
        <is>
          <t>Pairing ID</t>
        </is>
      </c>
      <c r="C2357" s="3" t="inlineStr">
        <is>
          <t>FECHA REAL</t>
        </is>
      </c>
      <c r="D2357" s="3" t="inlineStr">
        <is>
          <t>Day of Week</t>
        </is>
      </c>
      <c r="E2357" s="3" t="inlineStr">
        <is>
          <t>Flight No</t>
        </is>
      </c>
      <c r="F2357" s="3" t="inlineStr">
        <is>
          <t>Dep Stn</t>
        </is>
      </c>
      <c r="G2357" s="3" t="inlineStr">
        <is>
          <t>Arr Stn</t>
        </is>
      </c>
      <c r="H2357" s="3" t="inlineStr">
        <is>
          <t>STD</t>
        </is>
      </c>
      <c r="I2357" s="3" t="inlineStr">
        <is>
          <t>STA</t>
        </is>
      </c>
      <c r="J2357" s="3" t="inlineStr">
        <is>
          <t>subflota</t>
        </is>
      </c>
      <c r="K2357" s="3" t="inlineStr">
        <is>
          <t>Conexion</t>
        </is>
      </c>
      <c r="L2357" s="3" t="inlineStr">
        <is>
          <t>HBT</t>
        </is>
      </c>
    </row>
    <row r="2358">
      <c r="B2358" s="4" t="n">
        <v>2276</v>
      </c>
      <c r="C2358" s="4" t="inlineStr">
        <is>
          <t>26/09/2026</t>
        </is>
      </c>
      <c r="D2358" s="4" t="inlineStr">
        <is>
          <t>sábado</t>
        </is>
      </c>
      <c r="E2358" s="4" t="n">
        <v>2113</v>
      </c>
      <c r="F2358" s="4" t="inlineStr">
        <is>
          <t>LIM</t>
        </is>
      </c>
      <c r="G2358" s="4" t="inlineStr">
        <is>
          <t>AQP</t>
        </is>
      </c>
      <c r="H2358" s="4" t="inlineStr">
        <is>
          <t>15:05:00</t>
        </is>
      </c>
      <c r="I2358" s="4" t="inlineStr">
        <is>
          <t>16:35:00</t>
        </is>
      </c>
      <c r="J2358" s="4" t="n">
        <v>319</v>
      </c>
      <c r="L2358" s="4" t="inlineStr">
        <is>
          <t>01:30:00</t>
        </is>
      </c>
      <c r="M2358" s="5" t="n"/>
      <c r="N2358" s="6" t="n"/>
      <c r="O2358" s="5" t="n"/>
      <c r="Q2358" s="4">
        <f>B2358</f>
        <v/>
      </c>
      <c r="R2358" s="4">
        <f>C2358</f>
        <v/>
      </c>
      <c r="S2358" s="4">
        <f>D2358</f>
        <v/>
      </c>
      <c r="T2358" s="4">
        <f>E2358&amp;"/"&amp;E2359</f>
        <v/>
      </c>
      <c r="U2358" s="4">
        <f>F2358&amp;"-"&amp;G2358&amp;"-"&amp;F2358</f>
        <v/>
      </c>
      <c r="V2358" s="4">
        <f>IF($M$2358="","",$M$2358)</f>
        <v/>
      </c>
      <c r="W2358" s="4">
        <f>IF($O$2358="","",$O$2358)</f>
        <v/>
      </c>
      <c r="X2358" s="4">
        <f>J2358</f>
        <v/>
      </c>
    </row>
    <row r="2359">
      <c r="B2359" s="4" t="n">
        <v>2276</v>
      </c>
      <c r="C2359" s="4" t="inlineStr">
        <is>
          <t>26/09/2026</t>
        </is>
      </c>
      <c r="D2359" s="4" t="inlineStr">
        <is>
          <t>sábado</t>
        </is>
      </c>
      <c r="E2359" s="4" t="n">
        <v>2112</v>
      </c>
      <c r="F2359" s="4" t="inlineStr">
        <is>
          <t>AQP</t>
        </is>
      </c>
      <c r="G2359" s="4" t="inlineStr">
        <is>
          <t>LIM</t>
        </is>
      </c>
      <c r="H2359" s="4" t="inlineStr">
        <is>
          <t>17:15:00</t>
        </is>
      </c>
      <c r="I2359" s="4" t="inlineStr">
        <is>
          <t>18:55:00</t>
        </is>
      </c>
      <c r="J2359" s="4" t="n">
        <v>319</v>
      </c>
      <c r="K2359">
        <f>TEXT(TIMEVALUE(H2359)-TIMEVALUE(I2358)+(TIMEVALUE(H2359)&lt;TIMEVALUE(I2358)),"[h]:mm")</f>
        <v/>
      </c>
      <c r="L2359" s="4" t="inlineStr">
        <is>
          <t>01:40:00</t>
        </is>
      </c>
      <c r="O2359">
        <f>"LIM-"&amp;G2358&amp;"-LIM   LA "&amp;E2358&amp;" ("&amp;LEFT(H2358,5)&amp;"-"&amp;LEFT(I2358,5)&amp;" hrs)  /  LA "&amp;E2359&amp;" ("&amp;LEFT(H2359,5)&amp;"-"&amp;LEFT(I2359,5)&amp;" hrs)"</f>
        <v/>
      </c>
    </row>
    <row r="2360">
      <c r="J2360" s="8" t="inlineStr">
        <is>
          <t>PSV total:</t>
        </is>
      </c>
      <c r="K2360" s="9">
        <f>TEXT(TIMEVALUE(I2359)-TIMEVALUE(H2358)+(I2359&lt;H2358),"[h]:mm")</f>
        <v/>
      </c>
    </row>
    <row r="2362">
      <c r="B2362" s="3" t="inlineStr">
        <is>
          <t>Pairing ID</t>
        </is>
      </c>
      <c r="C2362" s="3" t="inlineStr">
        <is>
          <t>FECHA REAL</t>
        </is>
      </c>
      <c r="D2362" s="3" t="inlineStr">
        <is>
          <t>Day of Week</t>
        </is>
      </c>
      <c r="E2362" s="3" t="inlineStr">
        <is>
          <t>Flight No</t>
        </is>
      </c>
      <c r="F2362" s="3" t="inlineStr">
        <is>
          <t>Dep Stn</t>
        </is>
      </c>
      <c r="G2362" s="3" t="inlineStr">
        <is>
          <t>Arr Stn</t>
        </is>
      </c>
      <c r="H2362" s="3" t="inlineStr">
        <is>
          <t>STD</t>
        </is>
      </c>
      <c r="I2362" s="3" t="inlineStr">
        <is>
          <t>STA</t>
        </is>
      </c>
      <c r="J2362" s="3" t="inlineStr">
        <is>
          <t>subflota</t>
        </is>
      </c>
      <c r="K2362" s="3" t="inlineStr">
        <is>
          <t>Conexion</t>
        </is>
      </c>
      <c r="L2362" s="3" t="inlineStr">
        <is>
          <t>HBT</t>
        </is>
      </c>
    </row>
    <row r="2363">
      <c r="B2363" s="4" t="n">
        <v>2278</v>
      </c>
      <c r="C2363" s="4" t="inlineStr">
        <is>
          <t>26/09/2026</t>
        </is>
      </c>
      <c r="D2363" s="4" t="inlineStr">
        <is>
          <t>sábado</t>
        </is>
      </c>
      <c r="E2363" s="4" t="n">
        <v>2297</v>
      </c>
      <c r="F2363" s="4" t="inlineStr">
        <is>
          <t>LIM</t>
        </is>
      </c>
      <c r="G2363" s="4" t="inlineStr">
        <is>
          <t>CJA</t>
        </is>
      </c>
      <c r="H2363" s="4" t="inlineStr">
        <is>
          <t>15:15:00</t>
        </is>
      </c>
      <c r="I2363" s="4" t="inlineStr">
        <is>
          <t>16:35:00</t>
        </is>
      </c>
      <c r="J2363" s="4" t="n">
        <v>320</v>
      </c>
      <c r="L2363" s="4" t="inlineStr">
        <is>
          <t>01:20:00</t>
        </is>
      </c>
      <c r="M2363" s="5" t="n"/>
      <c r="N2363" s="6" t="n"/>
      <c r="O2363" s="5" t="n"/>
      <c r="Q2363" s="4">
        <f>B2363</f>
        <v/>
      </c>
      <c r="R2363" s="4">
        <f>C2363</f>
        <v/>
      </c>
      <c r="S2363" s="4">
        <f>D2363</f>
        <v/>
      </c>
      <c r="T2363" s="4">
        <f>E2363&amp;"/"&amp;E2364</f>
        <v/>
      </c>
      <c r="U2363" s="4">
        <f>F2363&amp;"-"&amp;G2363&amp;"-"&amp;F2363</f>
        <v/>
      </c>
      <c r="V2363" s="4">
        <f>IF($M$2363="","",$M$2363)</f>
        <v/>
      </c>
      <c r="W2363" s="4">
        <f>IF($O$2363="","",$O$2363)</f>
        <v/>
      </c>
      <c r="X2363" s="4">
        <f>J2363</f>
        <v/>
      </c>
    </row>
    <row r="2364">
      <c r="B2364" s="4" t="n">
        <v>2278</v>
      </c>
      <c r="C2364" s="4" t="inlineStr">
        <is>
          <t>26/09/2026</t>
        </is>
      </c>
      <c r="D2364" s="4" t="inlineStr">
        <is>
          <t>sábado</t>
        </is>
      </c>
      <c r="E2364" s="4" t="n">
        <v>2296</v>
      </c>
      <c r="F2364" s="4" t="inlineStr">
        <is>
          <t>CJA</t>
        </is>
      </c>
      <c r="G2364" s="4" t="inlineStr">
        <is>
          <t>LIM</t>
        </is>
      </c>
      <c r="H2364" s="4" t="inlineStr">
        <is>
          <t>17:20:00</t>
        </is>
      </c>
      <c r="I2364" s="4" t="inlineStr">
        <is>
          <t>18:25:00</t>
        </is>
      </c>
      <c r="J2364" s="4" t="n">
        <v>320</v>
      </c>
      <c r="K2364">
        <f>TEXT(TIMEVALUE(H2364)-TIMEVALUE(I2363)+(TIMEVALUE(H2364)&lt;TIMEVALUE(I2363)),"[h]:mm")</f>
        <v/>
      </c>
      <c r="L2364" s="4" t="inlineStr">
        <is>
          <t>01:05:00</t>
        </is>
      </c>
      <c r="O2364">
        <f>"LIM-"&amp;G2363&amp;"-LIM   LA "&amp;E2363&amp;" ("&amp;LEFT(H2363,5)&amp;"-"&amp;LEFT(I2363,5)&amp;" hrs)  /  LA "&amp;E2364&amp;" ("&amp;LEFT(H2364,5)&amp;"-"&amp;LEFT(I2364,5)&amp;" hrs)"</f>
        <v/>
      </c>
    </row>
    <row r="2365">
      <c r="J2365" s="8" t="inlineStr">
        <is>
          <t>PSV total:</t>
        </is>
      </c>
      <c r="K2365" s="9">
        <f>TEXT(TIMEVALUE(I2364)-TIMEVALUE(H2363)+(I2364&lt;H2363),"[h]:mm")</f>
        <v/>
      </c>
    </row>
    <row r="2367">
      <c r="B2367" s="3" t="inlineStr">
        <is>
          <t>Pairing ID</t>
        </is>
      </c>
      <c r="C2367" s="3" t="inlineStr">
        <is>
          <t>FECHA REAL</t>
        </is>
      </c>
      <c r="D2367" s="3" t="inlineStr">
        <is>
          <t>Day of Week</t>
        </is>
      </c>
      <c r="E2367" s="3" t="inlineStr">
        <is>
          <t>Flight No</t>
        </is>
      </c>
      <c r="F2367" s="3" t="inlineStr">
        <is>
          <t>Dep Stn</t>
        </is>
      </c>
      <c r="G2367" s="3" t="inlineStr">
        <is>
          <t>Arr Stn</t>
        </is>
      </c>
      <c r="H2367" s="3" t="inlineStr">
        <is>
          <t>STD</t>
        </is>
      </c>
      <c r="I2367" s="3" t="inlineStr">
        <is>
          <t>STA</t>
        </is>
      </c>
      <c r="J2367" s="3" t="inlineStr">
        <is>
          <t>subflota</t>
        </is>
      </c>
      <c r="K2367" s="3" t="inlineStr">
        <is>
          <t>Conexion</t>
        </is>
      </c>
      <c r="L2367" s="3" t="inlineStr">
        <is>
          <t>HBT</t>
        </is>
      </c>
    </row>
    <row r="2368">
      <c r="B2368" s="4" t="n">
        <v>2279</v>
      </c>
      <c r="C2368" s="4" t="inlineStr">
        <is>
          <t>26/09/2026</t>
        </is>
      </c>
      <c r="D2368" s="4" t="inlineStr">
        <is>
          <t>sábado</t>
        </is>
      </c>
      <c r="E2368" s="4" t="n">
        <v>2360</v>
      </c>
      <c r="F2368" s="4" t="inlineStr">
        <is>
          <t>LIM</t>
        </is>
      </c>
      <c r="G2368" s="4" t="inlineStr">
        <is>
          <t>PCL</t>
        </is>
      </c>
      <c r="H2368" s="4" t="inlineStr">
        <is>
          <t>15:25:00</t>
        </is>
      </c>
      <c r="I2368" s="4" t="inlineStr">
        <is>
          <t>16:40:00</t>
        </is>
      </c>
      <c r="J2368" s="4" t="n">
        <v>320</v>
      </c>
      <c r="L2368" s="4" t="inlineStr">
        <is>
          <t>01:15:00</t>
        </is>
      </c>
      <c r="M2368" s="5" t="n"/>
      <c r="N2368" s="6" t="n"/>
      <c r="O2368" s="5" t="n"/>
      <c r="Q2368" s="4">
        <f>B2368</f>
        <v/>
      </c>
      <c r="R2368" s="4">
        <f>C2368</f>
        <v/>
      </c>
      <c r="S2368" s="4">
        <f>D2368</f>
        <v/>
      </c>
      <c r="T2368" s="4">
        <f>E2368&amp;"/"&amp;E2369</f>
        <v/>
      </c>
      <c r="U2368" s="4">
        <f>F2368&amp;"-"&amp;G2368&amp;"-"&amp;F2368</f>
        <v/>
      </c>
      <c r="V2368" s="4">
        <f>IF($M$2368="","",$M$2368)</f>
        <v/>
      </c>
      <c r="W2368" s="4">
        <f>IF($O$2368="","",$O$2368)</f>
        <v/>
      </c>
      <c r="X2368" s="4">
        <f>J2368</f>
        <v/>
      </c>
    </row>
    <row r="2369">
      <c r="B2369" s="4" t="n">
        <v>2279</v>
      </c>
      <c r="C2369" s="4" t="inlineStr">
        <is>
          <t>26/09/2026</t>
        </is>
      </c>
      <c r="D2369" s="4" t="inlineStr">
        <is>
          <t>sábado</t>
        </is>
      </c>
      <c r="E2369" s="4" t="n">
        <v>2361</v>
      </c>
      <c r="F2369" s="4" t="inlineStr">
        <is>
          <t>PCL</t>
        </is>
      </c>
      <c r="G2369" s="4" t="inlineStr">
        <is>
          <t>LIM</t>
        </is>
      </c>
      <c r="H2369" s="4" t="inlineStr">
        <is>
          <t>17:20:00</t>
        </is>
      </c>
      <c r="I2369" s="4" t="inlineStr">
        <is>
          <t>18:35:00</t>
        </is>
      </c>
      <c r="J2369" s="4" t="n">
        <v>320</v>
      </c>
      <c r="K2369">
        <f>TEXT(TIMEVALUE(H2369)-TIMEVALUE(I2368)+(TIMEVALUE(H2369)&lt;TIMEVALUE(I2368)),"[h]:mm")</f>
        <v/>
      </c>
      <c r="L2369" s="4" t="inlineStr">
        <is>
          <t>01:15:00</t>
        </is>
      </c>
      <c r="O2369">
        <f>"LIM-"&amp;G2368&amp;"-LIM   LA "&amp;E2368&amp;" ("&amp;LEFT(H2368,5)&amp;"-"&amp;LEFT(I2368,5)&amp;" hrs)  /  LA "&amp;E2369&amp;" ("&amp;LEFT(H2369,5)&amp;"-"&amp;LEFT(I2369,5)&amp;" hrs)"</f>
        <v/>
      </c>
    </row>
    <row r="2370">
      <c r="J2370" s="8" t="inlineStr">
        <is>
          <t>PSV total:</t>
        </is>
      </c>
      <c r="K2370" s="9">
        <f>TEXT(TIMEVALUE(I2369)-TIMEVALUE(H2368)+(I2369&lt;H2368),"[h]:mm")</f>
        <v/>
      </c>
    </row>
    <row r="2372">
      <c r="B2372" s="3" t="inlineStr">
        <is>
          <t>Pairing ID</t>
        </is>
      </c>
      <c r="C2372" s="3" t="inlineStr">
        <is>
          <t>FECHA REAL</t>
        </is>
      </c>
      <c r="D2372" s="3" t="inlineStr">
        <is>
          <t>Day of Week</t>
        </is>
      </c>
      <c r="E2372" s="3" t="inlineStr">
        <is>
          <t>Flight No</t>
        </is>
      </c>
      <c r="F2372" s="3" t="inlineStr">
        <is>
          <t>Dep Stn</t>
        </is>
      </c>
      <c r="G2372" s="3" t="inlineStr">
        <is>
          <t>Arr Stn</t>
        </is>
      </c>
      <c r="H2372" s="3" t="inlineStr">
        <is>
          <t>STD</t>
        </is>
      </c>
      <c r="I2372" s="3" t="inlineStr">
        <is>
          <t>STA</t>
        </is>
      </c>
      <c r="J2372" s="3" t="inlineStr">
        <is>
          <t>subflota</t>
        </is>
      </c>
      <c r="K2372" s="3" t="inlineStr">
        <is>
          <t>Conexion</t>
        </is>
      </c>
      <c r="L2372" s="3" t="inlineStr">
        <is>
          <t>HBT</t>
        </is>
      </c>
    </row>
    <row r="2373">
      <c r="B2373" s="4" t="n">
        <v>2280</v>
      </c>
      <c r="C2373" s="4" t="inlineStr">
        <is>
          <t>26/09/2026</t>
        </is>
      </c>
      <c r="D2373" s="4" t="inlineStr">
        <is>
          <t>sábado</t>
        </is>
      </c>
      <c r="E2373" s="4" t="n">
        <v>2312</v>
      </c>
      <c r="F2373" s="4" t="inlineStr">
        <is>
          <t>LIM</t>
        </is>
      </c>
      <c r="G2373" s="4" t="inlineStr">
        <is>
          <t>CIX</t>
        </is>
      </c>
      <c r="H2373" s="4" t="inlineStr">
        <is>
          <t>15:35:00</t>
        </is>
      </c>
      <c r="I2373" s="4" t="inlineStr">
        <is>
          <t>17:05:00</t>
        </is>
      </c>
      <c r="J2373" s="4" t="n">
        <v>320</v>
      </c>
      <c r="L2373" s="4" t="inlineStr">
        <is>
          <t>01:30:00</t>
        </is>
      </c>
      <c r="M2373" s="5" t="n"/>
      <c r="N2373" s="6" t="n"/>
      <c r="O2373" s="5" t="n"/>
      <c r="Q2373" s="4">
        <f>B2373</f>
        <v/>
      </c>
      <c r="R2373" s="4">
        <f>C2373</f>
        <v/>
      </c>
      <c r="S2373" s="4">
        <f>D2373</f>
        <v/>
      </c>
      <c r="T2373" s="4">
        <f>E2373&amp;"/"&amp;E2374</f>
        <v/>
      </c>
      <c r="U2373" s="4">
        <f>F2373&amp;"-"&amp;G2373&amp;"-"&amp;F2373</f>
        <v/>
      </c>
      <c r="V2373" s="4">
        <f>IF($M$2373="","",$M$2373)</f>
        <v/>
      </c>
      <c r="W2373" s="4">
        <f>IF($O$2373="","",$O$2373)</f>
        <v/>
      </c>
      <c r="X2373" s="4">
        <f>J2373</f>
        <v/>
      </c>
    </row>
    <row r="2374">
      <c r="B2374" s="4" t="n">
        <v>2280</v>
      </c>
      <c r="C2374" s="4" t="inlineStr">
        <is>
          <t>26/09/2026</t>
        </is>
      </c>
      <c r="D2374" s="4" t="inlineStr">
        <is>
          <t>sábado</t>
        </is>
      </c>
      <c r="E2374" s="4" t="n">
        <v>2313</v>
      </c>
      <c r="F2374" s="4" t="inlineStr">
        <is>
          <t>CIX</t>
        </is>
      </c>
      <c r="G2374" s="4" t="inlineStr">
        <is>
          <t>LIM</t>
        </is>
      </c>
      <c r="H2374" s="4" t="inlineStr">
        <is>
          <t>17:50:00</t>
        </is>
      </c>
      <c r="I2374" s="4" t="inlineStr">
        <is>
          <t>19:10:00</t>
        </is>
      </c>
      <c r="J2374" s="4" t="n">
        <v>320</v>
      </c>
      <c r="K2374">
        <f>TEXT(TIMEVALUE(H2374)-TIMEVALUE(I2373)+(TIMEVALUE(H2374)&lt;TIMEVALUE(I2373)),"[h]:mm")</f>
        <v/>
      </c>
      <c r="L2374" s="4" t="inlineStr">
        <is>
          <t>01:20:00</t>
        </is>
      </c>
      <c r="O2374">
        <f>"LIM-"&amp;G2373&amp;"-LIM   LA "&amp;E2373&amp;" ("&amp;LEFT(H2373,5)&amp;"-"&amp;LEFT(I2373,5)&amp;" hrs)  /  LA "&amp;E2374&amp;" ("&amp;LEFT(H2374,5)&amp;"-"&amp;LEFT(I2374,5)&amp;" hrs)"</f>
        <v/>
      </c>
    </row>
    <row r="2375">
      <c r="J2375" s="8" t="inlineStr">
        <is>
          <t>PSV total:</t>
        </is>
      </c>
      <c r="K2375" s="9">
        <f>TEXT(TIMEVALUE(I2374)-TIMEVALUE(H2373)+(I2374&lt;H2373),"[h]:mm")</f>
        <v/>
      </c>
    </row>
    <row r="2377">
      <c r="B2377" s="3" t="inlineStr">
        <is>
          <t>Pairing ID</t>
        </is>
      </c>
      <c r="C2377" s="3" t="inlineStr">
        <is>
          <t>FECHA REAL</t>
        </is>
      </c>
      <c r="D2377" s="3" t="inlineStr">
        <is>
          <t>Day of Week</t>
        </is>
      </c>
      <c r="E2377" s="3" t="inlineStr">
        <is>
          <t>Flight No</t>
        </is>
      </c>
      <c r="F2377" s="3" t="inlineStr">
        <is>
          <t>Dep Stn</t>
        </is>
      </c>
      <c r="G2377" s="3" t="inlineStr">
        <is>
          <t>Arr Stn</t>
        </is>
      </c>
      <c r="H2377" s="3" t="inlineStr">
        <is>
          <t>STD</t>
        </is>
      </c>
      <c r="I2377" s="3" t="inlineStr">
        <is>
          <t>STA</t>
        </is>
      </c>
      <c r="J2377" s="3" t="inlineStr">
        <is>
          <t>subflota</t>
        </is>
      </c>
      <c r="K2377" s="3" t="inlineStr">
        <is>
          <t>Conexion</t>
        </is>
      </c>
      <c r="L2377" s="3" t="inlineStr">
        <is>
          <t>HBT</t>
        </is>
      </c>
    </row>
    <row r="2378">
      <c r="B2378" s="4" t="n">
        <v>2288</v>
      </c>
      <c r="C2378" s="4" t="inlineStr">
        <is>
          <t>26/09/2026</t>
        </is>
      </c>
      <c r="D2378" s="4" t="inlineStr">
        <is>
          <t>sábado</t>
        </is>
      </c>
      <c r="E2378" s="4" t="n">
        <v>2039</v>
      </c>
      <c r="F2378" s="4" t="inlineStr">
        <is>
          <t>LIM</t>
        </is>
      </c>
      <c r="G2378" s="4" t="inlineStr">
        <is>
          <t>PCL</t>
        </is>
      </c>
      <c r="H2378" s="4" t="inlineStr">
        <is>
          <t>18:40:00</t>
        </is>
      </c>
      <c r="I2378" s="4" t="inlineStr">
        <is>
          <t>19:55:00</t>
        </is>
      </c>
      <c r="J2378" s="4" t="n">
        <v>320</v>
      </c>
      <c r="L2378" s="4" t="inlineStr">
        <is>
          <t>01:15:00</t>
        </is>
      </c>
      <c r="M2378" s="5" t="n"/>
      <c r="N2378" s="6" t="n"/>
      <c r="O2378" s="5" t="n"/>
      <c r="Q2378" s="4">
        <f>B2378</f>
        <v/>
      </c>
      <c r="R2378" s="4">
        <f>C2378</f>
        <v/>
      </c>
      <c r="S2378" s="4">
        <f>D2378</f>
        <v/>
      </c>
      <c r="T2378" s="4">
        <f>E2378&amp;"/"&amp;E2379</f>
        <v/>
      </c>
      <c r="U2378" s="4">
        <f>F2378&amp;"-"&amp;G2378&amp;"-"&amp;F2378</f>
        <v/>
      </c>
      <c r="V2378" s="4">
        <f>IF($M$2378="","",$M$2378)</f>
        <v/>
      </c>
      <c r="W2378" s="4">
        <f>IF($O$2378="","",$O$2378)</f>
        <v/>
      </c>
      <c r="X2378" s="4">
        <f>J2378</f>
        <v/>
      </c>
    </row>
    <row r="2379">
      <c r="B2379" s="4" t="n">
        <v>2288</v>
      </c>
      <c r="C2379" s="4" t="inlineStr">
        <is>
          <t>26/09/2026</t>
        </is>
      </c>
      <c r="D2379" s="4" t="inlineStr">
        <is>
          <t>sábado</t>
        </is>
      </c>
      <c r="E2379" s="4" t="n">
        <v>2040</v>
      </c>
      <c r="F2379" s="4" t="inlineStr">
        <is>
          <t>PCL</t>
        </is>
      </c>
      <c r="G2379" s="4" t="inlineStr">
        <is>
          <t>LIM</t>
        </is>
      </c>
      <c r="H2379" s="4" t="inlineStr">
        <is>
          <t>20:35:00</t>
        </is>
      </c>
      <c r="I2379" s="4" t="inlineStr">
        <is>
          <t>21:50:00</t>
        </is>
      </c>
      <c r="J2379" s="4" t="n">
        <v>320</v>
      </c>
      <c r="K2379">
        <f>TEXT(TIMEVALUE(H2379)-TIMEVALUE(I2378)+(TIMEVALUE(H2379)&lt;TIMEVALUE(I2378)),"[h]:mm")</f>
        <v/>
      </c>
      <c r="L2379" s="4" t="inlineStr">
        <is>
          <t>01:15:00</t>
        </is>
      </c>
      <c r="O2379">
        <f>"LIM-"&amp;G2378&amp;"-LIM   LA "&amp;E2378&amp;" ("&amp;LEFT(H2378,5)&amp;"-"&amp;LEFT(I2378,5)&amp;" hrs)  /  LA "&amp;E2379&amp;" ("&amp;LEFT(H2379,5)&amp;"-"&amp;LEFT(I2379,5)&amp;" hrs)"</f>
        <v/>
      </c>
    </row>
    <row r="2380">
      <c r="J2380" s="8" t="inlineStr">
        <is>
          <t>PSV total:</t>
        </is>
      </c>
      <c r="K2380" s="9">
        <f>TEXT(TIMEVALUE(I2379)-TIMEVALUE(H2378)+(I2379&lt;H2378),"[h]:mm")</f>
        <v/>
      </c>
    </row>
    <row r="2382">
      <c r="B2382" s="3" t="inlineStr">
        <is>
          <t>Pairing ID</t>
        </is>
      </c>
      <c r="C2382" s="3" t="inlineStr">
        <is>
          <t>FECHA REAL</t>
        </is>
      </c>
      <c r="D2382" s="3" t="inlineStr">
        <is>
          <t>Day of Week</t>
        </is>
      </c>
      <c r="E2382" s="3" t="inlineStr">
        <is>
          <t>Flight No</t>
        </is>
      </c>
      <c r="F2382" s="3" t="inlineStr">
        <is>
          <t>Dep Stn</t>
        </is>
      </c>
      <c r="G2382" s="3" t="inlineStr">
        <is>
          <t>Arr Stn</t>
        </is>
      </c>
      <c r="H2382" s="3" t="inlineStr">
        <is>
          <t>STD</t>
        </is>
      </c>
      <c r="I2382" s="3" t="inlineStr">
        <is>
          <t>STA</t>
        </is>
      </c>
      <c r="J2382" s="3" t="inlineStr">
        <is>
          <t>subflota</t>
        </is>
      </c>
      <c r="K2382" s="3" t="inlineStr">
        <is>
          <t>Conexion</t>
        </is>
      </c>
      <c r="L2382" s="3" t="inlineStr">
        <is>
          <t>HBT</t>
        </is>
      </c>
    </row>
    <row r="2383">
      <c r="B2383" s="4" t="n">
        <v>2325</v>
      </c>
      <c r="C2383" s="4" t="inlineStr">
        <is>
          <t>27/09/2026</t>
        </is>
      </c>
      <c r="D2383" s="4" t="inlineStr">
        <is>
          <t>domingo</t>
        </is>
      </c>
      <c r="E2383" s="4" t="n">
        <v>2013</v>
      </c>
      <c r="F2383" s="4" t="inlineStr">
        <is>
          <t>LIM</t>
        </is>
      </c>
      <c r="G2383" s="4" t="inlineStr">
        <is>
          <t>CUZ</t>
        </is>
      </c>
      <c r="H2383" s="4" t="inlineStr">
        <is>
          <t>08:35:00</t>
        </is>
      </c>
      <c r="I2383" s="4" t="inlineStr">
        <is>
          <t>09:55:00</t>
        </is>
      </c>
      <c r="J2383" s="4" t="n">
        <v>320</v>
      </c>
      <c r="L2383" s="4" t="inlineStr">
        <is>
          <t>01:20:00</t>
        </is>
      </c>
      <c r="M2383" s="5" t="n"/>
      <c r="N2383" s="6" t="n"/>
      <c r="O2383" s="5" t="n"/>
      <c r="Q2383" s="4">
        <f>B2383</f>
        <v/>
      </c>
      <c r="R2383" s="4">
        <f>C2383</f>
        <v/>
      </c>
      <c r="S2383" s="4">
        <f>D2383</f>
        <v/>
      </c>
      <c r="T2383" s="4">
        <f>E2383&amp;"/"&amp;E2384</f>
        <v/>
      </c>
      <c r="U2383" s="4">
        <f>F2383&amp;"-"&amp;G2383&amp;"-"&amp;F2383</f>
        <v/>
      </c>
      <c r="V2383" s="4">
        <f>IF($M$2383="","",$M$2383)</f>
        <v/>
      </c>
      <c r="W2383" s="4">
        <f>IF($O$2383="","",$O$2383)</f>
        <v/>
      </c>
      <c r="X2383" s="4">
        <f>J2383</f>
        <v/>
      </c>
    </row>
    <row r="2384">
      <c r="B2384" s="4" t="n">
        <v>2325</v>
      </c>
      <c r="C2384" s="4" t="inlineStr">
        <is>
          <t>27/09/2026</t>
        </is>
      </c>
      <c r="D2384" s="4" t="inlineStr">
        <is>
          <t>domingo</t>
        </is>
      </c>
      <c r="E2384" s="4" t="n">
        <v>2014</v>
      </c>
      <c r="F2384" s="4" t="inlineStr">
        <is>
          <t>CUZ</t>
        </is>
      </c>
      <c r="G2384" s="4" t="inlineStr">
        <is>
          <t>LIM</t>
        </is>
      </c>
      <c r="H2384" s="4" t="inlineStr">
        <is>
          <t>10:35:00</t>
        </is>
      </c>
      <c r="I2384" s="4" t="inlineStr">
        <is>
          <t>12:10:00</t>
        </is>
      </c>
      <c r="J2384" s="4" t="n">
        <v>320</v>
      </c>
      <c r="K2384">
        <f>TEXT(TIMEVALUE(H2384)-TIMEVALUE(I2383)+(TIMEVALUE(H2384)&lt;TIMEVALUE(I2383)),"[h]:mm")</f>
        <v/>
      </c>
      <c r="L2384" s="4" t="inlineStr">
        <is>
          <t>01:35:00</t>
        </is>
      </c>
      <c r="O2384">
        <f>"LIM-"&amp;G2383&amp;"-LIM   LA "&amp;E2383&amp;" ("&amp;LEFT(H2383,5)&amp;"-"&amp;LEFT(I2383,5)&amp;" hrs)  /  LA "&amp;E2384&amp;" ("&amp;LEFT(H2384,5)&amp;"-"&amp;LEFT(I2384,5)&amp;" hrs)"</f>
        <v/>
      </c>
    </row>
    <row r="2385">
      <c r="J2385" s="8" t="inlineStr">
        <is>
          <t>PSV total:</t>
        </is>
      </c>
      <c r="K2385" s="9">
        <f>TEXT(TIMEVALUE(I2384)-TIMEVALUE(H2383)+(I2384&lt;H2383),"[h]:mm")</f>
        <v/>
      </c>
    </row>
    <row r="2387">
      <c r="B2387" s="3" t="inlineStr">
        <is>
          <t>Pairing ID</t>
        </is>
      </c>
      <c r="C2387" s="3" t="inlineStr">
        <is>
          <t>FECHA REAL</t>
        </is>
      </c>
      <c r="D2387" s="3" t="inlineStr">
        <is>
          <t>Day of Week</t>
        </is>
      </c>
      <c r="E2387" s="3" t="inlineStr">
        <is>
          <t>Flight No</t>
        </is>
      </c>
      <c r="F2387" s="3" t="inlineStr">
        <is>
          <t>Dep Stn</t>
        </is>
      </c>
      <c r="G2387" s="3" t="inlineStr">
        <is>
          <t>Arr Stn</t>
        </is>
      </c>
      <c r="H2387" s="3" t="inlineStr">
        <is>
          <t>STD</t>
        </is>
      </c>
      <c r="I2387" s="3" t="inlineStr">
        <is>
          <t>STA</t>
        </is>
      </c>
      <c r="J2387" s="3" t="inlineStr">
        <is>
          <t>subflota</t>
        </is>
      </c>
      <c r="K2387" s="3" t="inlineStr">
        <is>
          <t>Conexion</t>
        </is>
      </c>
      <c r="L2387" s="3" t="inlineStr">
        <is>
          <t>HBT</t>
        </is>
      </c>
    </row>
    <row r="2388">
      <c r="B2388" s="4" t="n">
        <v>2329</v>
      </c>
      <c r="C2388" s="4" t="inlineStr">
        <is>
          <t>27/09/2026</t>
        </is>
      </c>
      <c r="D2388" s="4" t="inlineStr">
        <is>
          <t>domingo</t>
        </is>
      </c>
      <c r="E2388" s="4" t="n">
        <v>2123</v>
      </c>
      <c r="F2388" s="4" t="inlineStr">
        <is>
          <t>LIM</t>
        </is>
      </c>
      <c r="G2388" s="4" t="inlineStr">
        <is>
          <t>AQP</t>
        </is>
      </c>
      <c r="H2388" s="4" t="inlineStr">
        <is>
          <t>09:15:00</t>
        </is>
      </c>
      <c r="I2388" s="4" t="inlineStr">
        <is>
          <t>10:45:00</t>
        </is>
      </c>
      <c r="J2388" s="4" t="n">
        <v>320</v>
      </c>
      <c r="L2388" s="4" t="inlineStr">
        <is>
          <t>01:30:00</t>
        </is>
      </c>
      <c r="M2388" s="5" t="n"/>
      <c r="N2388" s="6" t="n"/>
      <c r="O2388" s="5" t="n"/>
      <c r="Q2388" s="4">
        <f>B2388</f>
        <v/>
      </c>
      <c r="R2388" s="4">
        <f>C2388</f>
        <v/>
      </c>
      <c r="S2388" s="4">
        <f>D2388</f>
        <v/>
      </c>
      <c r="T2388" s="4">
        <f>E2388&amp;"/"&amp;E2389</f>
        <v/>
      </c>
      <c r="U2388" s="4">
        <f>F2388&amp;"-"&amp;G2388&amp;"-"&amp;F2388</f>
        <v/>
      </c>
      <c r="V2388" s="4">
        <f>IF($M$2388="","",$M$2388)</f>
        <v/>
      </c>
      <c r="W2388" s="4">
        <f>IF($O$2388="","",$O$2388)</f>
        <v/>
      </c>
      <c r="X2388" s="4">
        <f>J2388</f>
        <v/>
      </c>
    </row>
    <row r="2389">
      <c r="B2389" s="4" t="n">
        <v>2329</v>
      </c>
      <c r="C2389" s="4" t="inlineStr">
        <is>
          <t>27/09/2026</t>
        </is>
      </c>
      <c r="D2389" s="4" t="inlineStr">
        <is>
          <t>domingo</t>
        </is>
      </c>
      <c r="E2389" s="4" t="n">
        <v>2124</v>
      </c>
      <c r="F2389" s="4" t="inlineStr">
        <is>
          <t>AQP</t>
        </is>
      </c>
      <c r="G2389" s="4" t="inlineStr">
        <is>
          <t>LIM</t>
        </is>
      </c>
      <c r="H2389" s="4" t="inlineStr">
        <is>
          <t>11:35:00</t>
        </is>
      </c>
      <c r="I2389" s="4" t="inlineStr">
        <is>
          <t>13:10:00</t>
        </is>
      </c>
      <c r="J2389" s="4" t="n">
        <v>320</v>
      </c>
      <c r="K2389">
        <f>TEXT(TIMEVALUE(H2389)-TIMEVALUE(I2388)+(TIMEVALUE(H2389)&lt;TIMEVALUE(I2388)),"[h]:mm")</f>
        <v/>
      </c>
      <c r="L2389" s="4" t="inlineStr">
        <is>
          <t>01:35:00</t>
        </is>
      </c>
      <c r="O2389">
        <f>"LIM-"&amp;G2388&amp;"-LIM   LA "&amp;E2388&amp;" ("&amp;LEFT(H2388,5)&amp;"-"&amp;LEFT(I2388,5)&amp;" hrs)  /  LA "&amp;E2389&amp;" ("&amp;LEFT(H2389,5)&amp;"-"&amp;LEFT(I2389,5)&amp;" hrs)"</f>
        <v/>
      </c>
    </row>
    <row r="2390">
      <c r="B2390" s="4" t="n">
        <v>2349</v>
      </c>
      <c r="C2390" s="4" t="inlineStr">
        <is>
          <t>27/09/2026</t>
        </is>
      </c>
      <c r="D2390" s="4" t="inlineStr">
        <is>
          <t>domingo</t>
        </is>
      </c>
      <c r="E2390" s="4" t="n">
        <v>2295</v>
      </c>
      <c r="F2390" s="4" t="inlineStr">
        <is>
          <t>LIM</t>
        </is>
      </c>
      <c r="G2390" s="4" t="inlineStr">
        <is>
          <t>CJA</t>
        </is>
      </c>
      <c r="H2390" s="4" t="inlineStr">
        <is>
          <t>14:10:00</t>
        </is>
      </c>
      <c r="I2390" s="4" t="inlineStr">
        <is>
          <t>15:30:00</t>
        </is>
      </c>
      <c r="J2390" s="4" t="n">
        <v>320</v>
      </c>
      <c r="K2390" s="7">
        <f>TEXT(TIMEVALUE(H2390)-TIMEVALUE(I2389)+(TIMEVALUE(H2390)&lt;TIMEVALUE(I2389)),"[h]:mm")</f>
        <v/>
      </c>
      <c r="L2390" s="4" t="inlineStr">
        <is>
          <t>01:20:00</t>
        </is>
      </c>
      <c r="M2390">
        <f>IF($M$2388="","",$M$2388)</f>
        <v/>
      </c>
      <c r="O2390">
        <f>IF($O$2388="","",$O$2388)</f>
        <v/>
      </c>
      <c r="Q2390" s="4">
        <f>B2390</f>
        <v/>
      </c>
      <c r="R2390" s="4">
        <f>C2390</f>
        <v/>
      </c>
      <c r="S2390" s="4">
        <f>D2390</f>
        <v/>
      </c>
      <c r="T2390" s="4">
        <f>E2390&amp;"/"&amp;E2391</f>
        <v/>
      </c>
      <c r="U2390" s="4">
        <f>F2390&amp;"-"&amp;G2390&amp;"-"&amp;F2390</f>
        <v/>
      </c>
      <c r="V2390" s="4">
        <f>IF($M$2388="","",$M$2388)</f>
        <v/>
      </c>
      <c r="W2390" s="4">
        <f>IF($O$2388="","",$O$2388)</f>
        <v/>
      </c>
      <c r="X2390" s="4">
        <f>J2390</f>
        <v/>
      </c>
    </row>
    <row r="2391">
      <c r="B2391" s="4" t="n">
        <v>2349</v>
      </c>
      <c r="C2391" s="4" t="inlineStr">
        <is>
          <t>27/09/2026</t>
        </is>
      </c>
      <c r="D2391" s="4" t="inlineStr">
        <is>
          <t>domingo</t>
        </is>
      </c>
      <c r="E2391" s="4" t="n">
        <v>2294</v>
      </c>
      <c r="F2391" s="4" t="inlineStr">
        <is>
          <t>CJA</t>
        </is>
      </c>
      <c r="G2391" s="4" t="inlineStr">
        <is>
          <t>LIM</t>
        </is>
      </c>
      <c r="H2391" s="4" t="inlineStr">
        <is>
          <t>16:10:00</t>
        </is>
      </c>
      <c r="I2391" s="4" t="inlineStr">
        <is>
          <t>17:15:00</t>
        </is>
      </c>
      <c r="J2391" s="4" t="n">
        <v>320</v>
      </c>
      <c r="K2391">
        <f>TEXT(TIMEVALUE(H2391)-TIMEVALUE(I2390)+(TIMEVALUE(H2391)&lt;TIMEVALUE(I2390)),"[h]:mm")</f>
        <v/>
      </c>
      <c r="L2391" s="4" t="inlineStr">
        <is>
          <t>01:05:00</t>
        </is>
      </c>
      <c r="O2391">
        <f>"LIM-"&amp;G2390&amp;"-LIM   LA "&amp;E2390&amp;" ("&amp;LEFT(H2390,5)&amp;"-"&amp;LEFT(I2390,5)&amp;" hrs)  /  LA "&amp;E2391&amp;" ("&amp;LEFT(H2391,5)&amp;"-"&amp;LEFT(I2391,5)&amp;" hrs)"</f>
        <v/>
      </c>
    </row>
    <row r="2392">
      <c r="J2392" s="8" t="inlineStr">
        <is>
          <t>PSV total:</t>
        </is>
      </c>
      <c r="K2392" s="9">
        <f>TEXT(TIMEVALUE(I2391)-TIMEVALUE(H2388)+(I2391&lt;H2388),"[h]:mm")</f>
        <v/>
      </c>
    </row>
    <row r="2394">
      <c r="B2394" s="3" t="inlineStr">
        <is>
          <t>Pairing ID</t>
        </is>
      </c>
      <c r="C2394" s="3" t="inlineStr">
        <is>
          <t>FECHA REAL</t>
        </is>
      </c>
      <c r="D2394" s="3" t="inlineStr">
        <is>
          <t>Day of Week</t>
        </is>
      </c>
      <c r="E2394" s="3" t="inlineStr">
        <is>
          <t>Flight No</t>
        </is>
      </c>
      <c r="F2394" s="3" t="inlineStr">
        <is>
          <t>Dep Stn</t>
        </is>
      </c>
      <c r="G2394" s="3" t="inlineStr">
        <is>
          <t>Arr Stn</t>
        </is>
      </c>
      <c r="H2394" s="3" t="inlineStr">
        <is>
          <t>STD</t>
        </is>
      </c>
      <c r="I2394" s="3" t="inlineStr">
        <is>
          <t>STA</t>
        </is>
      </c>
      <c r="J2394" s="3" t="inlineStr">
        <is>
          <t>subflota</t>
        </is>
      </c>
      <c r="K2394" s="3" t="inlineStr">
        <is>
          <t>Conexion</t>
        </is>
      </c>
      <c r="L2394" s="3" t="inlineStr">
        <is>
          <t>HBT</t>
        </is>
      </c>
    </row>
    <row r="2395">
      <c r="B2395" s="4" t="n">
        <v>2333</v>
      </c>
      <c r="C2395" s="4" t="inlineStr">
        <is>
          <t>27/09/2026</t>
        </is>
      </c>
      <c r="D2395" s="4" t="inlineStr">
        <is>
          <t>domingo</t>
        </is>
      </c>
      <c r="E2395" s="4" t="n">
        <v>2238</v>
      </c>
      <c r="F2395" s="4" t="inlineStr">
        <is>
          <t>LIM</t>
        </is>
      </c>
      <c r="G2395" s="4" t="inlineStr">
        <is>
          <t>CUZ</t>
        </is>
      </c>
      <c r="H2395" s="4" t="inlineStr">
        <is>
          <t>10:10:00</t>
        </is>
      </c>
      <c r="I2395" s="4" t="inlineStr">
        <is>
          <t>11:35:00</t>
        </is>
      </c>
      <c r="J2395" s="4" t="n">
        <v>320</v>
      </c>
      <c r="L2395" s="4" t="inlineStr">
        <is>
          <t>01:25:00</t>
        </is>
      </c>
      <c r="M2395" s="5" t="n"/>
      <c r="N2395" s="6" t="n"/>
      <c r="O2395" s="5" t="n"/>
      <c r="Q2395" s="4">
        <f>B2395</f>
        <v/>
      </c>
      <c r="R2395" s="4">
        <f>C2395</f>
        <v/>
      </c>
      <c r="S2395" s="4">
        <f>D2395</f>
        <v/>
      </c>
      <c r="T2395" s="4">
        <f>E2395&amp;"/"&amp;E2396</f>
        <v/>
      </c>
      <c r="U2395" s="4">
        <f>F2395&amp;"-"&amp;G2395&amp;"-"&amp;F2395</f>
        <v/>
      </c>
      <c r="V2395" s="4">
        <f>IF($M$2395="","",$M$2395)</f>
        <v/>
      </c>
      <c r="W2395" s="4">
        <f>IF($O$2395="","",$O$2395)</f>
        <v/>
      </c>
      <c r="X2395" s="4">
        <f>J2395</f>
        <v/>
      </c>
    </row>
    <row r="2396">
      <c r="B2396" s="4" t="n">
        <v>2333</v>
      </c>
      <c r="C2396" s="4" t="inlineStr">
        <is>
          <t>27/09/2026</t>
        </is>
      </c>
      <c r="D2396" s="4" t="inlineStr">
        <is>
          <t>domingo</t>
        </is>
      </c>
      <c r="E2396" s="4" t="n">
        <v>2239</v>
      </c>
      <c r="F2396" s="4" t="inlineStr">
        <is>
          <t>CUZ</t>
        </is>
      </c>
      <c r="G2396" s="4" t="inlineStr">
        <is>
          <t>LIM</t>
        </is>
      </c>
      <c r="H2396" s="4" t="inlineStr">
        <is>
          <t>12:10:00</t>
        </is>
      </c>
      <c r="I2396" s="4" t="inlineStr">
        <is>
          <t>13:45:00</t>
        </is>
      </c>
      <c r="J2396" s="4" t="n">
        <v>320</v>
      </c>
      <c r="K2396">
        <f>TEXT(TIMEVALUE(H2396)-TIMEVALUE(I2395)+(TIMEVALUE(H2396)&lt;TIMEVALUE(I2395)),"[h]:mm")</f>
        <v/>
      </c>
      <c r="L2396" s="4" t="inlineStr">
        <is>
          <t>01:35:00</t>
        </is>
      </c>
      <c r="O2396">
        <f>"LIM-"&amp;G2395&amp;"-LIM   LA "&amp;E2395&amp;" ("&amp;LEFT(H2395,5)&amp;"-"&amp;LEFT(I2395,5)&amp;" hrs)  /  LA "&amp;E2396&amp;" ("&amp;LEFT(H2396,5)&amp;"-"&amp;LEFT(I2396,5)&amp;" hrs)"</f>
        <v/>
      </c>
    </row>
    <row r="2397">
      <c r="B2397" s="4" t="n">
        <v>2352</v>
      </c>
      <c r="C2397" s="4" t="inlineStr">
        <is>
          <t>27/09/2026</t>
        </is>
      </c>
      <c r="D2397" s="4" t="inlineStr">
        <is>
          <t>domingo</t>
        </is>
      </c>
      <c r="E2397" s="4" t="n">
        <v>2022</v>
      </c>
      <c r="F2397" s="4" t="inlineStr">
        <is>
          <t>LIM</t>
        </is>
      </c>
      <c r="G2397" s="4" t="inlineStr">
        <is>
          <t>CUZ</t>
        </is>
      </c>
      <c r="H2397" s="4" t="inlineStr">
        <is>
          <t>14:50:00</t>
        </is>
      </c>
      <c r="I2397" s="4" t="inlineStr">
        <is>
          <t>16:10:00</t>
        </is>
      </c>
      <c r="J2397" s="4" t="n">
        <v>320</v>
      </c>
      <c r="K2397" s="7">
        <f>TEXT(TIMEVALUE(H2397)-TIMEVALUE(I2396)+(TIMEVALUE(H2397)&lt;TIMEVALUE(I2396)),"[h]:mm")</f>
        <v/>
      </c>
      <c r="L2397" s="4" t="inlineStr">
        <is>
          <t>01:20:00</t>
        </is>
      </c>
      <c r="M2397">
        <f>IF($M$2395="","",$M$2395)</f>
        <v/>
      </c>
      <c r="O2397">
        <f>IF($O$2395="","",$O$2395)</f>
        <v/>
      </c>
      <c r="Q2397" s="4">
        <f>B2397</f>
        <v/>
      </c>
      <c r="R2397" s="4">
        <f>C2397</f>
        <v/>
      </c>
      <c r="S2397" s="4">
        <f>D2397</f>
        <v/>
      </c>
      <c r="T2397" s="4">
        <f>E2397&amp;"/"&amp;E2398</f>
        <v/>
      </c>
      <c r="U2397" s="4">
        <f>F2397&amp;"-"&amp;G2397&amp;"-"&amp;F2397</f>
        <v/>
      </c>
      <c r="V2397" s="4">
        <f>IF($M$2395="","",$M$2395)</f>
        <v/>
      </c>
      <c r="W2397" s="4">
        <f>IF($O$2395="","",$O$2395)</f>
        <v/>
      </c>
      <c r="X2397" s="4">
        <f>J2397</f>
        <v/>
      </c>
    </row>
    <row r="2398">
      <c r="B2398" s="4" t="n">
        <v>2352</v>
      </c>
      <c r="C2398" s="4" t="inlineStr">
        <is>
          <t>27/09/2026</t>
        </is>
      </c>
      <c r="D2398" s="4" t="inlineStr">
        <is>
          <t>domingo</t>
        </is>
      </c>
      <c r="E2398" s="4" t="n">
        <v>2249</v>
      </c>
      <c r="F2398" s="4" t="inlineStr">
        <is>
          <t>CUZ</t>
        </is>
      </c>
      <c r="G2398" s="4" t="inlineStr">
        <is>
          <t>LIM</t>
        </is>
      </c>
      <c r="H2398" s="4" t="inlineStr">
        <is>
          <t>17:00:00</t>
        </is>
      </c>
      <c r="I2398" s="4" t="inlineStr">
        <is>
          <t>18:35:00</t>
        </is>
      </c>
      <c r="J2398" s="4" t="n">
        <v>320</v>
      </c>
      <c r="K2398">
        <f>TEXT(TIMEVALUE(H2398)-TIMEVALUE(I2397)+(TIMEVALUE(H2398)&lt;TIMEVALUE(I2397)),"[h]:mm")</f>
        <v/>
      </c>
      <c r="L2398" s="4" t="inlineStr">
        <is>
          <t>01:35:00</t>
        </is>
      </c>
      <c r="O2398">
        <f>"LIM-"&amp;G2397&amp;"-LIM   LA "&amp;E2397&amp;" ("&amp;LEFT(H2397,5)&amp;"-"&amp;LEFT(I2397,5)&amp;" hrs)  /  LA "&amp;E2398&amp;" ("&amp;LEFT(H2398,5)&amp;"-"&amp;LEFT(I2398,5)&amp;" hrs)"</f>
        <v/>
      </c>
    </row>
    <row r="2399">
      <c r="J2399" s="8" t="inlineStr">
        <is>
          <t>PSV total:</t>
        </is>
      </c>
      <c r="K2399" s="9">
        <f>TEXT(TIMEVALUE(I2398)-TIMEVALUE(H2395)+(I2398&lt;H2395),"[h]:mm")</f>
        <v/>
      </c>
    </row>
    <row r="2401">
      <c r="B2401" s="3" t="inlineStr">
        <is>
          <t>Pairing ID</t>
        </is>
      </c>
      <c r="C2401" s="3" t="inlineStr">
        <is>
          <t>FECHA REAL</t>
        </is>
      </c>
      <c r="D2401" s="3" t="inlineStr">
        <is>
          <t>Day of Week</t>
        </is>
      </c>
      <c r="E2401" s="3" t="inlineStr">
        <is>
          <t>Flight No</t>
        </is>
      </c>
      <c r="F2401" s="3" t="inlineStr">
        <is>
          <t>Dep Stn</t>
        </is>
      </c>
      <c r="G2401" s="3" t="inlineStr">
        <is>
          <t>Arr Stn</t>
        </is>
      </c>
      <c r="H2401" s="3" t="inlineStr">
        <is>
          <t>STD</t>
        </is>
      </c>
      <c r="I2401" s="3" t="inlineStr">
        <is>
          <t>STA</t>
        </is>
      </c>
      <c r="J2401" s="3" t="inlineStr">
        <is>
          <t>subflota</t>
        </is>
      </c>
      <c r="K2401" s="3" t="inlineStr">
        <is>
          <t>Conexion</t>
        </is>
      </c>
      <c r="L2401" s="3" t="inlineStr">
        <is>
          <t>HBT</t>
        </is>
      </c>
    </row>
    <row r="2402">
      <c r="B2402" s="4" t="n">
        <v>2334</v>
      </c>
      <c r="C2402" s="4" t="inlineStr">
        <is>
          <t>27/09/2026</t>
        </is>
      </c>
      <c r="D2402" s="4" t="inlineStr">
        <is>
          <t>domingo</t>
        </is>
      </c>
      <c r="E2402" s="4" t="n">
        <v>2299</v>
      </c>
      <c r="F2402" s="4" t="inlineStr">
        <is>
          <t>LIM</t>
        </is>
      </c>
      <c r="G2402" s="4" t="inlineStr">
        <is>
          <t>CJA</t>
        </is>
      </c>
      <c r="H2402" s="4" t="inlineStr">
        <is>
          <t>11:35:00</t>
        </is>
      </c>
      <c r="I2402" s="4" t="inlineStr">
        <is>
          <t>12:55:00</t>
        </is>
      </c>
      <c r="J2402" s="4" t="n">
        <v>320</v>
      </c>
      <c r="L2402" s="4" t="inlineStr">
        <is>
          <t>01:20:00</t>
        </is>
      </c>
      <c r="M2402" s="5" t="n"/>
      <c r="N2402" s="6" t="n"/>
      <c r="O2402" s="5" t="n"/>
      <c r="Q2402" s="4">
        <f>B2402</f>
        <v/>
      </c>
      <c r="R2402" s="4">
        <f>C2402</f>
        <v/>
      </c>
      <c r="S2402" s="4">
        <f>D2402</f>
        <v/>
      </c>
      <c r="T2402" s="4">
        <f>E2402&amp;"/"&amp;E2403</f>
        <v/>
      </c>
      <c r="U2402" s="4">
        <f>F2402&amp;"-"&amp;G2402&amp;"-"&amp;F2402</f>
        <v/>
      </c>
      <c r="V2402" s="4">
        <f>IF($M$2402="","",$M$2402)</f>
        <v/>
      </c>
      <c r="W2402" s="4">
        <f>IF($O$2402="","",$O$2402)</f>
        <v/>
      </c>
      <c r="X2402" s="4">
        <f>J2402</f>
        <v/>
      </c>
    </row>
    <row r="2403">
      <c r="B2403" s="4" t="n">
        <v>2334</v>
      </c>
      <c r="C2403" s="4" t="inlineStr">
        <is>
          <t>27/09/2026</t>
        </is>
      </c>
      <c r="D2403" s="4" t="inlineStr">
        <is>
          <t>domingo</t>
        </is>
      </c>
      <c r="E2403" s="4" t="n">
        <v>2298</v>
      </c>
      <c r="F2403" s="4" t="inlineStr">
        <is>
          <t>CJA</t>
        </is>
      </c>
      <c r="G2403" s="4" t="inlineStr">
        <is>
          <t>LIM</t>
        </is>
      </c>
      <c r="H2403" s="4" t="inlineStr">
        <is>
          <t>13:45:00</t>
        </is>
      </c>
      <c r="I2403" s="4" t="inlineStr">
        <is>
          <t>14:55:00</t>
        </is>
      </c>
      <c r="J2403" s="4" t="n">
        <v>320</v>
      </c>
      <c r="K2403">
        <f>TEXT(TIMEVALUE(H2403)-TIMEVALUE(I2402)+(TIMEVALUE(H2403)&lt;TIMEVALUE(I2402)),"[h]:mm")</f>
        <v/>
      </c>
      <c r="L2403" s="4" t="inlineStr">
        <is>
          <t>01:10:00</t>
        </is>
      </c>
      <c r="O2403">
        <f>"LIM-"&amp;G2402&amp;"-LIM   LA "&amp;E2402&amp;" ("&amp;LEFT(H2402,5)&amp;"-"&amp;LEFT(I2402,5)&amp;" hrs)  /  LA "&amp;E2403&amp;" ("&amp;LEFT(H2403,5)&amp;"-"&amp;LEFT(I2403,5)&amp;" hrs)"</f>
        <v/>
      </c>
    </row>
    <row r="2404">
      <c r="B2404" s="4" t="n">
        <v>2362</v>
      </c>
      <c r="C2404" s="4" t="inlineStr">
        <is>
          <t>27/09/2026</t>
        </is>
      </c>
      <c r="D2404" s="4" t="inlineStr">
        <is>
          <t>domingo</t>
        </is>
      </c>
      <c r="E2404" s="4" t="n">
        <v>2127</v>
      </c>
      <c r="F2404" s="4" t="inlineStr">
        <is>
          <t>LIM</t>
        </is>
      </c>
      <c r="G2404" s="4" t="inlineStr">
        <is>
          <t>CUZ</t>
        </is>
      </c>
      <c r="H2404" s="4" t="inlineStr">
        <is>
          <t>16:10:00</t>
        </is>
      </c>
      <c r="I2404" s="4" t="inlineStr">
        <is>
          <t>17:30:00</t>
        </is>
      </c>
      <c r="J2404" s="4" t="n">
        <v>320</v>
      </c>
      <c r="K2404" s="7">
        <f>TEXT(TIMEVALUE(H2404)-TIMEVALUE(I2403)+(TIMEVALUE(H2404)&lt;TIMEVALUE(I2403)),"[h]:mm")</f>
        <v/>
      </c>
      <c r="L2404" s="4" t="inlineStr">
        <is>
          <t>01:20:00</t>
        </is>
      </c>
      <c r="M2404">
        <f>IF($M$2402="","",$M$2402)</f>
        <v/>
      </c>
      <c r="O2404">
        <f>IF($O$2402="","",$O$2402)</f>
        <v/>
      </c>
      <c r="Q2404" s="4">
        <f>B2404</f>
        <v/>
      </c>
      <c r="R2404" s="4">
        <f>C2404</f>
        <v/>
      </c>
      <c r="S2404" s="4">
        <f>D2404</f>
        <v/>
      </c>
      <c r="T2404" s="4">
        <f>E2404&amp;"/"&amp;E2405</f>
        <v/>
      </c>
      <c r="U2404" s="4">
        <f>F2404&amp;"-"&amp;G2404&amp;"-"&amp;F2404</f>
        <v/>
      </c>
      <c r="V2404" s="4">
        <f>IF($M$2402="","",$M$2402)</f>
        <v/>
      </c>
      <c r="W2404" s="4">
        <f>IF($O$2402="","",$O$2402)</f>
        <v/>
      </c>
      <c r="X2404" s="4">
        <f>J2404</f>
        <v/>
      </c>
    </row>
    <row r="2405">
      <c r="B2405" s="4" t="n">
        <v>2362</v>
      </c>
      <c r="C2405" s="4" t="inlineStr">
        <is>
          <t>27/09/2026</t>
        </is>
      </c>
      <c r="D2405" s="4" t="inlineStr">
        <is>
          <t>domingo</t>
        </is>
      </c>
      <c r="E2405" s="4" t="n">
        <v>2026</v>
      </c>
      <c r="F2405" s="4" t="inlineStr">
        <is>
          <t>CUZ</t>
        </is>
      </c>
      <c r="G2405" s="4" t="inlineStr">
        <is>
          <t>LIM</t>
        </is>
      </c>
      <c r="H2405" s="4" t="inlineStr">
        <is>
          <t>18:10:00</t>
        </is>
      </c>
      <c r="I2405" s="4" t="inlineStr">
        <is>
          <t>19:50:00</t>
        </is>
      </c>
      <c r="J2405" s="4" t="n">
        <v>320</v>
      </c>
      <c r="K2405">
        <f>TEXT(TIMEVALUE(H2405)-TIMEVALUE(I2404)+(TIMEVALUE(H2405)&lt;TIMEVALUE(I2404)),"[h]:mm")</f>
        <v/>
      </c>
      <c r="L2405" s="4" t="inlineStr">
        <is>
          <t>01:40:00</t>
        </is>
      </c>
      <c r="O2405">
        <f>"LIM-"&amp;G2404&amp;"-LIM   LA "&amp;E2404&amp;" ("&amp;LEFT(H2404,5)&amp;"-"&amp;LEFT(I2404,5)&amp;" hrs)  /  LA "&amp;E2405&amp;" ("&amp;LEFT(H2405,5)&amp;"-"&amp;LEFT(I2405,5)&amp;" hrs)"</f>
        <v/>
      </c>
    </row>
    <row r="2406">
      <c r="J2406" s="8" t="inlineStr">
        <is>
          <t>PSV total:</t>
        </is>
      </c>
      <c r="K2406" s="9">
        <f>TEXT(TIMEVALUE(I2405)-TIMEVALUE(H2402)+(I2405&lt;H2402),"[h]:mm")</f>
        <v/>
      </c>
    </row>
    <row r="2408">
      <c r="B2408" s="3" t="inlineStr">
        <is>
          <t>Pairing ID</t>
        </is>
      </c>
      <c r="C2408" s="3" t="inlineStr">
        <is>
          <t>FECHA REAL</t>
        </is>
      </c>
      <c r="D2408" s="3" t="inlineStr">
        <is>
          <t>Day of Week</t>
        </is>
      </c>
      <c r="E2408" s="3" t="inlineStr">
        <is>
          <t>Flight No</t>
        </is>
      </c>
      <c r="F2408" s="3" t="inlineStr">
        <is>
          <t>Dep Stn</t>
        </is>
      </c>
      <c r="G2408" s="3" t="inlineStr">
        <is>
          <t>Arr Stn</t>
        </is>
      </c>
      <c r="H2408" s="3" t="inlineStr">
        <is>
          <t>STD</t>
        </is>
      </c>
      <c r="I2408" s="3" t="inlineStr">
        <is>
          <t>STA</t>
        </is>
      </c>
      <c r="J2408" s="3" t="inlineStr">
        <is>
          <t>subflota</t>
        </is>
      </c>
      <c r="K2408" s="3" t="inlineStr">
        <is>
          <t>Conexion</t>
        </is>
      </c>
      <c r="L2408" s="3" t="inlineStr">
        <is>
          <t>HBT</t>
        </is>
      </c>
    </row>
    <row r="2409">
      <c r="B2409" s="4" t="n">
        <v>2336</v>
      </c>
      <c r="C2409" s="4" t="inlineStr">
        <is>
          <t>27/09/2026</t>
        </is>
      </c>
      <c r="D2409" s="4" t="inlineStr">
        <is>
          <t>domingo</t>
        </is>
      </c>
      <c r="E2409" s="4" t="n">
        <v>2111</v>
      </c>
      <c r="F2409" s="4" t="inlineStr">
        <is>
          <t>LIM</t>
        </is>
      </c>
      <c r="G2409" s="4" t="inlineStr">
        <is>
          <t>AQP</t>
        </is>
      </c>
      <c r="H2409" s="4" t="inlineStr">
        <is>
          <t>11:40:00</t>
        </is>
      </c>
      <c r="I2409" s="4" t="inlineStr">
        <is>
          <t>13:10:00</t>
        </is>
      </c>
      <c r="J2409" s="4" t="n">
        <v>319</v>
      </c>
      <c r="L2409" s="4" t="inlineStr">
        <is>
          <t>01:30:00</t>
        </is>
      </c>
      <c r="M2409" s="5" t="n"/>
      <c r="N2409" s="6" t="n"/>
      <c r="O2409" s="5" t="n"/>
      <c r="Q2409" s="4">
        <f>B2409</f>
        <v/>
      </c>
      <c r="R2409" s="4">
        <f>C2409</f>
        <v/>
      </c>
      <c r="S2409" s="4">
        <f>D2409</f>
        <v/>
      </c>
      <c r="T2409" s="4">
        <f>E2409&amp;"/"&amp;E2410</f>
        <v/>
      </c>
      <c r="U2409" s="4">
        <f>F2409&amp;"-"&amp;G2409&amp;"-"&amp;F2409</f>
        <v/>
      </c>
      <c r="V2409" s="4">
        <f>IF($M$2409="","",$M$2409)</f>
        <v/>
      </c>
      <c r="W2409" s="4">
        <f>IF($O$2409="","",$O$2409)</f>
        <v/>
      </c>
      <c r="X2409" s="4">
        <f>J2409</f>
        <v/>
      </c>
    </row>
    <row r="2410">
      <c r="B2410" s="4" t="n">
        <v>2336</v>
      </c>
      <c r="C2410" s="4" t="inlineStr">
        <is>
          <t>27/09/2026</t>
        </is>
      </c>
      <c r="D2410" s="4" t="inlineStr">
        <is>
          <t>domingo</t>
        </is>
      </c>
      <c r="E2410" s="4" t="n">
        <v>2110</v>
      </c>
      <c r="F2410" s="4" t="inlineStr">
        <is>
          <t>AQP</t>
        </is>
      </c>
      <c r="G2410" s="4" t="inlineStr">
        <is>
          <t>LIM</t>
        </is>
      </c>
      <c r="H2410" s="4" t="inlineStr">
        <is>
          <t>14:00:00</t>
        </is>
      </c>
      <c r="I2410" s="4" t="inlineStr">
        <is>
          <t>15:40:00</t>
        </is>
      </c>
      <c r="J2410" s="4" t="n">
        <v>319</v>
      </c>
      <c r="K2410">
        <f>TEXT(TIMEVALUE(H2410)-TIMEVALUE(I2409)+(TIMEVALUE(H2410)&lt;TIMEVALUE(I2409)),"[h]:mm")</f>
        <v/>
      </c>
      <c r="L2410" s="4" t="inlineStr">
        <is>
          <t>01:40:00</t>
        </is>
      </c>
      <c r="O2410">
        <f>"LIM-"&amp;G2409&amp;"-LIM   LA "&amp;E2409&amp;" ("&amp;LEFT(H2409,5)&amp;"-"&amp;LEFT(I2409,5)&amp;" hrs)  /  LA "&amp;E2410&amp;" ("&amp;LEFT(H2410,5)&amp;"-"&amp;LEFT(I2410,5)&amp;" hrs)"</f>
        <v/>
      </c>
    </row>
    <row r="2411">
      <c r="B2411" s="4" t="n">
        <v>2363</v>
      </c>
      <c r="C2411" s="4" t="inlineStr">
        <is>
          <t>27/09/2026</t>
        </is>
      </c>
      <c r="D2411" s="4" t="inlineStr">
        <is>
          <t>domingo</t>
        </is>
      </c>
      <c r="E2411" s="4" t="n">
        <v>2276</v>
      </c>
      <c r="F2411" s="4" t="inlineStr">
        <is>
          <t>LIM</t>
        </is>
      </c>
      <c r="G2411" s="4" t="inlineStr">
        <is>
          <t>CUZ</t>
        </is>
      </c>
      <c r="H2411" s="4" t="inlineStr">
        <is>
          <t>16:35:00</t>
        </is>
      </c>
      <c r="I2411" s="4" t="inlineStr">
        <is>
          <t>17:55:00</t>
        </is>
      </c>
      <c r="J2411" s="4" t="n">
        <v>320</v>
      </c>
      <c r="K2411" s="7">
        <f>TEXT(TIMEVALUE(H2411)-TIMEVALUE(I2410)+(TIMEVALUE(H2411)&lt;TIMEVALUE(I2410)),"[h]:mm")</f>
        <v/>
      </c>
      <c r="L2411" s="4" t="inlineStr">
        <is>
          <t>01:20:00</t>
        </is>
      </c>
      <c r="M2411">
        <f>IF($M$2409="","",$M$2409)</f>
        <v/>
      </c>
      <c r="O2411">
        <f>IF($O$2409="","",$O$2409)</f>
        <v/>
      </c>
      <c r="Q2411" s="4">
        <f>B2411</f>
        <v/>
      </c>
      <c r="R2411" s="4">
        <f>C2411</f>
        <v/>
      </c>
      <c r="S2411" s="4">
        <f>D2411</f>
        <v/>
      </c>
      <c r="T2411" s="4">
        <f>E2411&amp;"/"&amp;E2412</f>
        <v/>
      </c>
      <c r="U2411" s="4">
        <f>F2411&amp;"-"&amp;G2411&amp;"-"&amp;F2411</f>
        <v/>
      </c>
      <c r="V2411" s="4">
        <f>IF($M$2409="","",$M$2409)</f>
        <v/>
      </c>
      <c r="W2411" s="4">
        <f>IF($O$2409="","",$O$2409)</f>
        <v/>
      </c>
      <c r="X2411" s="4">
        <f>J2411</f>
        <v/>
      </c>
    </row>
    <row r="2412">
      <c r="B2412" s="4" t="n">
        <v>2363</v>
      </c>
      <c r="C2412" s="4" t="inlineStr">
        <is>
          <t>27/09/2026</t>
        </is>
      </c>
      <c r="D2412" s="4" t="inlineStr">
        <is>
          <t>domingo</t>
        </is>
      </c>
      <c r="E2412" s="4" t="n">
        <v>2277</v>
      </c>
      <c r="F2412" s="4" t="inlineStr">
        <is>
          <t>CUZ</t>
        </is>
      </c>
      <c r="G2412" s="4" t="inlineStr">
        <is>
          <t>LIM</t>
        </is>
      </c>
      <c r="H2412" s="4" t="inlineStr">
        <is>
          <t>18:50:00</t>
        </is>
      </c>
      <c r="I2412" s="4" t="inlineStr">
        <is>
          <t>20:25:00</t>
        </is>
      </c>
      <c r="J2412" s="4" t="n">
        <v>320</v>
      </c>
      <c r="K2412">
        <f>TEXT(TIMEVALUE(H2412)-TIMEVALUE(I2411)+(TIMEVALUE(H2412)&lt;TIMEVALUE(I2411)),"[h]:mm")</f>
        <v/>
      </c>
      <c r="L2412" s="4" t="inlineStr">
        <is>
          <t>01:35:00</t>
        </is>
      </c>
      <c r="O2412">
        <f>"LIM-"&amp;G2411&amp;"-LIM   LA "&amp;E2411&amp;" ("&amp;LEFT(H2411,5)&amp;"-"&amp;LEFT(I2411,5)&amp;" hrs)  /  LA "&amp;E2412&amp;" ("&amp;LEFT(H2412,5)&amp;"-"&amp;LEFT(I2412,5)&amp;" hrs)"</f>
        <v/>
      </c>
    </row>
    <row r="2413">
      <c r="J2413" s="8" t="inlineStr">
        <is>
          <t>PSV total:</t>
        </is>
      </c>
      <c r="K2413" s="9">
        <f>TEXT(TIMEVALUE(I2412)-TIMEVALUE(H2409)+(I2412&lt;H2409),"[h]:mm")</f>
        <v/>
      </c>
    </row>
    <row r="2415">
      <c r="B2415" s="3" t="inlineStr">
        <is>
          <t>Pairing ID</t>
        </is>
      </c>
      <c r="C2415" s="3" t="inlineStr">
        <is>
          <t>FECHA REAL</t>
        </is>
      </c>
      <c r="D2415" s="3" t="inlineStr">
        <is>
          <t>Day of Week</t>
        </is>
      </c>
      <c r="E2415" s="3" t="inlineStr">
        <is>
          <t>Flight No</t>
        </is>
      </c>
      <c r="F2415" s="3" t="inlineStr">
        <is>
          <t>Dep Stn</t>
        </is>
      </c>
      <c r="G2415" s="3" t="inlineStr">
        <is>
          <t>Arr Stn</t>
        </is>
      </c>
      <c r="H2415" s="3" t="inlineStr">
        <is>
          <t>STD</t>
        </is>
      </c>
      <c r="I2415" s="3" t="inlineStr">
        <is>
          <t>STA</t>
        </is>
      </c>
      <c r="J2415" s="3" t="inlineStr">
        <is>
          <t>subflota</t>
        </is>
      </c>
      <c r="K2415" s="3" t="inlineStr">
        <is>
          <t>Conexion</t>
        </is>
      </c>
      <c r="L2415" s="3" t="inlineStr">
        <is>
          <t>HBT</t>
        </is>
      </c>
    </row>
    <row r="2416">
      <c r="B2416" s="4" t="n">
        <v>2337</v>
      </c>
      <c r="C2416" s="4" t="inlineStr">
        <is>
          <t>27/09/2026</t>
        </is>
      </c>
      <c r="D2416" s="4" t="inlineStr">
        <is>
          <t>domingo</t>
        </is>
      </c>
      <c r="E2416" s="4" t="n">
        <v>2061</v>
      </c>
      <c r="F2416" s="4" t="inlineStr">
        <is>
          <t>LIM</t>
        </is>
      </c>
      <c r="G2416" s="4" t="inlineStr">
        <is>
          <t>CUZ</t>
        </is>
      </c>
      <c r="H2416" s="4" t="inlineStr">
        <is>
          <t>11:40:00</t>
        </is>
      </c>
      <c r="I2416" s="4" t="inlineStr">
        <is>
          <t>13:00:00</t>
        </is>
      </c>
      <c r="J2416" s="4" t="n">
        <v>320</v>
      </c>
      <c r="L2416" s="4" t="inlineStr">
        <is>
          <t>01:20:00</t>
        </is>
      </c>
      <c r="M2416" s="5" t="n"/>
      <c r="N2416" s="6" t="n"/>
      <c r="O2416" s="5" t="n"/>
      <c r="Q2416" s="4">
        <f>B2416</f>
        <v/>
      </c>
      <c r="R2416" s="4">
        <f>C2416</f>
        <v/>
      </c>
      <c r="S2416" s="4">
        <f>D2416</f>
        <v/>
      </c>
      <c r="T2416" s="4">
        <f>E2416&amp;"/"&amp;E2417</f>
        <v/>
      </c>
      <c r="U2416" s="4">
        <f>F2416&amp;"-"&amp;G2416&amp;"-"&amp;F2416</f>
        <v/>
      </c>
      <c r="V2416" s="4">
        <f>IF($M$2416="","",$M$2416)</f>
        <v/>
      </c>
      <c r="W2416" s="4">
        <f>IF($O$2416="","",$O$2416)</f>
        <v/>
      </c>
      <c r="X2416" s="4">
        <f>J2416</f>
        <v/>
      </c>
    </row>
    <row r="2417">
      <c r="B2417" s="4" t="n">
        <v>2337</v>
      </c>
      <c r="C2417" s="4" t="inlineStr">
        <is>
          <t>27/09/2026</t>
        </is>
      </c>
      <c r="D2417" s="4" t="inlineStr">
        <is>
          <t>domingo</t>
        </is>
      </c>
      <c r="E2417" s="4" t="n">
        <v>2062</v>
      </c>
      <c r="F2417" s="4" t="inlineStr">
        <is>
          <t>CUZ</t>
        </is>
      </c>
      <c r="G2417" s="4" t="inlineStr">
        <is>
          <t>LIM</t>
        </is>
      </c>
      <c r="H2417" s="4" t="inlineStr">
        <is>
          <t>13:40:00</t>
        </is>
      </c>
      <c r="I2417" s="4" t="inlineStr">
        <is>
          <t>15:15:00</t>
        </is>
      </c>
      <c r="J2417" s="4" t="n">
        <v>320</v>
      </c>
      <c r="K2417">
        <f>TEXT(TIMEVALUE(H2417)-TIMEVALUE(I2416)+(TIMEVALUE(H2417)&lt;TIMEVALUE(I2416)),"[h]:mm")</f>
        <v/>
      </c>
      <c r="L2417" s="4" t="inlineStr">
        <is>
          <t>01:35:00</t>
        </is>
      </c>
      <c r="O2417">
        <f>"LIM-"&amp;G2416&amp;"-LIM   LA "&amp;E2416&amp;" ("&amp;LEFT(H2416,5)&amp;"-"&amp;LEFT(I2416,5)&amp;" hrs)  /  LA "&amp;E2417&amp;" ("&amp;LEFT(H2417,5)&amp;"-"&amp;LEFT(I2417,5)&amp;" hrs)"</f>
        <v/>
      </c>
    </row>
    <row r="2418">
      <c r="J2418" s="8" t="inlineStr">
        <is>
          <t>PSV total:</t>
        </is>
      </c>
      <c r="K2418" s="9">
        <f>TEXT(TIMEVALUE(I2417)-TIMEVALUE(H2416)+(I2417&lt;H2416),"[h]:mm")</f>
        <v/>
      </c>
    </row>
    <row r="2420">
      <c r="B2420" s="3" t="inlineStr">
        <is>
          <t>Pairing ID</t>
        </is>
      </c>
      <c r="C2420" s="3" t="inlineStr">
        <is>
          <t>FECHA REAL</t>
        </is>
      </c>
      <c r="D2420" s="3" t="inlineStr">
        <is>
          <t>Day of Week</t>
        </is>
      </c>
      <c r="E2420" s="3" t="inlineStr">
        <is>
          <t>Flight No</t>
        </is>
      </c>
      <c r="F2420" s="3" t="inlineStr">
        <is>
          <t>Dep Stn</t>
        </is>
      </c>
      <c r="G2420" s="3" t="inlineStr">
        <is>
          <t>Arr Stn</t>
        </is>
      </c>
      <c r="H2420" s="3" t="inlineStr">
        <is>
          <t>STD</t>
        </is>
      </c>
      <c r="I2420" s="3" t="inlineStr">
        <is>
          <t>STA</t>
        </is>
      </c>
      <c r="J2420" s="3" t="inlineStr">
        <is>
          <t>subflota</t>
        </is>
      </c>
      <c r="K2420" s="3" t="inlineStr">
        <is>
          <t>Conexion</t>
        </is>
      </c>
      <c r="L2420" s="3" t="inlineStr">
        <is>
          <t>HBT</t>
        </is>
      </c>
    </row>
    <row r="2421">
      <c r="B2421" s="4" t="n">
        <v>2340</v>
      </c>
      <c r="C2421" s="4" t="inlineStr">
        <is>
          <t>27/09/2026</t>
        </is>
      </c>
      <c r="D2421" s="4" t="inlineStr">
        <is>
          <t>domingo</t>
        </is>
      </c>
      <c r="E2421" s="4" t="n">
        <v>2356</v>
      </c>
      <c r="F2421" s="4" t="inlineStr">
        <is>
          <t>LIM</t>
        </is>
      </c>
      <c r="G2421" s="4" t="inlineStr">
        <is>
          <t>CUZ</t>
        </is>
      </c>
      <c r="H2421" s="4" t="inlineStr">
        <is>
          <t>12:10:00</t>
        </is>
      </c>
      <c r="I2421" s="4" t="inlineStr">
        <is>
          <t>13:35:00</t>
        </is>
      </c>
      <c r="J2421" s="4" t="n">
        <v>320</v>
      </c>
      <c r="L2421" s="4" t="inlineStr">
        <is>
          <t>01:25:00</t>
        </is>
      </c>
      <c r="M2421" s="5" t="n"/>
      <c r="N2421" s="6" t="n"/>
      <c r="O2421" s="5" t="n"/>
      <c r="Q2421" s="4">
        <f>B2421</f>
        <v/>
      </c>
      <c r="R2421" s="4">
        <f>C2421</f>
        <v/>
      </c>
      <c r="S2421" s="4">
        <f>D2421</f>
        <v/>
      </c>
      <c r="T2421" s="4">
        <f>E2421&amp;"/"&amp;E2422</f>
        <v/>
      </c>
      <c r="U2421" s="4">
        <f>F2421&amp;"-"&amp;G2421&amp;"-"&amp;F2421</f>
        <v/>
      </c>
      <c r="V2421" s="4">
        <f>IF($M$2421="","",$M$2421)</f>
        <v/>
      </c>
      <c r="W2421" s="4">
        <f>IF($O$2421="","",$O$2421)</f>
        <v/>
      </c>
      <c r="X2421" s="4">
        <f>J2421</f>
        <v/>
      </c>
    </row>
    <row r="2422">
      <c r="B2422" s="4" t="n">
        <v>2340</v>
      </c>
      <c r="C2422" s="4" t="inlineStr">
        <is>
          <t>27/09/2026</t>
        </is>
      </c>
      <c r="D2422" s="4" t="inlineStr">
        <is>
          <t>domingo</t>
        </is>
      </c>
      <c r="E2422" s="4" t="n">
        <v>2357</v>
      </c>
      <c r="F2422" s="4" t="inlineStr">
        <is>
          <t>CUZ</t>
        </is>
      </c>
      <c r="G2422" s="4" t="inlineStr">
        <is>
          <t>LIM</t>
        </is>
      </c>
      <c r="H2422" s="4" t="inlineStr">
        <is>
          <t>14:15:00</t>
        </is>
      </c>
      <c r="I2422" s="4" t="inlineStr">
        <is>
          <t>15:50:00</t>
        </is>
      </c>
      <c r="J2422" s="4" t="n">
        <v>320</v>
      </c>
      <c r="K2422">
        <f>TEXT(TIMEVALUE(H2422)-TIMEVALUE(I2421)+(TIMEVALUE(H2422)&lt;TIMEVALUE(I2421)),"[h]:mm")</f>
        <v/>
      </c>
      <c r="L2422" s="4" t="inlineStr">
        <is>
          <t>01:35:00</t>
        </is>
      </c>
      <c r="O2422">
        <f>"LIM-"&amp;G2421&amp;"-LIM   LA "&amp;E2421&amp;" ("&amp;LEFT(H2421,5)&amp;"-"&amp;LEFT(I2421,5)&amp;" hrs)  /  LA "&amp;E2422&amp;" ("&amp;LEFT(H2422,5)&amp;"-"&amp;LEFT(I2422,5)&amp;" hrs)"</f>
        <v/>
      </c>
    </row>
    <row r="2423">
      <c r="J2423" s="8" t="inlineStr">
        <is>
          <t>PSV total:</t>
        </is>
      </c>
      <c r="K2423" s="9">
        <f>TEXT(TIMEVALUE(I2422)-TIMEVALUE(H2421)+(I2422&lt;H2421),"[h]:mm")</f>
        <v/>
      </c>
    </row>
    <row r="2425">
      <c r="B2425" s="3" t="inlineStr">
        <is>
          <t>Pairing ID</t>
        </is>
      </c>
      <c r="C2425" s="3" t="inlineStr">
        <is>
          <t>FECHA REAL</t>
        </is>
      </c>
      <c r="D2425" s="3" t="inlineStr">
        <is>
          <t>Day of Week</t>
        </is>
      </c>
      <c r="E2425" s="3" t="inlineStr">
        <is>
          <t>Flight No</t>
        </is>
      </c>
      <c r="F2425" s="3" t="inlineStr">
        <is>
          <t>Dep Stn</t>
        </is>
      </c>
      <c r="G2425" s="3" t="inlineStr">
        <is>
          <t>Arr Stn</t>
        </is>
      </c>
      <c r="H2425" s="3" t="inlineStr">
        <is>
          <t>STD</t>
        </is>
      </c>
      <c r="I2425" s="3" t="inlineStr">
        <is>
          <t>STA</t>
        </is>
      </c>
      <c r="J2425" s="3" t="inlineStr">
        <is>
          <t>subflota</t>
        </is>
      </c>
      <c r="K2425" s="3" t="inlineStr">
        <is>
          <t>Conexion</t>
        </is>
      </c>
      <c r="L2425" s="3" t="inlineStr">
        <is>
          <t>HBT</t>
        </is>
      </c>
    </row>
    <row r="2426">
      <c r="B2426" s="4" t="n">
        <v>2351</v>
      </c>
      <c r="C2426" s="4" t="inlineStr">
        <is>
          <t>27/09/2026</t>
        </is>
      </c>
      <c r="D2426" s="4" t="inlineStr">
        <is>
          <t>domingo</t>
        </is>
      </c>
      <c r="E2426" s="4" t="n">
        <v>2282</v>
      </c>
      <c r="F2426" s="4" t="inlineStr">
        <is>
          <t>LIM</t>
        </is>
      </c>
      <c r="G2426" s="4" t="inlineStr">
        <is>
          <t>CIX</t>
        </is>
      </c>
      <c r="H2426" s="4" t="inlineStr">
        <is>
          <t>14:35:00</t>
        </is>
      </c>
      <c r="I2426" s="4" t="inlineStr">
        <is>
          <t>16:05:00</t>
        </is>
      </c>
      <c r="J2426" s="4" t="n">
        <v>319</v>
      </c>
      <c r="L2426" s="4" t="inlineStr">
        <is>
          <t>01:30:00</t>
        </is>
      </c>
      <c r="M2426" s="5" t="n"/>
      <c r="N2426" s="6" t="n"/>
      <c r="O2426" s="5" t="n"/>
      <c r="Q2426" s="4">
        <f>B2426</f>
        <v/>
      </c>
      <c r="R2426" s="4">
        <f>C2426</f>
        <v/>
      </c>
      <c r="S2426" s="4">
        <f>D2426</f>
        <v/>
      </c>
      <c r="T2426" s="4">
        <f>E2426&amp;"/"&amp;E2427</f>
        <v/>
      </c>
      <c r="U2426" s="4">
        <f>F2426&amp;"-"&amp;G2426&amp;"-"&amp;F2426</f>
        <v/>
      </c>
      <c r="V2426" s="4">
        <f>IF($M$2426="","",$M$2426)</f>
        <v/>
      </c>
      <c r="W2426" s="4">
        <f>IF($O$2426="","",$O$2426)</f>
        <v/>
      </c>
      <c r="X2426" s="4">
        <f>J2426</f>
        <v/>
      </c>
    </row>
    <row r="2427">
      <c r="B2427" s="4" t="n">
        <v>2351</v>
      </c>
      <c r="C2427" s="4" t="inlineStr">
        <is>
          <t>27/09/2026</t>
        </is>
      </c>
      <c r="D2427" s="4" t="inlineStr">
        <is>
          <t>domingo</t>
        </is>
      </c>
      <c r="E2427" s="4" t="n">
        <v>2283</v>
      </c>
      <c r="F2427" s="4" t="inlineStr">
        <is>
          <t>CIX</t>
        </is>
      </c>
      <c r="G2427" s="4" t="inlineStr">
        <is>
          <t>LIM</t>
        </is>
      </c>
      <c r="H2427" s="4" t="inlineStr">
        <is>
          <t>16:50:00</t>
        </is>
      </c>
      <c r="I2427" s="4" t="inlineStr">
        <is>
          <t>18:10:00</t>
        </is>
      </c>
      <c r="J2427" s="4" t="n">
        <v>319</v>
      </c>
      <c r="K2427">
        <f>TEXT(TIMEVALUE(H2427)-TIMEVALUE(I2426)+(TIMEVALUE(H2427)&lt;TIMEVALUE(I2426)),"[h]:mm")</f>
        <v/>
      </c>
      <c r="L2427" s="4" t="inlineStr">
        <is>
          <t>01:20:00</t>
        </is>
      </c>
      <c r="O2427">
        <f>"LIM-"&amp;G2426&amp;"-LIM   LA "&amp;E2426&amp;" ("&amp;LEFT(H2426,5)&amp;"-"&amp;LEFT(I2426,5)&amp;" hrs)  /  LA "&amp;E2427&amp;" ("&amp;LEFT(H2427,5)&amp;"-"&amp;LEFT(I2427,5)&amp;" hrs)"</f>
        <v/>
      </c>
    </row>
    <row r="2428">
      <c r="J2428" s="8" t="inlineStr">
        <is>
          <t>PSV total:</t>
        </is>
      </c>
      <c r="K2428" s="9">
        <f>TEXT(TIMEVALUE(I2427)-TIMEVALUE(H2426)+(I2427&lt;H2426),"[h]:mm")</f>
        <v/>
      </c>
    </row>
    <row r="2430">
      <c r="B2430" s="3" t="inlineStr">
        <is>
          <t>Pairing ID</t>
        </is>
      </c>
      <c r="C2430" s="3" t="inlineStr">
        <is>
          <t>FECHA REAL</t>
        </is>
      </c>
      <c r="D2430" s="3" t="inlineStr">
        <is>
          <t>Day of Week</t>
        </is>
      </c>
      <c r="E2430" s="3" t="inlineStr">
        <is>
          <t>Flight No</t>
        </is>
      </c>
      <c r="F2430" s="3" t="inlineStr">
        <is>
          <t>Dep Stn</t>
        </is>
      </c>
      <c r="G2430" s="3" t="inlineStr">
        <is>
          <t>Arr Stn</t>
        </is>
      </c>
      <c r="H2430" s="3" t="inlineStr">
        <is>
          <t>STD</t>
        </is>
      </c>
      <c r="I2430" s="3" t="inlineStr">
        <is>
          <t>STA</t>
        </is>
      </c>
      <c r="J2430" s="3" t="inlineStr">
        <is>
          <t>subflota</t>
        </is>
      </c>
      <c r="K2430" s="3" t="inlineStr">
        <is>
          <t>Conexion</t>
        </is>
      </c>
      <c r="L2430" s="3" t="inlineStr">
        <is>
          <t>HBT</t>
        </is>
      </c>
    </row>
    <row r="2431">
      <c r="B2431" s="4" t="n">
        <v>2353</v>
      </c>
      <c r="C2431" s="4" t="inlineStr">
        <is>
          <t>27/09/2026</t>
        </is>
      </c>
      <c r="D2431" s="4" t="inlineStr">
        <is>
          <t>domingo</t>
        </is>
      </c>
      <c r="E2431" s="4" t="n">
        <v>2248</v>
      </c>
      <c r="F2431" s="4" t="inlineStr">
        <is>
          <t>LIM</t>
        </is>
      </c>
      <c r="G2431" s="4" t="inlineStr">
        <is>
          <t>CUZ</t>
        </is>
      </c>
      <c r="H2431" s="4" t="inlineStr">
        <is>
          <t>15:00:00</t>
        </is>
      </c>
      <c r="I2431" s="4" t="inlineStr">
        <is>
          <t>16:20:00</t>
        </is>
      </c>
      <c r="J2431" s="4" t="n">
        <v>320</v>
      </c>
      <c r="L2431" s="4" t="inlineStr">
        <is>
          <t>01:20:00</t>
        </is>
      </c>
      <c r="M2431" s="5" t="n"/>
      <c r="N2431" s="6" t="n"/>
      <c r="O2431" s="5" t="n"/>
      <c r="Q2431" s="4">
        <f>B2431</f>
        <v/>
      </c>
      <c r="R2431" s="4">
        <f>C2431</f>
        <v/>
      </c>
      <c r="S2431" s="4">
        <f>D2431</f>
        <v/>
      </c>
      <c r="T2431" s="4">
        <f>E2431&amp;"/"&amp;E2432</f>
        <v/>
      </c>
      <c r="U2431" s="4">
        <f>F2431&amp;"-"&amp;G2431&amp;"-"&amp;F2431</f>
        <v/>
      </c>
      <c r="V2431" s="4">
        <f>IF($M$2431="","",$M$2431)</f>
        <v/>
      </c>
      <c r="W2431" s="4">
        <f>IF($O$2431="","",$O$2431)</f>
        <v/>
      </c>
      <c r="X2431" s="4">
        <f>J2431</f>
        <v/>
      </c>
    </row>
    <row r="2432">
      <c r="B2432" s="4" t="n">
        <v>2353</v>
      </c>
      <c r="C2432" s="4" t="inlineStr">
        <is>
          <t>27/09/2026</t>
        </is>
      </c>
      <c r="D2432" s="4" t="inlineStr">
        <is>
          <t>domingo</t>
        </is>
      </c>
      <c r="E2432" s="4" t="n">
        <v>2025</v>
      </c>
      <c r="F2432" s="4" t="inlineStr">
        <is>
          <t>CUZ</t>
        </is>
      </c>
      <c r="G2432" s="4" t="inlineStr">
        <is>
          <t>LIM</t>
        </is>
      </c>
      <c r="H2432" s="4" t="inlineStr">
        <is>
          <t>16:55:00</t>
        </is>
      </c>
      <c r="I2432" s="4" t="inlineStr">
        <is>
          <t>18:30:00</t>
        </is>
      </c>
      <c r="J2432" s="4" t="n">
        <v>320</v>
      </c>
      <c r="K2432">
        <f>TEXT(TIMEVALUE(H2432)-TIMEVALUE(I2431)+(TIMEVALUE(H2432)&lt;TIMEVALUE(I2431)),"[h]:mm")</f>
        <v/>
      </c>
      <c r="L2432" s="4" t="inlineStr">
        <is>
          <t>01:35:00</t>
        </is>
      </c>
      <c r="O2432">
        <f>"LIM-"&amp;G2431&amp;"-LIM   LA "&amp;E2431&amp;" ("&amp;LEFT(H2431,5)&amp;"-"&amp;LEFT(I2431,5)&amp;" hrs)  /  LA "&amp;E2432&amp;" ("&amp;LEFT(H2432,5)&amp;"-"&amp;LEFT(I2432,5)&amp;" hrs)"</f>
        <v/>
      </c>
    </row>
    <row r="2433">
      <c r="J2433" s="8" t="inlineStr">
        <is>
          <t>PSV total:</t>
        </is>
      </c>
      <c r="K2433" s="9">
        <f>TEXT(TIMEVALUE(I2432)-TIMEVALUE(H2431)+(I2432&lt;H2431),"[h]:mm")</f>
        <v/>
      </c>
    </row>
    <row r="2435">
      <c r="B2435" s="3" t="inlineStr">
        <is>
          <t>Pairing ID</t>
        </is>
      </c>
      <c r="C2435" s="3" t="inlineStr">
        <is>
          <t>FECHA REAL</t>
        </is>
      </c>
      <c r="D2435" s="3" t="inlineStr">
        <is>
          <t>Day of Week</t>
        </is>
      </c>
      <c r="E2435" s="3" t="inlineStr">
        <is>
          <t>Flight No</t>
        </is>
      </c>
      <c r="F2435" s="3" t="inlineStr">
        <is>
          <t>Dep Stn</t>
        </is>
      </c>
      <c r="G2435" s="3" t="inlineStr">
        <is>
          <t>Arr Stn</t>
        </is>
      </c>
      <c r="H2435" s="3" t="inlineStr">
        <is>
          <t>STD</t>
        </is>
      </c>
      <c r="I2435" s="3" t="inlineStr">
        <is>
          <t>STA</t>
        </is>
      </c>
      <c r="J2435" s="3" t="inlineStr">
        <is>
          <t>subflota</t>
        </is>
      </c>
      <c r="K2435" s="3" t="inlineStr">
        <is>
          <t>Conexion</t>
        </is>
      </c>
      <c r="L2435" s="3" t="inlineStr">
        <is>
          <t>HBT</t>
        </is>
      </c>
    </row>
    <row r="2436">
      <c r="B2436" s="4" t="n">
        <v>2354</v>
      </c>
      <c r="C2436" s="4" t="inlineStr">
        <is>
          <t>27/09/2026</t>
        </is>
      </c>
      <c r="D2436" s="4" t="inlineStr">
        <is>
          <t>domingo</t>
        </is>
      </c>
      <c r="E2436" s="4" t="n">
        <v>2338</v>
      </c>
      <c r="F2436" s="4" t="inlineStr">
        <is>
          <t>LIM</t>
        </is>
      </c>
      <c r="G2436" s="4" t="inlineStr">
        <is>
          <t>PIU</t>
        </is>
      </c>
      <c r="H2436" s="4" t="inlineStr">
        <is>
          <t>15:00:00</t>
        </is>
      </c>
      <c r="I2436" s="4" t="inlineStr">
        <is>
          <t>16:45:00</t>
        </is>
      </c>
      <c r="J2436" s="4" t="n">
        <v>320</v>
      </c>
      <c r="L2436" s="4" t="inlineStr">
        <is>
          <t>01:45:00</t>
        </is>
      </c>
      <c r="M2436" s="5" t="n"/>
      <c r="N2436" s="6" t="n"/>
      <c r="O2436" s="5" t="n"/>
      <c r="Q2436" s="4">
        <f>B2436</f>
        <v/>
      </c>
      <c r="R2436" s="4">
        <f>C2436</f>
        <v/>
      </c>
      <c r="S2436" s="4">
        <f>D2436</f>
        <v/>
      </c>
      <c r="T2436" s="4">
        <f>E2436&amp;"/"&amp;E2437</f>
        <v/>
      </c>
      <c r="U2436" s="4">
        <f>F2436&amp;"-"&amp;G2436&amp;"-"&amp;F2436</f>
        <v/>
      </c>
      <c r="V2436" s="4">
        <f>IF($M$2436="","",$M$2436)</f>
        <v/>
      </c>
      <c r="W2436" s="4">
        <f>IF($O$2436="","",$O$2436)</f>
        <v/>
      </c>
      <c r="X2436" s="4">
        <f>J2436</f>
        <v/>
      </c>
    </row>
    <row r="2437">
      <c r="B2437" s="4" t="n">
        <v>2354</v>
      </c>
      <c r="C2437" s="4" t="inlineStr">
        <is>
          <t>27/09/2026</t>
        </is>
      </c>
      <c r="D2437" s="4" t="inlineStr">
        <is>
          <t>domingo</t>
        </is>
      </c>
      <c r="E2437" s="4" t="n">
        <v>2339</v>
      </c>
      <c r="F2437" s="4" t="inlineStr">
        <is>
          <t>PIU</t>
        </is>
      </c>
      <c r="G2437" s="4" t="inlineStr">
        <is>
          <t>LIM</t>
        </is>
      </c>
      <c r="H2437" s="4" t="inlineStr">
        <is>
          <t>17:20:00</t>
        </is>
      </c>
      <c r="I2437" s="4" t="inlineStr">
        <is>
          <t>18:50:00</t>
        </is>
      </c>
      <c r="J2437" s="4" t="n">
        <v>320</v>
      </c>
      <c r="K2437">
        <f>TEXT(TIMEVALUE(H2437)-TIMEVALUE(I2436)+(TIMEVALUE(H2437)&lt;TIMEVALUE(I2436)),"[h]:mm")</f>
        <v/>
      </c>
      <c r="L2437" s="4" t="inlineStr">
        <is>
          <t>01:30:00</t>
        </is>
      </c>
      <c r="O2437">
        <f>"LIM-"&amp;G2436&amp;"-LIM   LA "&amp;E2436&amp;" ("&amp;LEFT(H2436,5)&amp;"-"&amp;LEFT(I2436,5)&amp;" hrs)  /  LA "&amp;E2437&amp;" ("&amp;LEFT(H2437,5)&amp;"-"&amp;LEFT(I2437,5)&amp;" hrs)"</f>
        <v/>
      </c>
    </row>
    <row r="2438">
      <c r="J2438" s="8" t="inlineStr">
        <is>
          <t>PSV total:</t>
        </is>
      </c>
      <c r="K2438" s="9">
        <f>TEXT(TIMEVALUE(I2437)-TIMEVALUE(H2436)+(I2437&lt;H2436),"[h]:mm")</f>
        <v/>
      </c>
    </row>
    <row r="2440">
      <c r="B2440" s="3" t="inlineStr">
        <is>
          <t>Pairing ID</t>
        </is>
      </c>
      <c r="C2440" s="3" t="inlineStr">
        <is>
          <t>FECHA REAL</t>
        </is>
      </c>
      <c r="D2440" s="3" t="inlineStr">
        <is>
          <t>Day of Week</t>
        </is>
      </c>
      <c r="E2440" s="3" t="inlineStr">
        <is>
          <t>Flight No</t>
        </is>
      </c>
      <c r="F2440" s="3" t="inlineStr">
        <is>
          <t>Dep Stn</t>
        </is>
      </c>
      <c r="G2440" s="3" t="inlineStr">
        <is>
          <t>Arr Stn</t>
        </is>
      </c>
      <c r="H2440" s="3" t="inlineStr">
        <is>
          <t>STD</t>
        </is>
      </c>
      <c r="I2440" s="3" t="inlineStr">
        <is>
          <t>STA</t>
        </is>
      </c>
      <c r="J2440" s="3" t="inlineStr">
        <is>
          <t>subflota</t>
        </is>
      </c>
      <c r="K2440" s="3" t="inlineStr">
        <is>
          <t>Conexion</t>
        </is>
      </c>
      <c r="L2440" s="3" t="inlineStr">
        <is>
          <t>HBT</t>
        </is>
      </c>
    </row>
    <row r="2441">
      <c r="B2441" s="4" t="n">
        <v>2355</v>
      </c>
      <c r="C2441" s="4" t="inlineStr">
        <is>
          <t>27/09/2026</t>
        </is>
      </c>
      <c r="D2441" s="4" t="inlineStr">
        <is>
          <t>domingo</t>
        </is>
      </c>
      <c r="E2441" s="4" t="n">
        <v>2113</v>
      </c>
      <c r="F2441" s="4" t="inlineStr">
        <is>
          <t>LIM</t>
        </is>
      </c>
      <c r="G2441" s="4" t="inlineStr">
        <is>
          <t>AQP</t>
        </is>
      </c>
      <c r="H2441" s="4" t="inlineStr">
        <is>
          <t>15:05:00</t>
        </is>
      </c>
      <c r="I2441" s="4" t="inlineStr">
        <is>
          <t>16:35:00</t>
        </is>
      </c>
      <c r="J2441" s="4" t="n">
        <v>320</v>
      </c>
      <c r="L2441" s="4" t="inlineStr">
        <is>
          <t>01:30:00</t>
        </is>
      </c>
      <c r="M2441" s="5" t="n"/>
      <c r="N2441" s="6" t="n"/>
      <c r="O2441" s="5" t="n"/>
      <c r="Q2441" s="4">
        <f>B2441</f>
        <v/>
      </c>
      <c r="R2441" s="4">
        <f>C2441</f>
        <v/>
      </c>
      <c r="S2441" s="4">
        <f>D2441</f>
        <v/>
      </c>
      <c r="T2441" s="4">
        <f>E2441&amp;"/"&amp;E2442</f>
        <v/>
      </c>
      <c r="U2441" s="4">
        <f>F2441&amp;"-"&amp;G2441&amp;"-"&amp;F2441</f>
        <v/>
      </c>
      <c r="V2441" s="4">
        <f>IF($M$2441="","",$M$2441)</f>
        <v/>
      </c>
      <c r="W2441" s="4">
        <f>IF($O$2441="","",$O$2441)</f>
        <v/>
      </c>
      <c r="X2441" s="4">
        <f>J2441</f>
        <v/>
      </c>
    </row>
    <row r="2442">
      <c r="B2442" s="4" t="n">
        <v>2355</v>
      </c>
      <c r="C2442" s="4" t="inlineStr">
        <is>
          <t>27/09/2026</t>
        </is>
      </c>
      <c r="D2442" s="4" t="inlineStr">
        <is>
          <t>domingo</t>
        </is>
      </c>
      <c r="E2442" s="4" t="n">
        <v>2112</v>
      </c>
      <c r="F2442" s="4" t="inlineStr">
        <is>
          <t>AQP</t>
        </is>
      </c>
      <c r="G2442" s="4" t="inlineStr">
        <is>
          <t>LIM</t>
        </is>
      </c>
      <c r="H2442" s="4" t="inlineStr">
        <is>
          <t>17:15:00</t>
        </is>
      </c>
      <c r="I2442" s="4" t="inlineStr">
        <is>
          <t>18:55:00</t>
        </is>
      </c>
      <c r="J2442" s="4" t="n">
        <v>320</v>
      </c>
      <c r="K2442">
        <f>TEXT(TIMEVALUE(H2442)-TIMEVALUE(I2441)+(TIMEVALUE(H2442)&lt;TIMEVALUE(I2441)),"[h]:mm")</f>
        <v/>
      </c>
      <c r="L2442" s="4" t="inlineStr">
        <is>
          <t>01:40:00</t>
        </is>
      </c>
      <c r="O2442">
        <f>"LIM-"&amp;G2441&amp;"-LIM   LA "&amp;E2441&amp;" ("&amp;LEFT(H2441,5)&amp;"-"&amp;LEFT(I2441,5)&amp;" hrs)  /  LA "&amp;E2442&amp;" ("&amp;LEFT(H2442,5)&amp;"-"&amp;LEFT(I2442,5)&amp;" hrs)"</f>
        <v/>
      </c>
    </row>
    <row r="2443">
      <c r="J2443" s="8" t="inlineStr">
        <is>
          <t>PSV total:</t>
        </is>
      </c>
      <c r="K2443" s="9">
        <f>TEXT(TIMEVALUE(I2442)-TIMEVALUE(H2441)+(I2442&lt;H2441),"[h]:mm")</f>
        <v/>
      </c>
    </row>
    <row r="2445">
      <c r="B2445" s="3" t="inlineStr">
        <is>
          <t>Pairing ID</t>
        </is>
      </c>
      <c r="C2445" s="3" t="inlineStr">
        <is>
          <t>FECHA REAL</t>
        </is>
      </c>
      <c r="D2445" s="3" t="inlineStr">
        <is>
          <t>Day of Week</t>
        </is>
      </c>
      <c r="E2445" s="3" t="inlineStr">
        <is>
          <t>Flight No</t>
        </is>
      </c>
      <c r="F2445" s="3" t="inlineStr">
        <is>
          <t>Dep Stn</t>
        </is>
      </c>
      <c r="G2445" s="3" t="inlineStr">
        <is>
          <t>Arr Stn</t>
        </is>
      </c>
      <c r="H2445" s="3" t="inlineStr">
        <is>
          <t>STD</t>
        </is>
      </c>
      <c r="I2445" s="3" t="inlineStr">
        <is>
          <t>STA</t>
        </is>
      </c>
      <c r="J2445" s="3" t="inlineStr">
        <is>
          <t>subflota</t>
        </is>
      </c>
      <c r="K2445" s="3" t="inlineStr">
        <is>
          <t>Conexion</t>
        </is>
      </c>
      <c r="L2445" s="3" t="inlineStr">
        <is>
          <t>HBT</t>
        </is>
      </c>
    </row>
    <row r="2446">
      <c r="B2446" s="4" t="n">
        <v>2357</v>
      </c>
      <c r="C2446" s="4" t="inlineStr">
        <is>
          <t>27/09/2026</t>
        </is>
      </c>
      <c r="D2446" s="4" t="inlineStr">
        <is>
          <t>domingo</t>
        </is>
      </c>
      <c r="E2446" s="4" t="n">
        <v>2297</v>
      </c>
      <c r="F2446" s="4" t="inlineStr">
        <is>
          <t>LIM</t>
        </is>
      </c>
      <c r="G2446" s="4" t="inlineStr">
        <is>
          <t>CJA</t>
        </is>
      </c>
      <c r="H2446" s="4" t="inlineStr">
        <is>
          <t>15:15:00</t>
        </is>
      </c>
      <c r="I2446" s="4" t="inlineStr">
        <is>
          <t>16:35:00</t>
        </is>
      </c>
      <c r="J2446" s="4" t="n">
        <v>320</v>
      </c>
      <c r="L2446" s="4" t="inlineStr">
        <is>
          <t>01:20:00</t>
        </is>
      </c>
      <c r="M2446" s="5" t="n"/>
      <c r="N2446" s="6" t="n"/>
      <c r="O2446" s="5" t="n"/>
      <c r="Q2446" s="4">
        <f>B2446</f>
        <v/>
      </c>
      <c r="R2446" s="4">
        <f>C2446</f>
        <v/>
      </c>
      <c r="S2446" s="4">
        <f>D2446</f>
        <v/>
      </c>
      <c r="T2446" s="4">
        <f>E2446&amp;"/"&amp;E2447</f>
        <v/>
      </c>
      <c r="U2446" s="4">
        <f>F2446&amp;"-"&amp;G2446&amp;"-"&amp;F2446</f>
        <v/>
      </c>
      <c r="V2446" s="4">
        <f>IF($M$2446="","",$M$2446)</f>
        <v/>
      </c>
      <c r="W2446" s="4">
        <f>IF($O$2446="","",$O$2446)</f>
        <v/>
      </c>
      <c r="X2446" s="4">
        <f>J2446</f>
        <v/>
      </c>
    </row>
    <row r="2447">
      <c r="B2447" s="4" t="n">
        <v>2357</v>
      </c>
      <c r="C2447" s="4" t="inlineStr">
        <is>
          <t>27/09/2026</t>
        </is>
      </c>
      <c r="D2447" s="4" t="inlineStr">
        <is>
          <t>domingo</t>
        </is>
      </c>
      <c r="E2447" s="4" t="n">
        <v>2296</v>
      </c>
      <c r="F2447" s="4" t="inlineStr">
        <is>
          <t>CJA</t>
        </is>
      </c>
      <c r="G2447" s="4" t="inlineStr">
        <is>
          <t>LIM</t>
        </is>
      </c>
      <c r="H2447" s="4" t="inlineStr">
        <is>
          <t>17:20:00</t>
        </is>
      </c>
      <c r="I2447" s="4" t="inlineStr">
        <is>
          <t>18:25:00</t>
        </is>
      </c>
      <c r="J2447" s="4" t="n">
        <v>320</v>
      </c>
      <c r="K2447">
        <f>TEXT(TIMEVALUE(H2447)-TIMEVALUE(I2446)+(TIMEVALUE(H2447)&lt;TIMEVALUE(I2446)),"[h]:mm")</f>
        <v/>
      </c>
      <c r="L2447" s="4" t="inlineStr">
        <is>
          <t>01:05:00</t>
        </is>
      </c>
      <c r="O2447">
        <f>"LIM-"&amp;G2446&amp;"-LIM   LA "&amp;E2446&amp;" ("&amp;LEFT(H2446,5)&amp;"-"&amp;LEFT(I2446,5)&amp;" hrs)  /  LA "&amp;E2447&amp;" ("&amp;LEFT(H2447,5)&amp;"-"&amp;LEFT(I2447,5)&amp;" hrs)"</f>
        <v/>
      </c>
    </row>
    <row r="2448">
      <c r="J2448" s="8" t="inlineStr">
        <is>
          <t>PSV total:</t>
        </is>
      </c>
      <c r="K2448" s="9">
        <f>TEXT(TIMEVALUE(I2447)-TIMEVALUE(H2446)+(I2447&lt;H2446),"[h]:mm")</f>
        <v/>
      </c>
    </row>
    <row r="2450">
      <c r="B2450" s="3" t="inlineStr">
        <is>
          <t>Pairing ID</t>
        </is>
      </c>
      <c r="C2450" s="3" t="inlineStr">
        <is>
          <t>FECHA REAL</t>
        </is>
      </c>
      <c r="D2450" s="3" t="inlineStr">
        <is>
          <t>Day of Week</t>
        </is>
      </c>
      <c r="E2450" s="3" t="inlineStr">
        <is>
          <t>Flight No</t>
        </is>
      </c>
      <c r="F2450" s="3" t="inlineStr">
        <is>
          <t>Dep Stn</t>
        </is>
      </c>
      <c r="G2450" s="3" t="inlineStr">
        <is>
          <t>Arr Stn</t>
        </is>
      </c>
      <c r="H2450" s="3" t="inlineStr">
        <is>
          <t>STD</t>
        </is>
      </c>
      <c r="I2450" s="3" t="inlineStr">
        <is>
          <t>STA</t>
        </is>
      </c>
      <c r="J2450" s="3" t="inlineStr">
        <is>
          <t>subflota</t>
        </is>
      </c>
      <c r="K2450" s="3" t="inlineStr">
        <is>
          <t>Conexion</t>
        </is>
      </c>
      <c r="L2450" s="3" t="inlineStr">
        <is>
          <t>HBT</t>
        </is>
      </c>
    </row>
    <row r="2451">
      <c r="B2451" s="4" t="n">
        <v>2358</v>
      </c>
      <c r="C2451" s="4" t="inlineStr">
        <is>
          <t>27/09/2026</t>
        </is>
      </c>
      <c r="D2451" s="4" t="inlineStr">
        <is>
          <t>domingo</t>
        </is>
      </c>
      <c r="E2451" s="4" t="n">
        <v>2297</v>
      </c>
      <c r="F2451" s="4" t="inlineStr">
        <is>
          <t>LIM</t>
        </is>
      </c>
      <c r="G2451" s="4" t="inlineStr">
        <is>
          <t>CJA</t>
        </is>
      </c>
      <c r="H2451" s="4" t="inlineStr">
        <is>
          <t>15:15:00</t>
        </is>
      </c>
      <c r="I2451" s="4" t="inlineStr">
        <is>
          <t>16:35:00</t>
        </is>
      </c>
      <c r="J2451" s="4" t="n">
        <v>320</v>
      </c>
      <c r="L2451" s="4" t="inlineStr">
        <is>
          <t>01:20:00</t>
        </is>
      </c>
      <c r="M2451" s="5" t="n"/>
      <c r="N2451" s="6" t="n"/>
      <c r="O2451" s="5" t="n"/>
      <c r="Q2451" s="4">
        <f>B2451</f>
        <v/>
      </c>
      <c r="R2451" s="4">
        <f>C2451</f>
        <v/>
      </c>
      <c r="S2451" s="4">
        <f>D2451</f>
        <v/>
      </c>
      <c r="T2451" s="4">
        <f>E2451&amp;"/"&amp;E2452</f>
        <v/>
      </c>
      <c r="U2451" s="4">
        <f>F2451&amp;"-"&amp;G2451&amp;"-"&amp;F2451</f>
        <v/>
      </c>
      <c r="V2451" s="4">
        <f>IF($M$2451="","",$M$2451)</f>
        <v/>
      </c>
      <c r="W2451" s="4">
        <f>IF($O$2451="","",$O$2451)</f>
        <v/>
      </c>
      <c r="X2451" s="4">
        <f>J2451</f>
        <v/>
      </c>
    </row>
    <row r="2452">
      <c r="B2452" s="4" t="n">
        <v>2358</v>
      </c>
      <c r="C2452" s="4" t="inlineStr">
        <is>
          <t>27/09/2026</t>
        </is>
      </c>
      <c r="D2452" s="4" t="inlineStr">
        <is>
          <t>domingo</t>
        </is>
      </c>
      <c r="E2452" s="4" t="n">
        <v>2296</v>
      </c>
      <c r="F2452" s="4" t="inlineStr">
        <is>
          <t>CJA</t>
        </is>
      </c>
      <c r="G2452" s="4" t="inlineStr">
        <is>
          <t>LIM</t>
        </is>
      </c>
      <c r="H2452" s="4" t="inlineStr">
        <is>
          <t>17:20:00</t>
        </is>
      </c>
      <c r="I2452" s="4" t="inlineStr">
        <is>
          <t>18:25:00</t>
        </is>
      </c>
      <c r="J2452" s="4" t="n">
        <v>320</v>
      </c>
      <c r="K2452">
        <f>TEXT(TIMEVALUE(H2452)-TIMEVALUE(I2451)+(TIMEVALUE(H2452)&lt;TIMEVALUE(I2451)),"[h]:mm")</f>
        <v/>
      </c>
      <c r="L2452" s="4" t="inlineStr">
        <is>
          <t>01:05:00</t>
        </is>
      </c>
      <c r="O2452">
        <f>"LIM-"&amp;G2451&amp;"-LIM   LA "&amp;E2451&amp;" ("&amp;LEFT(H2451,5)&amp;"-"&amp;LEFT(I2451,5)&amp;" hrs)  /  LA "&amp;E2452&amp;" ("&amp;LEFT(H2452,5)&amp;"-"&amp;LEFT(I2452,5)&amp;" hrs)"</f>
        <v/>
      </c>
    </row>
    <row r="2453">
      <c r="J2453" s="8" t="inlineStr">
        <is>
          <t>PSV total:</t>
        </is>
      </c>
      <c r="K2453" s="9">
        <f>TEXT(TIMEVALUE(I2452)-TIMEVALUE(H2451)+(I2452&lt;H2451),"[h]:mm")</f>
        <v/>
      </c>
    </row>
    <row r="2455">
      <c r="B2455" s="3" t="inlineStr">
        <is>
          <t>Pairing ID</t>
        </is>
      </c>
      <c r="C2455" s="3" t="inlineStr">
        <is>
          <t>FECHA REAL</t>
        </is>
      </c>
      <c r="D2455" s="3" t="inlineStr">
        <is>
          <t>Day of Week</t>
        </is>
      </c>
      <c r="E2455" s="3" t="inlineStr">
        <is>
          <t>Flight No</t>
        </is>
      </c>
      <c r="F2455" s="3" t="inlineStr">
        <is>
          <t>Dep Stn</t>
        </is>
      </c>
      <c r="G2455" s="3" t="inlineStr">
        <is>
          <t>Arr Stn</t>
        </is>
      </c>
      <c r="H2455" s="3" t="inlineStr">
        <is>
          <t>STD</t>
        </is>
      </c>
      <c r="I2455" s="3" t="inlineStr">
        <is>
          <t>STA</t>
        </is>
      </c>
      <c r="J2455" s="3" t="inlineStr">
        <is>
          <t>subflota</t>
        </is>
      </c>
      <c r="K2455" s="3" t="inlineStr">
        <is>
          <t>Conexion</t>
        </is>
      </c>
      <c r="L2455" s="3" t="inlineStr">
        <is>
          <t>HBT</t>
        </is>
      </c>
    </row>
    <row r="2456">
      <c r="B2456" s="4" t="n">
        <v>2359</v>
      </c>
      <c r="C2456" s="4" t="inlineStr">
        <is>
          <t>27/09/2026</t>
        </is>
      </c>
      <c r="D2456" s="4" t="inlineStr">
        <is>
          <t>domingo</t>
        </is>
      </c>
      <c r="E2456" s="4" t="n">
        <v>2360</v>
      </c>
      <c r="F2456" s="4" t="inlineStr">
        <is>
          <t>LIM</t>
        </is>
      </c>
      <c r="G2456" s="4" t="inlineStr">
        <is>
          <t>PCL</t>
        </is>
      </c>
      <c r="H2456" s="4" t="inlineStr">
        <is>
          <t>15:25:00</t>
        </is>
      </c>
      <c r="I2456" s="4" t="inlineStr">
        <is>
          <t>16:40:00</t>
        </is>
      </c>
      <c r="J2456" s="4" t="n">
        <v>320</v>
      </c>
      <c r="L2456" s="4" t="inlineStr">
        <is>
          <t>01:15:00</t>
        </is>
      </c>
      <c r="M2456" s="5" t="n"/>
      <c r="N2456" s="6" t="n"/>
      <c r="O2456" s="5" t="n"/>
      <c r="Q2456" s="4">
        <f>B2456</f>
        <v/>
      </c>
      <c r="R2456" s="4">
        <f>C2456</f>
        <v/>
      </c>
      <c r="S2456" s="4">
        <f>D2456</f>
        <v/>
      </c>
      <c r="T2456" s="4">
        <f>E2456&amp;"/"&amp;E2457</f>
        <v/>
      </c>
      <c r="U2456" s="4">
        <f>F2456&amp;"-"&amp;G2456&amp;"-"&amp;F2456</f>
        <v/>
      </c>
      <c r="V2456" s="4">
        <f>IF($M$2456="","",$M$2456)</f>
        <v/>
      </c>
      <c r="W2456" s="4">
        <f>IF($O$2456="","",$O$2456)</f>
        <v/>
      </c>
      <c r="X2456" s="4">
        <f>J2456</f>
        <v/>
      </c>
    </row>
    <row r="2457">
      <c r="B2457" s="4" t="n">
        <v>2359</v>
      </c>
      <c r="C2457" s="4" t="inlineStr">
        <is>
          <t>27/09/2026</t>
        </is>
      </c>
      <c r="D2457" s="4" t="inlineStr">
        <is>
          <t>domingo</t>
        </is>
      </c>
      <c r="E2457" s="4" t="n">
        <v>2361</v>
      </c>
      <c r="F2457" s="4" t="inlineStr">
        <is>
          <t>PCL</t>
        </is>
      </c>
      <c r="G2457" s="4" t="inlineStr">
        <is>
          <t>LIM</t>
        </is>
      </c>
      <c r="H2457" s="4" t="inlineStr">
        <is>
          <t>17:20:00</t>
        </is>
      </c>
      <c r="I2457" s="4" t="inlineStr">
        <is>
          <t>18:35:00</t>
        </is>
      </c>
      <c r="J2457" s="4" t="n">
        <v>320</v>
      </c>
      <c r="K2457">
        <f>TEXT(TIMEVALUE(H2457)-TIMEVALUE(I2456)+(TIMEVALUE(H2457)&lt;TIMEVALUE(I2456)),"[h]:mm")</f>
        <v/>
      </c>
      <c r="L2457" s="4" t="inlineStr">
        <is>
          <t>01:15:00</t>
        </is>
      </c>
      <c r="O2457">
        <f>"LIM-"&amp;G2456&amp;"-LIM   LA "&amp;E2456&amp;" ("&amp;LEFT(H2456,5)&amp;"-"&amp;LEFT(I2456,5)&amp;" hrs)  /  LA "&amp;E2457&amp;" ("&amp;LEFT(H2457,5)&amp;"-"&amp;LEFT(I2457,5)&amp;" hrs)"</f>
        <v/>
      </c>
    </row>
    <row r="2458">
      <c r="J2458" s="8" t="inlineStr">
        <is>
          <t>PSV total:</t>
        </is>
      </c>
      <c r="K2458" s="9">
        <f>TEXT(TIMEVALUE(I2457)-TIMEVALUE(H2456)+(I2457&lt;H2456),"[h]:mm")</f>
        <v/>
      </c>
    </row>
    <row r="2460">
      <c r="B2460" s="3" t="inlineStr">
        <is>
          <t>Pairing ID</t>
        </is>
      </c>
      <c r="C2460" s="3" t="inlineStr">
        <is>
          <t>FECHA REAL</t>
        </is>
      </c>
      <c r="D2460" s="3" t="inlineStr">
        <is>
          <t>Day of Week</t>
        </is>
      </c>
      <c r="E2460" s="3" t="inlineStr">
        <is>
          <t>Flight No</t>
        </is>
      </c>
      <c r="F2460" s="3" t="inlineStr">
        <is>
          <t>Dep Stn</t>
        </is>
      </c>
      <c r="G2460" s="3" t="inlineStr">
        <is>
          <t>Arr Stn</t>
        </is>
      </c>
      <c r="H2460" s="3" t="inlineStr">
        <is>
          <t>STD</t>
        </is>
      </c>
      <c r="I2460" s="3" t="inlineStr">
        <is>
          <t>STA</t>
        </is>
      </c>
      <c r="J2460" s="3" t="inlineStr">
        <is>
          <t>subflota</t>
        </is>
      </c>
      <c r="K2460" s="3" t="inlineStr">
        <is>
          <t>Conexion</t>
        </is>
      </c>
      <c r="L2460" s="3" t="inlineStr">
        <is>
          <t>HBT</t>
        </is>
      </c>
    </row>
    <row r="2461">
      <c r="B2461" s="4" t="n">
        <v>2360</v>
      </c>
      <c r="C2461" s="4" t="inlineStr">
        <is>
          <t>27/09/2026</t>
        </is>
      </c>
      <c r="D2461" s="4" t="inlineStr">
        <is>
          <t>domingo</t>
        </is>
      </c>
      <c r="E2461" s="4" t="n">
        <v>2312</v>
      </c>
      <c r="F2461" s="4" t="inlineStr">
        <is>
          <t>LIM</t>
        </is>
      </c>
      <c r="G2461" s="4" t="inlineStr">
        <is>
          <t>CIX</t>
        </is>
      </c>
      <c r="H2461" s="4" t="inlineStr">
        <is>
          <t>15:35:00</t>
        </is>
      </c>
      <c r="I2461" s="4" t="inlineStr">
        <is>
          <t>17:05:00</t>
        </is>
      </c>
      <c r="J2461" s="4" t="n">
        <v>319</v>
      </c>
      <c r="L2461" s="4" t="inlineStr">
        <is>
          <t>01:30:00</t>
        </is>
      </c>
      <c r="M2461" s="5" t="n"/>
      <c r="N2461" s="6" t="n"/>
      <c r="O2461" s="5" t="n"/>
      <c r="Q2461" s="4">
        <f>B2461</f>
        <v/>
      </c>
      <c r="R2461" s="4">
        <f>C2461</f>
        <v/>
      </c>
      <c r="S2461" s="4">
        <f>D2461</f>
        <v/>
      </c>
      <c r="T2461" s="4">
        <f>E2461&amp;"/"&amp;E2462</f>
        <v/>
      </c>
      <c r="U2461" s="4">
        <f>F2461&amp;"-"&amp;G2461&amp;"-"&amp;F2461</f>
        <v/>
      </c>
      <c r="V2461" s="4">
        <f>IF($M$2461="","",$M$2461)</f>
        <v/>
      </c>
      <c r="W2461" s="4">
        <f>IF($O$2461="","",$O$2461)</f>
        <v/>
      </c>
      <c r="X2461" s="4">
        <f>J2461</f>
        <v/>
      </c>
    </row>
    <row r="2462">
      <c r="B2462" s="4" t="n">
        <v>2360</v>
      </c>
      <c r="C2462" s="4" t="inlineStr">
        <is>
          <t>27/09/2026</t>
        </is>
      </c>
      <c r="D2462" s="4" t="inlineStr">
        <is>
          <t>domingo</t>
        </is>
      </c>
      <c r="E2462" s="4" t="n">
        <v>2313</v>
      </c>
      <c r="F2462" s="4" t="inlineStr">
        <is>
          <t>CIX</t>
        </is>
      </c>
      <c r="G2462" s="4" t="inlineStr">
        <is>
          <t>LIM</t>
        </is>
      </c>
      <c r="H2462" s="4" t="inlineStr">
        <is>
          <t>17:50:00</t>
        </is>
      </c>
      <c r="I2462" s="4" t="inlineStr">
        <is>
          <t>19:10:00</t>
        </is>
      </c>
      <c r="J2462" s="4" t="n">
        <v>319</v>
      </c>
      <c r="K2462">
        <f>TEXT(TIMEVALUE(H2462)-TIMEVALUE(I2461)+(TIMEVALUE(H2462)&lt;TIMEVALUE(I2461)),"[h]:mm")</f>
        <v/>
      </c>
      <c r="L2462" s="4" t="inlineStr">
        <is>
          <t>01:20:00</t>
        </is>
      </c>
      <c r="O2462">
        <f>"LIM-"&amp;G2461&amp;"-LIM   LA "&amp;E2461&amp;" ("&amp;LEFT(H2461,5)&amp;"-"&amp;LEFT(I2461,5)&amp;" hrs)  /  LA "&amp;E2462&amp;" ("&amp;LEFT(H2462,5)&amp;"-"&amp;LEFT(I2462,5)&amp;" hrs)"</f>
        <v/>
      </c>
    </row>
    <row r="2463">
      <c r="J2463" s="8" t="inlineStr">
        <is>
          <t>PSV total:</t>
        </is>
      </c>
      <c r="K2463" s="9">
        <f>TEXT(TIMEVALUE(I2462)-TIMEVALUE(H2461)+(I2462&lt;H2461),"[h]:mm")</f>
        <v/>
      </c>
    </row>
    <row r="2465">
      <c r="B2465" s="3" t="inlineStr">
        <is>
          <t>Pairing ID</t>
        </is>
      </c>
      <c r="C2465" s="3" t="inlineStr">
        <is>
          <t>FECHA REAL</t>
        </is>
      </c>
      <c r="D2465" s="3" t="inlineStr">
        <is>
          <t>Day of Week</t>
        </is>
      </c>
      <c r="E2465" s="3" t="inlineStr">
        <is>
          <t>Flight No</t>
        </is>
      </c>
      <c r="F2465" s="3" t="inlineStr">
        <is>
          <t>Dep Stn</t>
        </is>
      </c>
      <c r="G2465" s="3" t="inlineStr">
        <is>
          <t>Arr Stn</t>
        </is>
      </c>
      <c r="H2465" s="3" t="inlineStr">
        <is>
          <t>STD</t>
        </is>
      </c>
      <c r="I2465" s="3" t="inlineStr">
        <is>
          <t>STA</t>
        </is>
      </c>
      <c r="J2465" s="3" t="inlineStr">
        <is>
          <t>subflota</t>
        </is>
      </c>
      <c r="K2465" s="3" t="inlineStr">
        <is>
          <t>Conexion</t>
        </is>
      </c>
      <c r="L2465" s="3" t="inlineStr">
        <is>
          <t>HBT</t>
        </is>
      </c>
    </row>
    <row r="2466">
      <c r="B2466" s="4" t="n">
        <v>2361</v>
      </c>
      <c r="C2466" s="4" t="inlineStr">
        <is>
          <t>27/09/2026</t>
        </is>
      </c>
      <c r="D2466" s="4" t="inlineStr">
        <is>
          <t>domingo</t>
        </is>
      </c>
      <c r="E2466" s="4" t="n">
        <v>2301</v>
      </c>
      <c r="F2466" s="4" t="inlineStr">
        <is>
          <t>LIM</t>
        </is>
      </c>
      <c r="G2466" s="4" t="inlineStr">
        <is>
          <t>TPP</t>
        </is>
      </c>
      <c r="H2466" s="4" t="inlineStr">
        <is>
          <t>15:40:00</t>
        </is>
      </c>
      <c r="I2466" s="4" t="inlineStr">
        <is>
          <t>17:05:00</t>
        </is>
      </c>
      <c r="J2466" s="4" t="n">
        <v>320</v>
      </c>
      <c r="L2466" s="4" t="inlineStr">
        <is>
          <t>01:25:00</t>
        </is>
      </c>
      <c r="M2466" s="5" t="n"/>
      <c r="N2466" s="6" t="n"/>
      <c r="O2466" s="5" t="n"/>
      <c r="Q2466" s="4">
        <f>B2466</f>
        <v/>
      </c>
      <c r="R2466" s="4">
        <f>C2466</f>
        <v/>
      </c>
      <c r="S2466" s="4">
        <f>D2466</f>
        <v/>
      </c>
      <c r="T2466" s="4">
        <f>E2466&amp;"/"&amp;E2467</f>
        <v/>
      </c>
      <c r="U2466" s="4">
        <f>F2466&amp;"-"&amp;G2466&amp;"-"&amp;F2466</f>
        <v/>
      </c>
      <c r="V2466" s="4">
        <f>IF($M$2466="","",$M$2466)</f>
        <v/>
      </c>
      <c r="W2466" s="4">
        <f>IF($O$2466="","",$O$2466)</f>
        <v/>
      </c>
      <c r="X2466" s="4">
        <f>J2466</f>
        <v/>
      </c>
    </row>
    <row r="2467">
      <c r="B2467" s="4" t="n">
        <v>2361</v>
      </c>
      <c r="C2467" s="4" t="inlineStr">
        <is>
          <t>27/09/2026</t>
        </is>
      </c>
      <c r="D2467" s="4" t="inlineStr">
        <is>
          <t>domingo</t>
        </is>
      </c>
      <c r="E2467" s="4" t="n">
        <v>2300</v>
      </c>
      <c r="F2467" s="4" t="inlineStr">
        <is>
          <t>TPP</t>
        </is>
      </c>
      <c r="G2467" s="4" t="inlineStr">
        <is>
          <t>LIM</t>
        </is>
      </c>
      <c r="H2467" s="4" t="inlineStr">
        <is>
          <t>17:50:00</t>
        </is>
      </c>
      <c r="I2467" s="4" t="inlineStr">
        <is>
          <t>19:20:00</t>
        </is>
      </c>
      <c r="J2467" s="4" t="n">
        <v>320</v>
      </c>
      <c r="K2467">
        <f>TEXT(TIMEVALUE(H2467)-TIMEVALUE(I2466)+(TIMEVALUE(H2467)&lt;TIMEVALUE(I2466)),"[h]:mm")</f>
        <v/>
      </c>
      <c r="L2467" s="4" t="inlineStr">
        <is>
          <t>01:30:00</t>
        </is>
      </c>
      <c r="O2467">
        <f>"LIM-"&amp;G2466&amp;"-LIM   LA "&amp;E2466&amp;" ("&amp;LEFT(H2466,5)&amp;"-"&amp;LEFT(I2466,5)&amp;" hrs)  /  LA "&amp;E2467&amp;" ("&amp;LEFT(H2467,5)&amp;"-"&amp;LEFT(I2467,5)&amp;" hrs)"</f>
        <v/>
      </c>
    </row>
    <row r="2468">
      <c r="J2468" s="8" t="inlineStr">
        <is>
          <t>PSV total:</t>
        </is>
      </c>
      <c r="K2468" s="9">
        <f>TEXT(TIMEVALUE(I2467)-TIMEVALUE(H2466)+(I2467&lt;H2466),"[h]:mm")</f>
        <v/>
      </c>
    </row>
    <row r="2470">
      <c r="B2470" s="3" t="inlineStr">
        <is>
          <t>Pairing ID</t>
        </is>
      </c>
      <c r="C2470" s="3" t="inlineStr">
        <is>
          <t>FECHA REAL</t>
        </is>
      </c>
      <c r="D2470" s="3" t="inlineStr">
        <is>
          <t>Day of Week</t>
        </is>
      </c>
      <c r="E2470" s="3" t="inlineStr">
        <is>
          <t>Flight No</t>
        </is>
      </c>
      <c r="F2470" s="3" t="inlineStr">
        <is>
          <t>Dep Stn</t>
        </is>
      </c>
      <c r="G2470" s="3" t="inlineStr">
        <is>
          <t>Arr Stn</t>
        </is>
      </c>
      <c r="H2470" s="3" t="inlineStr">
        <is>
          <t>STD</t>
        </is>
      </c>
      <c r="I2470" s="3" t="inlineStr">
        <is>
          <t>STA</t>
        </is>
      </c>
      <c r="J2470" s="3" t="inlineStr">
        <is>
          <t>subflota</t>
        </is>
      </c>
      <c r="K2470" s="3" t="inlineStr">
        <is>
          <t>Conexion</t>
        </is>
      </c>
      <c r="L2470" s="3" t="inlineStr">
        <is>
          <t>HBT</t>
        </is>
      </c>
    </row>
    <row r="2471">
      <c r="B2471" s="4" t="n">
        <v>2366</v>
      </c>
      <c r="C2471" s="4" t="inlineStr">
        <is>
          <t>27/09/2026</t>
        </is>
      </c>
      <c r="D2471" s="4" t="inlineStr">
        <is>
          <t>domingo</t>
        </is>
      </c>
      <c r="E2471" s="4" t="n">
        <v>2039</v>
      </c>
      <c r="F2471" s="4" t="inlineStr">
        <is>
          <t>LIM</t>
        </is>
      </c>
      <c r="G2471" s="4" t="inlineStr">
        <is>
          <t>PCL</t>
        </is>
      </c>
      <c r="H2471" s="4" t="inlineStr">
        <is>
          <t>18:15:00</t>
        </is>
      </c>
      <c r="I2471" s="4" t="inlineStr">
        <is>
          <t>19:30:00</t>
        </is>
      </c>
      <c r="J2471" s="4" t="n">
        <v>320</v>
      </c>
      <c r="L2471" s="4" t="inlineStr">
        <is>
          <t>01:15:00</t>
        </is>
      </c>
      <c r="M2471" s="5" t="n"/>
      <c r="N2471" s="6" t="n"/>
      <c r="O2471" s="5" t="n"/>
      <c r="Q2471" s="4">
        <f>B2471</f>
        <v/>
      </c>
      <c r="R2471" s="4">
        <f>C2471</f>
        <v/>
      </c>
      <c r="S2471" s="4">
        <f>D2471</f>
        <v/>
      </c>
      <c r="T2471" s="4">
        <f>E2471&amp;"/"&amp;E2472</f>
        <v/>
      </c>
      <c r="U2471" s="4">
        <f>F2471&amp;"-"&amp;G2471&amp;"-"&amp;F2471</f>
        <v/>
      </c>
      <c r="V2471" s="4">
        <f>IF($M$2471="","",$M$2471)</f>
        <v/>
      </c>
      <c r="W2471" s="4">
        <f>IF($O$2471="","",$O$2471)</f>
        <v/>
      </c>
      <c r="X2471" s="4">
        <f>J2471</f>
        <v/>
      </c>
    </row>
    <row r="2472">
      <c r="B2472" s="4" t="n">
        <v>2366</v>
      </c>
      <c r="C2472" s="4" t="inlineStr">
        <is>
          <t>27/09/2026</t>
        </is>
      </c>
      <c r="D2472" s="4" t="inlineStr">
        <is>
          <t>domingo</t>
        </is>
      </c>
      <c r="E2472" s="4" t="n">
        <v>2040</v>
      </c>
      <c r="F2472" s="4" t="inlineStr">
        <is>
          <t>PCL</t>
        </is>
      </c>
      <c r="G2472" s="4" t="inlineStr">
        <is>
          <t>LIM</t>
        </is>
      </c>
      <c r="H2472" s="4" t="inlineStr">
        <is>
          <t>20:15:00</t>
        </is>
      </c>
      <c r="I2472" s="4" t="inlineStr">
        <is>
          <t>21:30:00</t>
        </is>
      </c>
      <c r="J2472" s="4" t="n">
        <v>320</v>
      </c>
      <c r="K2472">
        <f>TEXT(TIMEVALUE(H2472)-TIMEVALUE(I2471)+(TIMEVALUE(H2472)&lt;TIMEVALUE(I2471)),"[h]:mm")</f>
        <v/>
      </c>
      <c r="L2472" s="4" t="inlineStr">
        <is>
          <t>01:15:00</t>
        </is>
      </c>
      <c r="O2472">
        <f>"LIM-"&amp;G2471&amp;"-LIM   LA "&amp;E2471&amp;" ("&amp;LEFT(H2471,5)&amp;"-"&amp;LEFT(I2471,5)&amp;" hrs)  /  LA "&amp;E2472&amp;" ("&amp;LEFT(H2472,5)&amp;"-"&amp;LEFT(I2472,5)&amp;" hrs)"</f>
        <v/>
      </c>
    </row>
    <row r="2473">
      <c r="J2473" s="8" t="inlineStr">
        <is>
          <t>PSV total:</t>
        </is>
      </c>
      <c r="K2473" s="9">
        <f>TEXT(TIMEVALUE(I2472)-TIMEVALUE(H2471)+(I2472&lt;H2471),"[h]:mm")</f>
        <v/>
      </c>
    </row>
    <row r="2475">
      <c r="B2475" s="3" t="inlineStr">
        <is>
          <t>Pairing ID</t>
        </is>
      </c>
      <c r="C2475" s="3" t="inlineStr">
        <is>
          <t>FECHA REAL</t>
        </is>
      </c>
      <c r="D2475" s="3" t="inlineStr">
        <is>
          <t>Day of Week</t>
        </is>
      </c>
      <c r="E2475" s="3" t="inlineStr">
        <is>
          <t>Flight No</t>
        </is>
      </c>
      <c r="F2475" s="3" t="inlineStr">
        <is>
          <t>Dep Stn</t>
        </is>
      </c>
      <c r="G2475" s="3" t="inlineStr">
        <is>
          <t>Arr Stn</t>
        </is>
      </c>
      <c r="H2475" s="3" t="inlineStr">
        <is>
          <t>STD</t>
        </is>
      </c>
      <c r="I2475" s="3" t="inlineStr">
        <is>
          <t>STA</t>
        </is>
      </c>
      <c r="J2475" s="3" t="inlineStr">
        <is>
          <t>subflota</t>
        </is>
      </c>
      <c r="K2475" s="3" t="inlineStr">
        <is>
          <t>Conexion</t>
        </is>
      </c>
      <c r="L2475" s="3" t="inlineStr">
        <is>
          <t>HBT</t>
        </is>
      </c>
    </row>
    <row r="2476">
      <c r="B2476" s="4" t="n">
        <v>2367</v>
      </c>
      <c r="C2476" s="4" t="inlineStr">
        <is>
          <t>27/09/2026</t>
        </is>
      </c>
      <c r="D2476" s="4" t="inlineStr">
        <is>
          <t>domingo</t>
        </is>
      </c>
      <c r="E2476" s="4" t="n">
        <v>2310</v>
      </c>
      <c r="F2476" s="4" t="inlineStr">
        <is>
          <t>LIM</t>
        </is>
      </c>
      <c r="G2476" s="4" t="inlineStr">
        <is>
          <t>CIX</t>
        </is>
      </c>
      <c r="H2476" s="4" t="inlineStr">
        <is>
          <t>18:20:00</t>
        </is>
      </c>
      <c r="I2476" s="4" t="inlineStr">
        <is>
          <t>19:45:00</t>
        </is>
      </c>
      <c r="J2476" s="4" t="n">
        <v>320</v>
      </c>
      <c r="L2476" s="4" t="inlineStr">
        <is>
          <t>01:25:00</t>
        </is>
      </c>
      <c r="M2476" s="5" t="n"/>
      <c r="N2476" s="6" t="n"/>
      <c r="O2476" s="5" t="n"/>
      <c r="Q2476" s="4">
        <f>B2476</f>
        <v/>
      </c>
      <c r="R2476" s="4">
        <f>C2476</f>
        <v/>
      </c>
      <c r="S2476" s="4">
        <f>D2476</f>
        <v/>
      </c>
      <c r="T2476" s="4">
        <f>E2476&amp;"/"&amp;E2477</f>
        <v/>
      </c>
      <c r="U2476" s="4">
        <f>F2476&amp;"-"&amp;G2476&amp;"-"&amp;F2476</f>
        <v/>
      </c>
      <c r="V2476" s="4">
        <f>IF($M$2476="","",$M$2476)</f>
        <v/>
      </c>
      <c r="W2476" s="4">
        <f>IF($O$2476="","",$O$2476)</f>
        <v/>
      </c>
      <c r="X2476" s="4">
        <f>J2476</f>
        <v/>
      </c>
    </row>
    <row r="2477">
      <c r="B2477" s="4" t="n">
        <v>2367</v>
      </c>
      <c r="C2477" s="4" t="inlineStr">
        <is>
          <t>27/09/2026</t>
        </is>
      </c>
      <c r="D2477" s="4" t="inlineStr">
        <is>
          <t>domingo</t>
        </is>
      </c>
      <c r="E2477" s="4" t="n">
        <v>2311</v>
      </c>
      <c r="F2477" s="4" t="inlineStr">
        <is>
          <t>CIX</t>
        </is>
      </c>
      <c r="G2477" s="4" t="inlineStr">
        <is>
          <t>LIM</t>
        </is>
      </c>
      <c r="H2477" s="4" t="inlineStr">
        <is>
          <t>20:20:00</t>
        </is>
      </c>
      <c r="I2477" s="4" t="inlineStr">
        <is>
          <t>21:35:00</t>
        </is>
      </c>
      <c r="J2477" s="4" t="n">
        <v>320</v>
      </c>
      <c r="K2477">
        <f>TEXT(TIMEVALUE(H2477)-TIMEVALUE(I2476)+(TIMEVALUE(H2477)&lt;TIMEVALUE(I2476)),"[h]:mm")</f>
        <v/>
      </c>
      <c r="L2477" s="4" t="inlineStr">
        <is>
          <t>01:15:00</t>
        </is>
      </c>
      <c r="O2477">
        <f>"LIM-"&amp;G2476&amp;"-LIM   LA "&amp;E2476&amp;" ("&amp;LEFT(H2476,5)&amp;"-"&amp;LEFT(I2476,5)&amp;" hrs)  /  LA "&amp;E2477&amp;" ("&amp;LEFT(H2477,5)&amp;"-"&amp;LEFT(I2477,5)&amp;" hrs)"</f>
        <v/>
      </c>
    </row>
    <row r="2478">
      <c r="J2478" s="8" t="inlineStr">
        <is>
          <t>PSV total:</t>
        </is>
      </c>
      <c r="K2478" s="9">
        <f>TEXT(TIMEVALUE(I2477)-TIMEVALUE(H2476)+(I2477&lt;H2476),"[h]:mm")</f>
        <v/>
      </c>
    </row>
    <row r="2480">
      <c r="B2480" s="3" t="inlineStr">
        <is>
          <t>Pairing ID</t>
        </is>
      </c>
      <c r="C2480" s="3" t="inlineStr">
        <is>
          <t>FECHA REAL</t>
        </is>
      </c>
      <c r="D2480" s="3" t="inlineStr">
        <is>
          <t>Day of Week</t>
        </is>
      </c>
      <c r="E2480" s="3" t="inlineStr">
        <is>
          <t>Flight No</t>
        </is>
      </c>
      <c r="F2480" s="3" t="inlineStr">
        <is>
          <t>Dep Stn</t>
        </is>
      </c>
      <c r="G2480" s="3" t="inlineStr">
        <is>
          <t>Arr Stn</t>
        </is>
      </c>
      <c r="H2480" s="3" t="inlineStr">
        <is>
          <t>STD</t>
        </is>
      </c>
      <c r="I2480" s="3" t="inlineStr">
        <is>
          <t>STA</t>
        </is>
      </c>
      <c r="J2480" s="3" t="inlineStr">
        <is>
          <t>subflota</t>
        </is>
      </c>
      <c r="K2480" s="3" t="inlineStr">
        <is>
          <t>Conexion</t>
        </is>
      </c>
      <c r="L2480" s="3" t="inlineStr">
        <is>
          <t>HBT</t>
        </is>
      </c>
    </row>
    <row r="2481">
      <c r="B2481" s="4" t="n">
        <v>2368</v>
      </c>
      <c r="C2481" s="4" t="inlineStr">
        <is>
          <t>27/09/2026</t>
        </is>
      </c>
      <c r="D2481" s="4" t="inlineStr">
        <is>
          <t>domingo</t>
        </is>
      </c>
      <c r="E2481" s="4" t="n">
        <v>2117</v>
      </c>
      <c r="F2481" s="4" t="inlineStr">
        <is>
          <t>LIM</t>
        </is>
      </c>
      <c r="G2481" s="4" t="inlineStr">
        <is>
          <t>AQP</t>
        </is>
      </c>
      <c r="H2481" s="4" t="inlineStr">
        <is>
          <t>18:35:00</t>
        </is>
      </c>
      <c r="I2481" s="4" t="inlineStr">
        <is>
          <t>20:05:00</t>
        </is>
      </c>
      <c r="J2481" s="4" t="n">
        <v>320</v>
      </c>
      <c r="L2481" s="4" t="inlineStr">
        <is>
          <t>01:30:00</t>
        </is>
      </c>
      <c r="M2481" s="5" t="n"/>
      <c r="N2481" s="6" t="n"/>
      <c r="O2481" s="5" t="n"/>
      <c r="Q2481" s="4">
        <f>B2481</f>
        <v/>
      </c>
      <c r="R2481" s="4">
        <f>C2481</f>
        <v/>
      </c>
      <c r="S2481" s="4">
        <f>D2481</f>
        <v/>
      </c>
      <c r="T2481" s="4">
        <f>E2481&amp;"/"&amp;E2482</f>
        <v/>
      </c>
      <c r="U2481" s="4">
        <f>F2481&amp;"-"&amp;G2481&amp;"-"&amp;F2481</f>
        <v/>
      </c>
      <c r="V2481" s="4">
        <f>IF($M$2481="","",$M$2481)</f>
        <v/>
      </c>
      <c r="W2481" s="4">
        <f>IF($O$2481="","",$O$2481)</f>
        <v/>
      </c>
      <c r="X2481" s="4">
        <f>J2481</f>
        <v/>
      </c>
    </row>
    <row r="2482">
      <c r="B2482" s="4" t="n">
        <v>2368</v>
      </c>
      <c r="C2482" s="4" t="inlineStr">
        <is>
          <t>27/09/2026</t>
        </is>
      </c>
      <c r="D2482" s="4" t="inlineStr">
        <is>
          <t>domingo</t>
        </is>
      </c>
      <c r="E2482" s="4" t="n">
        <v>2116</v>
      </c>
      <c r="F2482" s="4" t="inlineStr">
        <is>
          <t>AQP</t>
        </is>
      </c>
      <c r="G2482" s="4" t="inlineStr">
        <is>
          <t>LIM</t>
        </is>
      </c>
      <c r="H2482" s="4" t="inlineStr">
        <is>
          <t>20:40:00</t>
        </is>
      </c>
      <c r="I2482" s="4" t="inlineStr">
        <is>
          <t>22:20:00</t>
        </is>
      </c>
      <c r="J2482" s="4" t="n">
        <v>320</v>
      </c>
      <c r="K2482">
        <f>TEXT(TIMEVALUE(H2482)-TIMEVALUE(I2481)+(TIMEVALUE(H2482)&lt;TIMEVALUE(I2481)),"[h]:mm")</f>
        <v/>
      </c>
      <c r="L2482" s="4" t="inlineStr">
        <is>
          <t>01:40:00</t>
        </is>
      </c>
      <c r="O2482">
        <f>"LIM-"&amp;G2481&amp;"-LIM   LA "&amp;E2481&amp;" ("&amp;LEFT(H2481,5)&amp;"-"&amp;LEFT(I2481,5)&amp;" hrs)  /  LA "&amp;E2482&amp;" ("&amp;LEFT(H2482,5)&amp;"-"&amp;LEFT(I2482,5)&amp;" hrs)"</f>
        <v/>
      </c>
    </row>
    <row r="2483">
      <c r="J2483" s="8" t="inlineStr">
        <is>
          <t>PSV total:</t>
        </is>
      </c>
      <c r="K2483" s="9">
        <f>TEXT(TIMEVALUE(I2482)-TIMEVALUE(H2481)+(I2482&lt;H2481),"[h]:mm")</f>
        <v/>
      </c>
    </row>
    <row r="2485">
      <c r="B2485" s="3" t="inlineStr">
        <is>
          <t>Pairing ID</t>
        </is>
      </c>
      <c r="C2485" s="3" t="inlineStr">
        <is>
          <t>FECHA REAL</t>
        </is>
      </c>
      <c r="D2485" s="3" t="inlineStr">
        <is>
          <t>Day of Week</t>
        </is>
      </c>
      <c r="E2485" s="3" t="inlineStr">
        <is>
          <t>Flight No</t>
        </is>
      </c>
      <c r="F2485" s="3" t="inlineStr">
        <is>
          <t>Dep Stn</t>
        </is>
      </c>
      <c r="G2485" s="3" t="inlineStr">
        <is>
          <t>Arr Stn</t>
        </is>
      </c>
      <c r="H2485" s="3" t="inlineStr">
        <is>
          <t>STD</t>
        </is>
      </c>
      <c r="I2485" s="3" t="inlineStr">
        <is>
          <t>STA</t>
        </is>
      </c>
      <c r="J2485" s="3" t="inlineStr">
        <is>
          <t>subflota</t>
        </is>
      </c>
      <c r="K2485" s="3" t="inlineStr">
        <is>
          <t>Conexion</t>
        </is>
      </c>
      <c r="L2485" s="3" t="inlineStr">
        <is>
          <t>HBT</t>
        </is>
      </c>
    </row>
    <row r="2486">
      <c r="B2486" s="4" t="n">
        <v>2411</v>
      </c>
      <c r="C2486" s="4" t="inlineStr">
        <is>
          <t>28/09/2026</t>
        </is>
      </c>
      <c r="D2486" s="4" t="inlineStr">
        <is>
          <t>lunes</t>
        </is>
      </c>
      <c r="E2486" s="4" t="n">
        <v>2013</v>
      </c>
      <c r="F2486" s="4" t="inlineStr">
        <is>
          <t>LIM</t>
        </is>
      </c>
      <c r="G2486" s="4" t="inlineStr">
        <is>
          <t>CUZ</t>
        </is>
      </c>
      <c r="H2486" s="4" t="inlineStr">
        <is>
          <t>08:35:00</t>
        </is>
      </c>
      <c r="I2486" s="4" t="inlineStr">
        <is>
          <t>09:55:00</t>
        </is>
      </c>
      <c r="J2486" s="4" t="n">
        <v>319</v>
      </c>
      <c r="L2486" s="4" t="inlineStr">
        <is>
          <t>01:20:00</t>
        </is>
      </c>
      <c r="M2486" s="5" t="n"/>
      <c r="N2486" s="6" t="n"/>
      <c r="O2486" s="5" t="n"/>
      <c r="Q2486" s="4">
        <f>B2486</f>
        <v/>
      </c>
      <c r="R2486" s="4">
        <f>C2486</f>
        <v/>
      </c>
      <c r="S2486" s="4">
        <f>D2486</f>
        <v/>
      </c>
      <c r="T2486" s="4">
        <f>E2486&amp;"/"&amp;E2487</f>
        <v/>
      </c>
      <c r="U2486" s="4">
        <f>F2486&amp;"-"&amp;G2486&amp;"-"&amp;F2486</f>
        <v/>
      </c>
      <c r="V2486" s="4">
        <f>IF($M$2486="","",$M$2486)</f>
        <v/>
      </c>
      <c r="W2486" s="4">
        <f>IF($O$2486="","",$O$2486)</f>
        <v/>
      </c>
      <c r="X2486" s="4">
        <f>J2486</f>
        <v/>
      </c>
    </row>
    <row r="2487">
      <c r="B2487" s="4" t="n">
        <v>2411</v>
      </c>
      <c r="C2487" s="4" t="inlineStr">
        <is>
          <t>28/09/2026</t>
        </is>
      </c>
      <c r="D2487" s="4" t="inlineStr">
        <is>
          <t>lunes</t>
        </is>
      </c>
      <c r="E2487" s="4" t="n">
        <v>2014</v>
      </c>
      <c r="F2487" s="4" t="inlineStr">
        <is>
          <t>CUZ</t>
        </is>
      </c>
      <c r="G2487" s="4" t="inlineStr">
        <is>
          <t>LIM</t>
        </is>
      </c>
      <c r="H2487" s="4" t="inlineStr">
        <is>
          <t>10:40:00</t>
        </is>
      </c>
      <c r="I2487" s="4" t="inlineStr">
        <is>
          <t>12:15:00</t>
        </is>
      </c>
      <c r="J2487" s="4" t="n">
        <v>319</v>
      </c>
      <c r="K2487">
        <f>TEXT(TIMEVALUE(H2487)-TIMEVALUE(I2486)+(TIMEVALUE(H2487)&lt;TIMEVALUE(I2486)),"[h]:mm")</f>
        <v/>
      </c>
      <c r="L2487" s="4" t="inlineStr">
        <is>
          <t>01:35:00</t>
        </is>
      </c>
      <c r="O2487">
        <f>"LIM-"&amp;G2486&amp;"-LIM   LA "&amp;E2486&amp;" ("&amp;LEFT(H2486,5)&amp;"-"&amp;LEFT(I2486,5)&amp;" hrs)  /  LA "&amp;E2487&amp;" ("&amp;LEFT(H2487,5)&amp;"-"&amp;LEFT(I2487,5)&amp;" hrs)"</f>
        <v/>
      </c>
    </row>
    <row r="2488">
      <c r="J2488" s="8" t="inlineStr">
        <is>
          <t>PSV total:</t>
        </is>
      </c>
      <c r="K2488" s="9">
        <f>TEXT(TIMEVALUE(I2487)-TIMEVALUE(H2486)+(I2487&lt;H2486),"[h]:mm")</f>
        <v/>
      </c>
    </row>
    <row r="2490">
      <c r="B2490" s="3" t="inlineStr">
        <is>
          <t>Pairing ID</t>
        </is>
      </c>
      <c r="C2490" s="3" t="inlineStr">
        <is>
          <t>FECHA REAL</t>
        </is>
      </c>
      <c r="D2490" s="3" t="inlineStr">
        <is>
          <t>Day of Week</t>
        </is>
      </c>
      <c r="E2490" s="3" t="inlineStr">
        <is>
          <t>Flight No</t>
        </is>
      </c>
      <c r="F2490" s="3" t="inlineStr">
        <is>
          <t>Dep Stn</t>
        </is>
      </c>
      <c r="G2490" s="3" t="inlineStr">
        <is>
          <t>Arr Stn</t>
        </is>
      </c>
      <c r="H2490" s="3" t="inlineStr">
        <is>
          <t>STD</t>
        </is>
      </c>
      <c r="I2490" s="3" t="inlineStr">
        <is>
          <t>STA</t>
        </is>
      </c>
      <c r="J2490" s="3" t="inlineStr">
        <is>
          <t>subflota</t>
        </is>
      </c>
      <c r="K2490" s="3" t="inlineStr">
        <is>
          <t>Conexion</t>
        </is>
      </c>
      <c r="L2490" s="3" t="inlineStr">
        <is>
          <t>HBT</t>
        </is>
      </c>
    </row>
    <row r="2491">
      <c r="B2491" s="4" t="n">
        <v>2421</v>
      </c>
      <c r="C2491" s="4" t="inlineStr">
        <is>
          <t>28/09/2026</t>
        </is>
      </c>
      <c r="D2491" s="4" t="inlineStr">
        <is>
          <t>lunes</t>
        </is>
      </c>
      <c r="E2491" s="4" t="n">
        <v>2316</v>
      </c>
      <c r="F2491" s="4" t="inlineStr">
        <is>
          <t>LIM</t>
        </is>
      </c>
      <c r="G2491" s="4" t="inlineStr">
        <is>
          <t>PIU</t>
        </is>
      </c>
      <c r="H2491" s="4" t="inlineStr">
        <is>
          <t>11:40:00</t>
        </is>
      </c>
      <c r="I2491" s="4" t="inlineStr">
        <is>
          <t>13:25:00</t>
        </is>
      </c>
      <c r="J2491" s="4" t="n">
        <v>320</v>
      </c>
      <c r="L2491" s="4" t="inlineStr">
        <is>
          <t>01:45:00</t>
        </is>
      </c>
      <c r="M2491" s="5" t="n"/>
      <c r="N2491" s="6" t="n"/>
      <c r="O2491" s="5" t="n"/>
      <c r="Q2491" s="4">
        <f>B2491</f>
        <v/>
      </c>
      <c r="R2491" s="4">
        <f>C2491</f>
        <v/>
      </c>
      <c r="S2491" s="4">
        <f>D2491</f>
        <v/>
      </c>
      <c r="T2491" s="4">
        <f>E2491&amp;"/"&amp;E2492</f>
        <v/>
      </c>
      <c r="U2491" s="4">
        <f>F2491&amp;"-"&amp;G2491&amp;"-"&amp;F2491</f>
        <v/>
      </c>
      <c r="V2491" s="4">
        <f>IF($M$2491="","",$M$2491)</f>
        <v/>
      </c>
      <c r="W2491" s="4">
        <f>IF($O$2491="","",$O$2491)</f>
        <v/>
      </c>
      <c r="X2491" s="4">
        <f>J2491</f>
        <v/>
      </c>
    </row>
    <row r="2492">
      <c r="B2492" s="4" t="n">
        <v>2421</v>
      </c>
      <c r="C2492" s="4" t="inlineStr">
        <is>
          <t>28/09/2026</t>
        </is>
      </c>
      <c r="D2492" s="4" t="inlineStr">
        <is>
          <t>lunes</t>
        </is>
      </c>
      <c r="E2492" s="4" t="n">
        <v>2317</v>
      </c>
      <c r="F2492" s="4" t="inlineStr">
        <is>
          <t>PIU</t>
        </is>
      </c>
      <c r="G2492" s="4" t="inlineStr">
        <is>
          <t>LIM</t>
        </is>
      </c>
      <c r="H2492" s="4" t="inlineStr">
        <is>
          <t>14:05:00</t>
        </is>
      </c>
      <c r="I2492" s="4" t="inlineStr">
        <is>
          <t>15:40:00</t>
        </is>
      </c>
      <c r="J2492" s="4" t="n">
        <v>320</v>
      </c>
      <c r="K2492">
        <f>TEXT(TIMEVALUE(H2492)-TIMEVALUE(I2491)+(TIMEVALUE(H2492)&lt;TIMEVALUE(I2491)),"[h]:mm")</f>
        <v/>
      </c>
      <c r="L2492" s="4" t="inlineStr">
        <is>
          <t>01:35:00</t>
        </is>
      </c>
      <c r="O2492">
        <f>"LIM-"&amp;G2491&amp;"-LIM   LA "&amp;E2491&amp;" ("&amp;LEFT(H2491,5)&amp;"-"&amp;LEFT(I2491,5)&amp;" hrs)  /  LA "&amp;E2492&amp;" ("&amp;LEFT(H2492,5)&amp;"-"&amp;LEFT(I2492,5)&amp;" hrs)"</f>
        <v/>
      </c>
    </row>
    <row r="2493">
      <c r="B2493" s="4" t="n">
        <v>2449</v>
      </c>
      <c r="C2493" s="4" t="inlineStr">
        <is>
          <t>28/09/2026</t>
        </is>
      </c>
      <c r="D2493" s="4" t="inlineStr">
        <is>
          <t>lunes</t>
        </is>
      </c>
      <c r="E2493" s="4" t="n">
        <v>2276</v>
      </c>
      <c r="F2493" s="4" t="inlineStr">
        <is>
          <t>LIM</t>
        </is>
      </c>
      <c r="G2493" s="4" t="inlineStr">
        <is>
          <t>CUZ</t>
        </is>
      </c>
      <c r="H2493" s="4" t="inlineStr">
        <is>
          <t>16:35:00</t>
        </is>
      </c>
      <c r="I2493" s="4" t="inlineStr">
        <is>
          <t>17:55:00</t>
        </is>
      </c>
      <c r="J2493" s="4" t="n">
        <v>320</v>
      </c>
      <c r="K2493" s="7">
        <f>TEXT(TIMEVALUE(H2493)-TIMEVALUE(I2492)+(TIMEVALUE(H2493)&lt;TIMEVALUE(I2492)),"[h]:mm")</f>
        <v/>
      </c>
      <c r="L2493" s="4" t="inlineStr">
        <is>
          <t>01:20:00</t>
        </is>
      </c>
      <c r="M2493">
        <f>IF($M$2491="","",$M$2491)</f>
        <v/>
      </c>
      <c r="O2493">
        <f>IF($O$2491="","",$O$2491)</f>
        <v/>
      </c>
      <c r="Q2493" s="4">
        <f>B2493</f>
        <v/>
      </c>
      <c r="R2493" s="4">
        <f>C2493</f>
        <v/>
      </c>
      <c r="S2493" s="4">
        <f>D2493</f>
        <v/>
      </c>
      <c r="T2493" s="4">
        <f>E2493&amp;"/"&amp;E2494</f>
        <v/>
      </c>
      <c r="U2493" s="4">
        <f>F2493&amp;"-"&amp;G2493&amp;"-"&amp;F2493</f>
        <v/>
      </c>
      <c r="V2493" s="4">
        <f>IF($M$2491="","",$M$2491)</f>
        <v/>
      </c>
      <c r="W2493" s="4">
        <f>IF($O$2491="","",$O$2491)</f>
        <v/>
      </c>
      <c r="X2493" s="4">
        <f>J2493</f>
        <v/>
      </c>
    </row>
    <row r="2494">
      <c r="B2494" s="4" t="n">
        <v>2449</v>
      </c>
      <c r="C2494" s="4" t="inlineStr">
        <is>
          <t>28/09/2026</t>
        </is>
      </c>
      <c r="D2494" s="4" t="inlineStr">
        <is>
          <t>lunes</t>
        </is>
      </c>
      <c r="E2494" s="4" t="n">
        <v>2277</v>
      </c>
      <c r="F2494" s="4" t="inlineStr">
        <is>
          <t>CUZ</t>
        </is>
      </c>
      <c r="G2494" s="4" t="inlineStr">
        <is>
          <t>LIM</t>
        </is>
      </c>
      <c r="H2494" s="4" t="inlineStr">
        <is>
          <t>18:50:00</t>
        </is>
      </c>
      <c r="I2494" s="4" t="inlineStr">
        <is>
          <t>20:25:00</t>
        </is>
      </c>
      <c r="J2494" s="4" t="n">
        <v>320</v>
      </c>
      <c r="K2494">
        <f>TEXT(TIMEVALUE(H2494)-TIMEVALUE(I2493)+(TIMEVALUE(H2494)&lt;TIMEVALUE(I2493)),"[h]:mm")</f>
        <v/>
      </c>
      <c r="L2494" s="4" t="inlineStr">
        <is>
          <t>01:35:00</t>
        </is>
      </c>
      <c r="O2494">
        <f>"LIM-"&amp;G2493&amp;"-LIM   LA "&amp;E2493&amp;" ("&amp;LEFT(H2493,5)&amp;"-"&amp;LEFT(I2493,5)&amp;" hrs)  /  LA "&amp;E2494&amp;" ("&amp;LEFT(H2494,5)&amp;"-"&amp;LEFT(I2494,5)&amp;" hrs)"</f>
        <v/>
      </c>
    </row>
    <row r="2495">
      <c r="J2495" s="8" t="inlineStr">
        <is>
          <t>PSV total:</t>
        </is>
      </c>
      <c r="K2495" s="9">
        <f>TEXT(TIMEVALUE(I2494)-TIMEVALUE(H2491)+(I2494&lt;H2491),"[h]:mm")</f>
        <v/>
      </c>
    </row>
    <row r="2497">
      <c r="B2497" s="3" t="inlineStr">
        <is>
          <t>Pairing ID</t>
        </is>
      </c>
      <c r="C2497" s="3" t="inlineStr">
        <is>
          <t>FECHA REAL</t>
        </is>
      </c>
      <c r="D2497" s="3" t="inlineStr">
        <is>
          <t>Day of Week</t>
        </is>
      </c>
      <c r="E2497" s="3" t="inlineStr">
        <is>
          <t>Flight No</t>
        </is>
      </c>
      <c r="F2497" s="3" t="inlineStr">
        <is>
          <t>Dep Stn</t>
        </is>
      </c>
      <c r="G2497" s="3" t="inlineStr">
        <is>
          <t>Arr Stn</t>
        </is>
      </c>
      <c r="H2497" s="3" t="inlineStr">
        <is>
          <t>STD</t>
        </is>
      </c>
      <c r="I2497" s="3" t="inlineStr">
        <is>
          <t>STA</t>
        </is>
      </c>
      <c r="J2497" s="3" t="inlineStr">
        <is>
          <t>subflota</t>
        </is>
      </c>
      <c r="K2497" s="3" t="inlineStr">
        <is>
          <t>Conexion</t>
        </is>
      </c>
      <c r="L2497" s="3" t="inlineStr">
        <is>
          <t>HBT</t>
        </is>
      </c>
    </row>
    <row r="2498">
      <c r="B2498" s="4" t="n">
        <v>2422</v>
      </c>
      <c r="C2498" s="4" t="inlineStr">
        <is>
          <t>28/09/2026</t>
        </is>
      </c>
      <c r="D2498" s="4" t="inlineStr">
        <is>
          <t>lunes</t>
        </is>
      </c>
      <c r="E2498" s="4" t="n">
        <v>2111</v>
      </c>
      <c r="F2498" s="4" t="inlineStr">
        <is>
          <t>LIM</t>
        </is>
      </c>
      <c r="G2498" s="4" t="inlineStr">
        <is>
          <t>AQP</t>
        </is>
      </c>
      <c r="H2498" s="4" t="inlineStr">
        <is>
          <t>11:40:00</t>
        </is>
      </c>
      <c r="I2498" s="4" t="inlineStr">
        <is>
          <t>13:10:00</t>
        </is>
      </c>
      <c r="J2498" s="4" t="n">
        <v>320</v>
      </c>
      <c r="L2498" s="4" t="inlineStr">
        <is>
          <t>01:30:00</t>
        </is>
      </c>
      <c r="M2498" s="5" t="n"/>
      <c r="N2498" s="6" t="n"/>
      <c r="O2498" s="5" t="n"/>
      <c r="Q2498" s="4">
        <f>B2498</f>
        <v/>
      </c>
      <c r="R2498" s="4">
        <f>C2498</f>
        <v/>
      </c>
      <c r="S2498" s="4">
        <f>D2498</f>
        <v/>
      </c>
      <c r="T2498" s="4">
        <f>E2498&amp;"/"&amp;E2499</f>
        <v/>
      </c>
      <c r="U2498" s="4">
        <f>F2498&amp;"-"&amp;G2498&amp;"-"&amp;F2498</f>
        <v/>
      </c>
      <c r="V2498" s="4">
        <f>IF($M$2498="","",$M$2498)</f>
        <v/>
      </c>
      <c r="W2498" s="4">
        <f>IF($O$2498="","",$O$2498)</f>
        <v/>
      </c>
      <c r="X2498" s="4">
        <f>J2498</f>
        <v/>
      </c>
    </row>
    <row r="2499">
      <c r="B2499" s="4" t="n">
        <v>2422</v>
      </c>
      <c r="C2499" s="4" t="inlineStr">
        <is>
          <t>28/09/2026</t>
        </is>
      </c>
      <c r="D2499" s="4" t="inlineStr">
        <is>
          <t>lunes</t>
        </is>
      </c>
      <c r="E2499" s="4" t="n">
        <v>2110</v>
      </c>
      <c r="F2499" s="4" t="inlineStr">
        <is>
          <t>AQP</t>
        </is>
      </c>
      <c r="G2499" s="4" t="inlineStr">
        <is>
          <t>LIM</t>
        </is>
      </c>
      <c r="H2499" s="4" t="inlineStr">
        <is>
          <t>17:50:00</t>
        </is>
      </c>
      <c r="I2499" s="4" t="inlineStr">
        <is>
          <t>19:30:00</t>
        </is>
      </c>
      <c r="J2499" s="4" t="n">
        <v>320</v>
      </c>
      <c r="K2499">
        <f>TEXT(TIMEVALUE(H2499)-TIMEVALUE(I2498)+(TIMEVALUE(H2499)&lt;TIMEVALUE(I2498)),"[h]:mm")</f>
        <v/>
      </c>
      <c r="L2499" s="4" t="inlineStr">
        <is>
          <t>01:40:00</t>
        </is>
      </c>
      <c r="O2499">
        <f>"LIM-"&amp;G2498&amp;"-LIM   LA "&amp;E2498&amp;" ("&amp;LEFT(H2498,5)&amp;"-"&amp;LEFT(I2498,5)&amp;" hrs)  /  LA "&amp;E2499&amp;" ("&amp;LEFT(H2499,5)&amp;"-"&amp;LEFT(I2499,5)&amp;" hrs)"</f>
        <v/>
      </c>
    </row>
    <row r="2500">
      <c r="J2500" s="8" t="inlineStr">
        <is>
          <t>PSV total:</t>
        </is>
      </c>
      <c r="K2500" s="9">
        <f>TEXT(TIMEVALUE(I2499)-TIMEVALUE(H2498)+(I2499&lt;H2498),"[h]:mm")</f>
        <v/>
      </c>
    </row>
    <row r="2502">
      <c r="B2502" s="3" t="inlineStr">
        <is>
          <t>Pairing ID</t>
        </is>
      </c>
      <c r="C2502" s="3" t="inlineStr">
        <is>
          <t>FECHA REAL</t>
        </is>
      </c>
      <c r="D2502" s="3" t="inlineStr">
        <is>
          <t>Day of Week</t>
        </is>
      </c>
      <c r="E2502" s="3" t="inlineStr">
        <is>
          <t>Flight No</t>
        </is>
      </c>
      <c r="F2502" s="3" t="inlineStr">
        <is>
          <t>Dep Stn</t>
        </is>
      </c>
      <c r="G2502" s="3" t="inlineStr">
        <is>
          <t>Arr Stn</t>
        </is>
      </c>
      <c r="H2502" s="3" t="inlineStr">
        <is>
          <t>STD</t>
        </is>
      </c>
      <c r="I2502" s="3" t="inlineStr">
        <is>
          <t>STA</t>
        </is>
      </c>
      <c r="J2502" s="3" t="inlineStr">
        <is>
          <t>subflota</t>
        </is>
      </c>
      <c r="K2502" s="3" t="inlineStr">
        <is>
          <t>Conexion</t>
        </is>
      </c>
      <c r="L2502" s="3" t="inlineStr">
        <is>
          <t>HBT</t>
        </is>
      </c>
    </row>
    <row r="2503">
      <c r="B2503" s="4" t="n">
        <v>2423</v>
      </c>
      <c r="C2503" s="4" t="inlineStr">
        <is>
          <t>28/09/2026</t>
        </is>
      </c>
      <c r="D2503" s="4" t="inlineStr">
        <is>
          <t>lunes</t>
        </is>
      </c>
      <c r="E2503" s="4" t="n">
        <v>2061</v>
      </c>
      <c r="F2503" s="4" t="inlineStr">
        <is>
          <t>LIM</t>
        </is>
      </c>
      <c r="G2503" s="4" t="inlineStr">
        <is>
          <t>CUZ</t>
        </is>
      </c>
      <c r="H2503" s="4" t="inlineStr">
        <is>
          <t>11:40:00</t>
        </is>
      </c>
      <c r="I2503" s="4" t="inlineStr">
        <is>
          <t>13:00:00</t>
        </is>
      </c>
      <c r="J2503" s="4" t="n">
        <v>320</v>
      </c>
      <c r="L2503" s="4" t="inlineStr">
        <is>
          <t>01:20:00</t>
        </is>
      </c>
      <c r="M2503" s="5" t="n"/>
      <c r="N2503" s="6" t="n"/>
      <c r="O2503" s="5" t="n"/>
      <c r="Q2503" s="4">
        <f>B2503</f>
        <v/>
      </c>
      <c r="R2503" s="4">
        <f>C2503</f>
        <v/>
      </c>
      <c r="S2503" s="4">
        <f>D2503</f>
        <v/>
      </c>
      <c r="T2503" s="4">
        <f>E2503&amp;"/"&amp;E2504</f>
        <v/>
      </c>
      <c r="U2503" s="4">
        <f>F2503&amp;"-"&amp;G2503&amp;"-"&amp;F2503</f>
        <v/>
      </c>
      <c r="V2503" s="4">
        <f>IF($M$2503="","",$M$2503)</f>
        <v/>
      </c>
      <c r="W2503" s="4">
        <f>IF($O$2503="","",$O$2503)</f>
        <v/>
      </c>
      <c r="X2503" s="4">
        <f>J2503</f>
        <v/>
      </c>
    </row>
    <row r="2504">
      <c r="B2504" s="4" t="n">
        <v>2423</v>
      </c>
      <c r="C2504" s="4" t="inlineStr">
        <is>
          <t>28/09/2026</t>
        </is>
      </c>
      <c r="D2504" s="4" t="inlineStr">
        <is>
          <t>lunes</t>
        </is>
      </c>
      <c r="E2504" s="4" t="n">
        <v>2062</v>
      </c>
      <c r="F2504" s="4" t="inlineStr">
        <is>
          <t>CUZ</t>
        </is>
      </c>
      <c r="G2504" s="4" t="inlineStr">
        <is>
          <t>LIM</t>
        </is>
      </c>
      <c r="H2504" s="4" t="inlineStr">
        <is>
          <t>13:40:00</t>
        </is>
      </c>
      <c r="I2504" s="4" t="inlineStr">
        <is>
          <t>15:15:00</t>
        </is>
      </c>
      <c r="J2504" s="4" t="n">
        <v>320</v>
      </c>
      <c r="K2504">
        <f>TEXT(TIMEVALUE(H2504)-TIMEVALUE(I2503)+(TIMEVALUE(H2504)&lt;TIMEVALUE(I2503)),"[h]:mm")</f>
        <v/>
      </c>
      <c r="L2504" s="4" t="inlineStr">
        <is>
          <t>01:35:00</t>
        </is>
      </c>
      <c r="O2504">
        <f>"LIM-"&amp;G2503&amp;"-LIM   LA "&amp;E2503&amp;" ("&amp;LEFT(H2503,5)&amp;"-"&amp;LEFT(I2503,5)&amp;" hrs)  /  LA "&amp;E2504&amp;" ("&amp;LEFT(H2504,5)&amp;"-"&amp;LEFT(I2504,5)&amp;" hrs)"</f>
        <v/>
      </c>
    </row>
    <row r="2505">
      <c r="J2505" s="8" t="inlineStr">
        <is>
          <t>PSV total:</t>
        </is>
      </c>
      <c r="K2505" s="9">
        <f>TEXT(TIMEVALUE(I2504)-TIMEVALUE(H2503)+(I2504&lt;H2503),"[h]:mm")</f>
        <v/>
      </c>
    </row>
    <row r="2507">
      <c r="B2507" s="3" t="inlineStr">
        <is>
          <t>Pairing ID</t>
        </is>
      </c>
      <c r="C2507" s="3" t="inlineStr">
        <is>
          <t>FECHA REAL</t>
        </is>
      </c>
      <c r="D2507" s="3" t="inlineStr">
        <is>
          <t>Day of Week</t>
        </is>
      </c>
      <c r="E2507" s="3" t="inlineStr">
        <is>
          <t>Flight No</t>
        </is>
      </c>
      <c r="F2507" s="3" t="inlineStr">
        <is>
          <t>Dep Stn</t>
        </is>
      </c>
      <c r="G2507" s="3" t="inlineStr">
        <is>
          <t>Arr Stn</t>
        </is>
      </c>
      <c r="H2507" s="3" t="inlineStr">
        <is>
          <t>STD</t>
        </is>
      </c>
      <c r="I2507" s="3" t="inlineStr">
        <is>
          <t>STA</t>
        </is>
      </c>
      <c r="J2507" s="3" t="inlineStr">
        <is>
          <t>subflota</t>
        </is>
      </c>
      <c r="K2507" s="3" t="inlineStr">
        <is>
          <t>Conexion</t>
        </is>
      </c>
      <c r="L2507" s="3" t="inlineStr">
        <is>
          <t>HBT</t>
        </is>
      </c>
    </row>
    <row r="2508">
      <c r="B2508" s="4" t="n">
        <v>2429</v>
      </c>
      <c r="C2508" s="4" t="inlineStr">
        <is>
          <t>28/09/2026</t>
        </is>
      </c>
      <c r="D2508" s="4" t="inlineStr">
        <is>
          <t>lunes</t>
        </is>
      </c>
      <c r="E2508" s="4" t="n">
        <v>2270</v>
      </c>
      <c r="F2508" s="4" t="inlineStr">
        <is>
          <t>LIM</t>
        </is>
      </c>
      <c r="G2508" s="4" t="inlineStr">
        <is>
          <t>CIX</t>
        </is>
      </c>
      <c r="H2508" s="4" t="inlineStr">
        <is>
          <t>13:00:00</t>
        </is>
      </c>
      <c r="I2508" s="4" t="inlineStr">
        <is>
          <t>14:30:00</t>
        </is>
      </c>
      <c r="J2508" s="4" t="n">
        <v>319</v>
      </c>
      <c r="L2508" s="4" t="inlineStr">
        <is>
          <t>01:30:00</t>
        </is>
      </c>
      <c r="M2508" s="5" t="n"/>
      <c r="N2508" s="6" t="n"/>
      <c r="O2508" s="5" t="n"/>
      <c r="Q2508" s="4">
        <f>B2508</f>
        <v/>
      </c>
      <c r="R2508" s="4">
        <f>C2508</f>
        <v/>
      </c>
      <c r="S2508" s="4">
        <f>D2508</f>
        <v/>
      </c>
      <c r="T2508" s="4">
        <f>E2508&amp;"/"&amp;E2509</f>
        <v/>
      </c>
      <c r="U2508" s="4">
        <f>F2508&amp;"-"&amp;G2508&amp;"-"&amp;F2508</f>
        <v/>
      </c>
      <c r="V2508" s="4">
        <f>IF($M$2508="","",$M$2508)</f>
        <v/>
      </c>
      <c r="W2508" s="4">
        <f>IF($O$2508="","",$O$2508)</f>
        <v/>
      </c>
      <c r="X2508" s="4">
        <f>J2508</f>
        <v/>
      </c>
    </row>
    <row r="2509">
      <c r="B2509" s="4" t="n">
        <v>2429</v>
      </c>
      <c r="C2509" s="4" t="inlineStr">
        <is>
          <t>28/09/2026</t>
        </is>
      </c>
      <c r="D2509" s="4" t="inlineStr">
        <is>
          <t>lunes</t>
        </is>
      </c>
      <c r="E2509" s="4" t="n">
        <v>2271</v>
      </c>
      <c r="F2509" s="4" t="inlineStr">
        <is>
          <t>CIX</t>
        </is>
      </c>
      <c r="G2509" s="4" t="inlineStr">
        <is>
          <t>LIM</t>
        </is>
      </c>
      <c r="H2509" s="4" t="inlineStr">
        <is>
          <t>15:05:00</t>
        </is>
      </c>
      <c r="I2509" s="4" t="inlineStr">
        <is>
          <t>16:20:00</t>
        </is>
      </c>
      <c r="J2509" s="4" t="n">
        <v>319</v>
      </c>
      <c r="K2509">
        <f>TEXT(TIMEVALUE(H2509)-TIMEVALUE(I2508)+(TIMEVALUE(H2509)&lt;TIMEVALUE(I2508)),"[h]:mm")</f>
        <v/>
      </c>
      <c r="L2509" s="4" t="inlineStr">
        <is>
          <t>01:15:00</t>
        </is>
      </c>
      <c r="O2509">
        <f>"LIM-"&amp;G2508&amp;"-LIM   LA "&amp;E2508&amp;" ("&amp;LEFT(H2508,5)&amp;"-"&amp;LEFT(I2508,5)&amp;" hrs)  /  LA "&amp;E2509&amp;" ("&amp;LEFT(H2509,5)&amp;"-"&amp;LEFT(I2509,5)&amp;" hrs)"</f>
        <v/>
      </c>
    </row>
    <row r="2510">
      <c r="B2510" s="4" t="n">
        <v>2451</v>
      </c>
      <c r="C2510" s="4" t="inlineStr">
        <is>
          <t>28/09/2026</t>
        </is>
      </c>
      <c r="D2510" s="4" t="inlineStr">
        <is>
          <t>lunes</t>
        </is>
      </c>
      <c r="E2510" s="4" t="n">
        <v>2115</v>
      </c>
      <c r="F2510" s="4" t="inlineStr">
        <is>
          <t>LIM</t>
        </is>
      </c>
      <c r="G2510" s="4" t="inlineStr">
        <is>
          <t>AQP</t>
        </is>
      </c>
      <c r="H2510" s="4" t="inlineStr">
        <is>
          <t>17:15:00</t>
        </is>
      </c>
      <c r="I2510" s="4" t="inlineStr">
        <is>
          <t>18:45:00</t>
        </is>
      </c>
      <c r="J2510" s="4" t="n">
        <v>319</v>
      </c>
      <c r="K2510" s="7">
        <f>TEXT(TIMEVALUE(H2510)-TIMEVALUE(I2509)+(TIMEVALUE(H2510)&lt;TIMEVALUE(I2509)),"[h]:mm")</f>
        <v/>
      </c>
      <c r="L2510" s="4" t="inlineStr">
        <is>
          <t>01:30:00</t>
        </is>
      </c>
      <c r="M2510">
        <f>IF($M$2508="","",$M$2508)</f>
        <v/>
      </c>
      <c r="O2510">
        <f>IF($O$2508="","",$O$2508)</f>
        <v/>
      </c>
      <c r="Q2510" s="4">
        <f>B2510</f>
        <v/>
      </c>
      <c r="R2510" s="4">
        <f>C2510</f>
        <v/>
      </c>
      <c r="S2510" s="4">
        <f>D2510</f>
        <v/>
      </c>
      <c r="T2510" s="4">
        <f>E2510&amp;"/"&amp;E2511</f>
        <v/>
      </c>
      <c r="U2510" s="4">
        <f>F2510&amp;"-"&amp;G2510&amp;"-"&amp;F2510</f>
        <v/>
      </c>
      <c r="V2510" s="4">
        <f>IF($M$2508="","",$M$2508)</f>
        <v/>
      </c>
      <c r="W2510" s="4">
        <f>IF($O$2508="","",$O$2508)</f>
        <v/>
      </c>
      <c r="X2510" s="4">
        <f>J2510</f>
        <v/>
      </c>
    </row>
    <row r="2511">
      <c r="B2511" s="4" t="n">
        <v>2451</v>
      </c>
      <c r="C2511" s="4" t="inlineStr">
        <is>
          <t>28/09/2026</t>
        </is>
      </c>
      <c r="D2511" s="4" t="inlineStr">
        <is>
          <t>lunes</t>
        </is>
      </c>
      <c r="E2511" s="4" t="n">
        <v>2114</v>
      </c>
      <c r="F2511" s="4" t="inlineStr">
        <is>
          <t>AQP</t>
        </is>
      </c>
      <c r="G2511" s="4" t="inlineStr">
        <is>
          <t>LIM</t>
        </is>
      </c>
      <c r="H2511" s="4" t="inlineStr">
        <is>
          <t>19:20:00</t>
        </is>
      </c>
      <c r="I2511" s="4" t="inlineStr">
        <is>
          <t>20:55:00</t>
        </is>
      </c>
      <c r="J2511" s="4" t="n">
        <v>319</v>
      </c>
      <c r="K2511">
        <f>TEXT(TIMEVALUE(H2511)-TIMEVALUE(I2510)+(TIMEVALUE(H2511)&lt;TIMEVALUE(I2510)),"[h]:mm")</f>
        <v/>
      </c>
      <c r="L2511" s="4" t="inlineStr">
        <is>
          <t>01:35:00</t>
        </is>
      </c>
      <c r="O2511">
        <f>"LIM-"&amp;G2510&amp;"-LIM   LA "&amp;E2510&amp;" ("&amp;LEFT(H2510,5)&amp;"-"&amp;LEFT(I2510,5)&amp;" hrs)  /  LA "&amp;E2511&amp;" ("&amp;LEFT(H2511,5)&amp;"-"&amp;LEFT(I2511,5)&amp;" hrs)"</f>
        <v/>
      </c>
    </row>
    <row r="2512">
      <c r="J2512" s="8" t="inlineStr">
        <is>
          <t>PSV total:</t>
        </is>
      </c>
      <c r="K2512" s="9">
        <f>TEXT(TIMEVALUE(I2511)-TIMEVALUE(H2508)+(I2511&lt;H2508),"[h]:mm")</f>
        <v/>
      </c>
    </row>
    <row r="2514">
      <c r="B2514" s="3" t="inlineStr">
        <is>
          <t>Pairing ID</t>
        </is>
      </c>
      <c r="C2514" s="3" t="inlineStr">
        <is>
          <t>FECHA REAL</t>
        </is>
      </c>
      <c r="D2514" s="3" t="inlineStr">
        <is>
          <t>Day of Week</t>
        </is>
      </c>
      <c r="E2514" s="3" t="inlineStr">
        <is>
          <t>Flight No</t>
        </is>
      </c>
      <c r="F2514" s="3" t="inlineStr">
        <is>
          <t>Dep Stn</t>
        </is>
      </c>
      <c r="G2514" s="3" t="inlineStr">
        <is>
          <t>Arr Stn</t>
        </is>
      </c>
      <c r="H2514" s="3" t="inlineStr">
        <is>
          <t>STD</t>
        </is>
      </c>
      <c r="I2514" s="3" t="inlineStr">
        <is>
          <t>STA</t>
        </is>
      </c>
      <c r="J2514" s="3" t="inlineStr">
        <is>
          <t>subflota</t>
        </is>
      </c>
      <c r="K2514" s="3" t="inlineStr">
        <is>
          <t>Conexion</t>
        </is>
      </c>
      <c r="L2514" s="3" t="inlineStr">
        <is>
          <t>HBT</t>
        </is>
      </c>
    </row>
    <row r="2515">
      <c r="B2515" s="4" t="n">
        <v>2433</v>
      </c>
      <c r="C2515" s="4" t="inlineStr">
        <is>
          <t>28/09/2026</t>
        </is>
      </c>
      <c r="D2515" s="4" t="inlineStr">
        <is>
          <t>lunes</t>
        </is>
      </c>
      <c r="E2515" s="4" t="n">
        <v>2055</v>
      </c>
      <c r="F2515" s="4" t="inlineStr">
        <is>
          <t>LIM</t>
        </is>
      </c>
      <c r="G2515" s="4" t="inlineStr">
        <is>
          <t>AQP</t>
        </is>
      </c>
      <c r="H2515" s="4" t="inlineStr">
        <is>
          <t>13:50:00</t>
        </is>
      </c>
      <c r="I2515" s="4" t="inlineStr">
        <is>
          <t>15:20:00</t>
        </is>
      </c>
      <c r="J2515" s="4" t="n">
        <v>320</v>
      </c>
      <c r="L2515" s="4" t="inlineStr">
        <is>
          <t>01:30:00</t>
        </is>
      </c>
      <c r="M2515" s="5" t="n"/>
      <c r="N2515" s="6" t="n"/>
      <c r="O2515" s="5" t="n"/>
      <c r="Q2515" s="4">
        <f>B2515</f>
        <v/>
      </c>
      <c r="R2515" s="4">
        <f>C2515</f>
        <v/>
      </c>
      <c r="S2515" s="4">
        <f>D2515</f>
        <v/>
      </c>
      <c r="T2515" s="4">
        <f>E2515&amp;"/"&amp;E2516</f>
        <v/>
      </c>
      <c r="U2515" s="4">
        <f>F2515&amp;"-"&amp;G2515&amp;"-"&amp;F2515</f>
        <v/>
      </c>
      <c r="V2515" s="4">
        <f>IF($M$2515="","",$M$2515)</f>
        <v/>
      </c>
      <c r="W2515" s="4">
        <f>IF($O$2515="","",$O$2515)</f>
        <v/>
      </c>
      <c r="X2515" s="4">
        <f>J2515</f>
        <v/>
      </c>
    </row>
    <row r="2516">
      <c r="B2516" s="4" t="n">
        <v>2433</v>
      </c>
      <c r="C2516" s="4" t="inlineStr">
        <is>
          <t>28/09/2026</t>
        </is>
      </c>
      <c r="D2516" s="4" t="inlineStr">
        <is>
          <t>lunes</t>
        </is>
      </c>
      <c r="E2516" s="4" t="n">
        <v>2056</v>
      </c>
      <c r="F2516" s="4" t="inlineStr">
        <is>
          <t>AQP</t>
        </is>
      </c>
      <c r="G2516" s="4" t="inlineStr">
        <is>
          <t>LIM</t>
        </is>
      </c>
      <c r="H2516" s="4" t="inlineStr">
        <is>
          <t>16:10:00</t>
        </is>
      </c>
      <c r="I2516" s="4" t="inlineStr">
        <is>
          <t>17:50:00</t>
        </is>
      </c>
      <c r="J2516" s="4" t="n">
        <v>320</v>
      </c>
      <c r="K2516">
        <f>TEXT(TIMEVALUE(H2516)-TIMEVALUE(I2515)+(TIMEVALUE(H2516)&lt;TIMEVALUE(I2515)),"[h]:mm")</f>
        <v/>
      </c>
      <c r="L2516" s="4" t="inlineStr">
        <is>
          <t>01:40:00</t>
        </is>
      </c>
      <c r="O2516">
        <f>"LIM-"&amp;G2515&amp;"-LIM   LA "&amp;E2515&amp;" ("&amp;LEFT(H2515,5)&amp;"-"&amp;LEFT(I2515,5)&amp;" hrs)  /  LA "&amp;E2516&amp;" ("&amp;LEFT(H2516,5)&amp;"-"&amp;LEFT(I2516,5)&amp;" hrs)"</f>
        <v/>
      </c>
    </row>
    <row r="2517">
      <c r="J2517" s="8" t="inlineStr">
        <is>
          <t>PSV total:</t>
        </is>
      </c>
      <c r="K2517" s="9">
        <f>TEXT(TIMEVALUE(I2516)-TIMEVALUE(H2515)+(I2516&lt;H2515),"[h]:mm")</f>
        <v/>
      </c>
    </row>
    <row r="2519">
      <c r="B2519" s="3" t="inlineStr">
        <is>
          <t>Pairing ID</t>
        </is>
      </c>
      <c r="C2519" s="3" t="inlineStr">
        <is>
          <t>FECHA REAL</t>
        </is>
      </c>
      <c r="D2519" s="3" t="inlineStr">
        <is>
          <t>Day of Week</t>
        </is>
      </c>
      <c r="E2519" s="3" t="inlineStr">
        <is>
          <t>Flight No</t>
        </is>
      </c>
      <c r="F2519" s="3" t="inlineStr">
        <is>
          <t>Dep Stn</t>
        </is>
      </c>
      <c r="G2519" s="3" t="inlineStr">
        <is>
          <t>Arr Stn</t>
        </is>
      </c>
      <c r="H2519" s="3" t="inlineStr">
        <is>
          <t>STD</t>
        </is>
      </c>
      <c r="I2519" s="3" t="inlineStr">
        <is>
          <t>STA</t>
        </is>
      </c>
      <c r="J2519" s="3" t="inlineStr">
        <is>
          <t>subflota</t>
        </is>
      </c>
      <c r="K2519" s="3" t="inlineStr">
        <is>
          <t>Conexion</t>
        </is>
      </c>
      <c r="L2519" s="3" t="inlineStr">
        <is>
          <t>HBT</t>
        </is>
      </c>
    </row>
    <row r="2520">
      <c r="B2520" s="4" t="n">
        <v>2434</v>
      </c>
      <c r="C2520" s="4" t="inlineStr">
        <is>
          <t>28/09/2026</t>
        </is>
      </c>
      <c r="D2520" s="4" t="inlineStr">
        <is>
          <t>lunes</t>
        </is>
      </c>
      <c r="E2520" s="4" t="n">
        <v>2055</v>
      </c>
      <c r="F2520" s="4" t="inlineStr">
        <is>
          <t>LIM</t>
        </is>
      </c>
      <c r="G2520" s="4" t="inlineStr">
        <is>
          <t>AQP</t>
        </is>
      </c>
      <c r="H2520" s="4" t="inlineStr">
        <is>
          <t>13:50:00</t>
        </is>
      </c>
      <c r="I2520" s="4" t="inlineStr">
        <is>
          <t>15:20:00</t>
        </is>
      </c>
      <c r="J2520" s="4" t="n">
        <v>320</v>
      </c>
      <c r="L2520" s="4" t="inlineStr">
        <is>
          <t>01:30:00</t>
        </is>
      </c>
      <c r="M2520" s="5" t="n"/>
      <c r="N2520" s="6" t="n"/>
      <c r="O2520" s="5" t="n"/>
      <c r="Q2520" s="4">
        <f>B2520</f>
        <v/>
      </c>
      <c r="R2520" s="4">
        <f>C2520</f>
        <v/>
      </c>
      <c r="S2520" s="4">
        <f>D2520</f>
        <v/>
      </c>
      <c r="T2520" s="4">
        <f>E2520&amp;"/"&amp;E2521</f>
        <v/>
      </c>
      <c r="U2520" s="4">
        <f>F2520&amp;"-"&amp;G2520&amp;"-"&amp;F2520</f>
        <v/>
      </c>
      <c r="V2520" s="4">
        <f>IF($M$2520="","",$M$2520)</f>
        <v/>
      </c>
      <c r="W2520" s="4">
        <f>IF($O$2520="","",$O$2520)</f>
        <v/>
      </c>
      <c r="X2520" s="4">
        <f>J2520</f>
        <v/>
      </c>
    </row>
    <row r="2521">
      <c r="B2521" s="4" t="n">
        <v>2434</v>
      </c>
      <c r="C2521" s="4" t="inlineStr">
        <is>
          <t>28/09/2026</t>
        </is>
      </c>
      <c r="D2521" s="4" t="inlineStr">
        <is>
          <t>lunes</t>
        </is>
      </c>
      <c r="E2521" s="4" t="n">
        <v>2056</v>
      </c>
      <c r="F2521" s="4" t="inlineStr">
        <is>
          <t>AQP</t>
        </is>
      </c>
      <c r="G2521" s="4" t="inlineStr">
        <is>
          <t>LIM</t>
        </is>
      </c>
      <c r="H2521" s="4" t="inlineStr">
        <is>
          <t>16:10:00</t>
        </is>
      </c>
      <c r="I2521" s="4" t="inlineStr">
        <is>
          <t>17:50:00</t>
        </is>
      </c>
      <c r="J2521" s="4" t="n">
        <v>320</v>
      </c>
      <c r="K2521">
        <f>TEXT(TIMEVALUE(H2521)-TIMEVALUE(I2520)+(TIMEVALUE(H2521)&lt;TIMEVALUE(I2520)),"[h]:mm")</f>
        <v/>
      </c>
      <c r="L2521" s="4" t="inlineStr">
        <is>
          <t>01:40:00</t>
        </is>
      </c>
      <c r="O2521">
        <f>"LIM-"&amp;G2520&amp;"-LIM   LA "&amp;E2520&amp;" ("&amp;LEFT(H2520,5)&amp;"-"&amp;LEFT(I2520,5)&amp;" hrs)  /  LA "&amp;E2521&amp;" ("&amp;LEFT(H2521,5)&amp;"-"&amp;LEFT(I2521,5)&amp;" hrs)"</f>
        <v/>
      </c>
    </row>
    <row r="2522">
      <c r="J2522" s="8" t="inlineStr">
        <is>
          <t>PSV total:</t>
        </is>
      </c>
      <c r="K2522" s="9">
        <f>TEXT(TIMEVALUE(I2521)-TIMEVALUE(H2520)+(I2521&lt;H2520),"[h]:mm")</f>
        <v/>
      </c>
    </row>
    <row r="2524">
      <c r="B2524" s="3" t="inlineStr">
        <is>
          <t>Pairing ID</t>
        </is>
      </c>
      <c r="C2524" s="3" t="inlineStr">
        <is>
          <t>FECHA REAL</t>
        </is>
      </c>
      <c r="D2524" s="3" t="inlineStr">
        <is>
          <t>Day of Week</t>
        </is>
      </c>
      <c r="E2524" s="3" t="inlineStr">
        <is>
          <t>Flight No</t>
        </is>
      </c>
      <c r="F2524" s="3" t="inlineStr">
        <is>
          <t>Dep Stn</t>
        </is>
      </c>
      <c r="G2524" s="3" t="inlineStr">
        <is>
          <t>Arr Stn</t>
        </is>
      </c>
      <c r="H2524" s="3" t="inlineStr">
        <is>
          <t>STD</t>
        </is>
      </c>
      <c r="I2524" s="3" t="inlineStr">
        <is>
          <t>STA</t>
        </is>
      </c>
      <c r="J2524" s="3" t="inlineStr">
        <is>
          <t>subflota</t>
        </is>
      </c>
      <c r="K2524" s="3" t="inlineStr">
        <is>
          <t>Conexion</t>
        </is>
      </c>
      <c r="L2524" s="3" t="inlineStr">
        <is>
          <t>HBT</t>
        </is>
      </c>
    </row>
    <row r="2525">
      <c r="B2525" s="4" t="n">
        <v>2435</v>
      </c>
      <c r="C2525" s="4" t="inlineStr">
        <is>
          <t>28/09/2026</t>
        </is>
      </c>
      <c r="D2525" s="4" t="inlineStr">
        <is>
          <t>lunes</t>
        </is>
      </c>
      <c r="E2525" s="4" t="n">
        <v>2087</v>
      </c>
      <c r="F2525" s="4" t="inlineStr">
        <is>
          <t>LIM</t>
        </is>
      </c>
      <c r="G2525" s="4" t="inlineStr">
        <is>
          <t>TPP</t>
        </is>
      </c>
      <c r="H2525" s="4" t="inlineStr">
        <is>
          <t>14:05:00</t>
        </is>
      </c>
      <c r="I2525" s="4" t="inlineStr">
        <is>
          <t>15:30:00</t>
        </is>
      </c>
      <c r="J2525" s="4" t="n">
        <v>320</v>
      </c>
      <c r="L2525" s="4" t="inlineStr">
        <is>
          <t>01:25:00</t>
        </is>
      </c>
      <c r="M2525" s="5" t="n"/>
      <c r="N2525" s="6" t="n"/>
      <c r="O2525" s="5" t="n"/>
      <c r="Q2525" s="4">
        <f>B2525</f>
        <v/>
      </c>
      <c r="R2525" s="4">
        <f>C2525</f>
        <v/>
      </c>
      <c r="S2525" s="4">
        <f>D2525</f>
        <v/>
      </c>
      <c r="T2525" s="4">
        <f>E2525&amp;"/"&amp;E2526</f>
        <v/>
      </c>
      <c r="U2525" s="4">
        <f>F2525&amp;"-"&amp;G2525&amp;"-"&amp;F2525</f>
        <v/>
      </c>
      <c r="V2525" s="4">
        <f>IF($M$2525="","",$M$2525)</f>
        <v/>
      </c>
      <c r="W2525" s="4">
        <f>IF($O$2525="","",$O$2525)</f>
        <v/>
      </c>
      <c r="X2525" s="4">
        <f>J2525</f>
        <v/>
      </c>
    </row>
    <row r="2526">
      <c r="B2526" s="4" t="n">
        <v>2435</v>
      </c>
      <c r="C2526" s="4" t="inlineStr">
        <is>
          <t>28/09/2026</t>
        </is>
      </c>
      <c r="D2526" s="4" t="inlineStr">
        <is>
          <t>lunes</t>
        </is>
      </c>
      <c r="E2526" s="4" t="n">
        <v>2088</v>
      </c>
      <c r="F2526" s="4" t="inlineStr">
        <is>
          <t>TPP</t>
        </is>
      </c>
      <c r="G2526" s="4" t="inlineStr">
        <is>
          <t>LIM</t>
        </is>
      </c>
      <c r="H2526" s="4" t="inlineStr">
        <is>
          <t>16:05:00</t>
        </is>
      </c>
      <c r="I2526" s="4" t="inlineStr">
        <is>
          <t>17:30:00</t>
        </is>
      </c>
      <c r="J2526" s="4" t="n">
        <v>320</v>
      </c>
      <c r="K2526">
        <f>TEXT(TIMEVALUE(H2526)-TIMEVALUE(I2525)+(TIMEVALUE(H2526)&lt;TIMEVALUE(I2525)),"[h]:mm")</f>
        <v/>
      </c>
      <c r="L2526" s="4" t="inlineStr">
        <is>
          <t>01:25:00</t>
        </is>
      </c>
      <c r="O2526">
        <f>"LIM-"&amp;G2525&amp;"-LIM   LA "&amp;E2525&amp;" ("&amp;LEFT(H2525,5)&amp;"-"&amp;LEFT(I2525,5)&amp;" hrs)  /  LA "&amp;E2526&amp;" ("&amp;LEFT(H2526,5)&amp;"-"&amp;LEFT(I2526,5)&amp;" hrs)"</f>
        <v/>
      </c>
    </row>
    <row r="2527">
      <c r="J2527" s="8" t="inlineStr">
        <is>
          <t>PSV total:</t>
        </is>
      </c>
      <c r="K2527" s="9">
        <f>TEXT(TIMEVALUE(I2526)-TIMEVALUE(H2525)+(I2526&lt;H2525),"[h]:mm")</f>
        <v/>
      </c>
    </row>
    <row r="2529">
      <c r="B2529" s="3" t="inlineStr">
        <is>
          <t>Pairing ID</t>
        </is>
      </c>
      <c r="C2529" s="3" t="inlineStr">
        <is>
          <t>FECHA REAL</t>
        </is>
      </c>
      <c r="D2529" s="3" t="inlineStr">
        <is>
          <t>Day of Week</t>
        </is>
      </c>
      <c r="E2529" s="3" t="inlineStr">
        <is>
          <t>Flight No</t>
        </is>
      </c>
      <c r="F2529" s="3" t="inlineStr">
        <is>
          <t>Dep Stn</t>
        </is>
      </c>
      <c r="G2529" s="3" t="inlineStr">
        <is>
          <t>Arr Stn</t>
        </is>
      </c>
      <c r="H2529" s="3" t="inlineStr">
        <is>
          <t>STD</t>
        </is>
      </c>
      <c r="I2529" s="3" t="inlineStr">
        <is>
          <t>STA</t>
        </is>
      </c>
      <c r="J2529" s="3" t="inlineStr">
        <is>
          <t>subflota</t>
        </is>
      </c>
      <c r="K2529" s="3" t="inlineStr">
        <is>
          <t>Conexion</t>
        </is>
      </c>
      <c r="L2529" s="3" t="inlineStr">
        <is>
          <t>HBT</t>
        </is>
      </c>
    </row>
    <row r="2530">
      <c r="B2530" s="4" t="n">
        <v>2436</v>
      </c>
      <c r="C2530" s="4" t="inlineStr">
        <is>
          <t>28/09/2026</t>
        </is>
      </c>
      <c r="D2530" s="4" t="inlineStr">
        <is>
          <t>lunes</t>
        </is>
      </c>
      <c r="E2530" s="4" t="n">
        <v>2087</v>
      </c>
      <c r="F2530" s="4" t="inlineStr">
        <is>
          <t>LIM</t>
        </is>
      </c>
      <c r="G2530" s="4" t="inlineStr">
        <is>
          <t>TPP</t>
        </is>
      </c>
      <c r="H2530" s="4" t="inlineStr">
        <is>
          <t>14:05:00</t>
        </is>
      </c>
      <c r="I2530" s="4" t="inlineStr">
        <is>
          <t>15:30:00</t>
        </is>
      </c>
      <c r="J2530" s="4" t="n">
        <v>320</v>
      </c>
      <c r="L2530" s="4" t="inlineStr">
        <is>
          <t>01:25:00</t>
        </is>
      </c>
      <c r="M2530" s="5" t="n"/>
      <c r="N2530" s="6" t="n"/>
      <c r="O2530" s="5" t="n"/>
      <c r="Q2530" s="4">
        <f>B2530</f>
        <v/>
      </c>
      <c r="R2530" s="4">
        <f>C2530</f>
        <v/>
      </c>
      <c r="S2530" s="4">
        <f>D2530</f>
        <v/>
      </c>
      <c r="T2530" s="4">
        <f>E2530&amp;"/"&amp;E2531</f>
        <v/>
      </c>
      <c r="U2530" s="4">
        <f>F2530&amp;"-"&amp;G2530&amp;"-"&amp;F2530</f>
        <v/>
      </c>
      <c r="V2530" s="4">
        <f>IF($M$2530="","",$M$2530)</f>
        <v/>
      </c>
      <c r="W2530" s="4">
        <f>IF($O$2530="","",$O$2530)</f>
        <v/>
      </c>
      <c r="X2530" s="4">
        <f>J2530</f>
        <v/>
      </c>
    </row>
    <row r="2531">
      <c r="B2531" s="4" t="n">
        <v>2436</v>
      </c>
      <c r="C2531" s="4" t="inlineStr">
        <is>
          <t>28/09/2026</t>
        </is>
      </c>
      <c r="D2531" s="4" t="inlineStr">
        <is>
          <t>lunes</t>
        </is>
      </c>
      <c r="E2531" s="4" t="n">
        <v>2088</v>
      </c>
      <c r="F2531" s="4" t="inlineStr">
        <is>
          <t>TPP</t>
        </is>
      </c>
      <c r="G2531" s="4" t="inlineStr">
        <is>
          <t>LIM</t>
        </is>
      </c>
      <c r="H2531" s="4" t="inlineStr">
        <is>
          <t>16:05:00</t>
        </is>
      </c>
      <c r="I2531" s="4" t="inlineStr">
        <is>
          <t>17:30:00</t>
        </is>
      </c>
      <c r="J2531" s="4" t="n">
        <v>320</v>
      </c>
      <c r="K2531">
        <f>TEXT(TIMEVALUE(H2531)-TIMEVALUE(I2530)+(TIMEVALUE(H2531)&lt;TIMEVALUE(I2530)),"[h]:mm")</f>
        <v/>
      </c>
      <c r="L2531" s="4" t="inlineStr">
        <is>
          <t>01:25:00</t>
        </is>
      </c>
      <c r="O2531">
        <f>"LIM-"&amp;G2530&amp;"-LIM   LA "&amp;E2530&amp;" ("&amp;LEFT(H2530,5)&amp;"-"&amp;LEFT(I2530,5)&amp;" hrs)  /  LA "&amp;E2531&amp;" ("&amp;LEFT(H2531,5)&amp;"-"&amp;LEFT(I2531,5)&amp;" hrs)"</f>
        <v/>
      </c>
    </row>
    <row r="2532">
      <c r="J2532" s="8" t="inlineStr">
        <is>
          <t>PSV total:</t>
        </is>
      </c>
      <c r="K2532" s="9">
        <f>TEXT(TIMEVALUE(I2531)-TIMEVALUE(H2530)+(I2531&lt;H2530),"[h]:mm")</f>
        <v/>
      </c>
    </row>
    <row r="2534">
      <c r="B2534" s="3" t="inlineStr">
        <is>
          <t>Pairing ID</t>
        </is>
      </c>
      <c r="C2534" s="3" t="inlineStr">
        <is>
          <t>FECHA REAL</t>
        </is>
      </c>
      <c r="D2534" s="3" t="inlineStr">
        <is>
          <t>Day of Week</t>
        </is>
      </c>
      <c r="E2534" s="3" t="inlineStr">
        <is>
          <t>Flight No</t>
        </is>
      </c>
      <c r="F2534" s="3" t="inlineStr">
        <is>
          <t>Dep Stn</t>
        </is>
      </c>
      <c r="G2534" s="3" t="inlineStr">
        <is>
          <t>Arr Stn</t>
        </is>
      </c>
      <c r="H2534" s="3" t="inlineStr">
        <is>
          <t>STD</t>
        </is>
      </c>
      <c r="I2534" s="3" t="inlineStr">
        <is>
          <t>STA</t>
        </is>
      </c>
      <c r="J2534" s="3" t="inlineStr">
        <is>
          <t>subflota</t>
        </is>
      </c>
      <c r="K2534" s="3" t="inlineStr">
        <is>
          <t>Conexion</t>
        </is>
      </c>
      <c r="L2534" s="3" t="inlineStr">
        <is>
          <t>HBT</t>
        </is>
      </c>
    </row>
    <row r="2535">
      <c r="B2535" s="4" t="n">
        <v>2437</v>
      </c>
      <c r="C2535" s="4" t="inlineStr">
        <is>
          <t>28/09/2026</t>
        </is>
      </c>
      <c r="D2535" s="4" t="inlineStr">
        <is>
          <t>lunes</t>
        </is>
      </c>
      <c r="E2535" s="4" t="n">
        <v>2295</v>
      </c>
      <c r="F2535" s="4" t="inlineStr">
        <is>
          <t>LIM</t>
        </is>
      </c>
      <c r="G2535" s="4" t="inlineStr">
        <is>
          <t>CJA</t>
        </is>
      </c>
      <c r="H2535" s="4" t="inlineStr">
        <is>
          <t>14:10:00</t>
        </is>
      </c>
      <c r="I2535" s="4" t="inlineStr">
        <is>
          <t>15:30:00</t>
        </is>
      </c>
      <c r="J2535" s="4" t="n">
        <v>320</v>
      </c>
      <c r="L2535" s="4" t="inlineStr">
        <is>
          <t>01:20:00</t>
        </is>
      </c>
      <c r="M2535" s="5" t="n"/>
      <c r="N2535" s="6" t="n"/>
      <c r="O2535" s="5" t="n"/>
      <c r="Q2535" s="4">
        <f>B2535</f>
        <v/>
      </c>
      <c r="R2535" s="4">
        <f>C2535</f>
        <v/>
      </c>
      <c r="S2535" s="4">
        <f>D2535</f>
        <v/>
      </c>
      <c r="T2535" s="4">
        <f>E2535&amp;"/"&amp;E2536</f>
        <v/>
      </c>
      <c r="U2535" s="4">
        <f>F2535&amp;"-"&amp;G2535&amp;"-"&amp;F2535</f>
        <v/>
      </c>
      <c r="V2535" s="4">
        <f>IF($M$2535="","",$M$2535)</f>
        <v/>
      </c>
      <c r="W2535" s="4">
        <f>IF($O$2535="","",$O$2535)</f>
        <v/>
      </c>
      <c r="X2535" s="4">
        <f>J2535</f>
        <v/>
      </c>
    </row>
    <row r="2536">
      <c r="B2536" s="4" t="n">
        <v>2437</v>
      </c>
      <c r="C2536" s="4" t="inlineStr">
        <is>
          <t>28/09/2026</t>
        </is>
      </c>
      <c r="D2536" s="4" t="inlineStr">
        <is>
          <t>lunes</t>
        </is>
      </c>
      <c r="E2536" s="4" t="n">
        <v>2294</v>
      </c>
      <c r="F2536" s="4" t="inlineStr">
        <is>
          <t>CJA</t>
        </is>
      </c>
      <c r="G2536" s="4" t="inlineStr">
        <is>
          <t>LIM</t>
        </is>
      </c>
      <c r="H2536" s="4" t="inlineStr">
        <is>
          <t>16:10:00</t>
        </is>
      </c>
      <c r="I2536" s="4" t="inlineStr">
        <is>
          <t>17:15:00</t>
        </is>
      </c>
      <c r="J2536" s="4" t="n">
        <v>320</v>
      </c>
      <c r="K2536">
        <f>TEXT(TIMEVALUE(H2536)-TIMEVALUE(I2535)+(TIMEVALUE(H2536)&lt;TIMEVALUE(I2535)),"[h]:mm")</f>
        <v/>
      </c>
      <c r="L2536" s="4" t="inlineStr">
        <is>
          <t>01:05:00</t>
        </is>
      </c>
      <c r="O2536">
        <f>"LIM-"&amp;G2535&amp;"-LIM   LA "&amp;E2535&amp;" ("&amp;LEFT(H2535,5)&amp;"-"&amp;LEFT(I2535,5)&amp;" hrs)  /  LA "&amp;E2536&amp;" ("&amp;LEFT(H2536,5)&amp;"-"&amp;LEFT(I2536,5)&amp;" hrs)"</f>
        <v/>
      </c>
    </row>
    <row r="2537">
      <c r="B2537" s="4" t="n">
        <v>2454</v>
      </c>
      <c r="C2537" s="4" t="inlineStr">
        <is>
          <t>28/09/2026</t>
        </is>
      </c>
      <c r="D2537" s="4" t="inlineStr">
        <is>
          <t>lunes</t>
        </is>
      </c>
      <c r="E2537" s="4" t="n">
        <v>2039</v>
      </c>
      <c r="F2537" s="4" t="inlineStr">
        <is>
          <t>LIM</t>
        </is>
      </c>
      <c r="G2537" s="4" t="inlineStr">
        <is>
          <t>PCL</t>
        </is>
      </c>
      <c r="H2537" s="4" t="inlineStr">
        <is>
          <t>18:15:00</t>
        </is>
      </c>
      <c r="I2537" s="4" t="inlineStr">
        <is>
          <t>19:30:00</t>
        </is>
      </c>
      <c r="J2537" s="4" t="n">
        <v>320</v>
      </c>
      <c r="K2537" s="7">
        <f>TEXT(TIMEVALUE(H2537)-TIMEVALUE(I2536)+(TIMEVALUE(H2537)&lt;TIMEVALUE(I2536)),"[h]:mm")</f>
        <v/>
      </c>
      <c r="L2537" s="4" t="inlineStr">
        <is>
          <t>01:15:00</t>
        </is>
      </c>
      <c r="M2537">
        <f>IF($M$2535="","",$M$2535)</f>
        <v/>
      </c>
      <c r="O2537">
        <f>IF($O$2535="","",$O$2535)</f>
        <v/>
      </c>
      <c r="Q2537" s="4">
        <f>B2537</f>
        <v/>
      </c>
      <c r="R2537" s="4">
        <f>C2537</f>
        <v/>
      </c>
      <c r="S2537" s="4">
        <f>D2537</f>
        <v/>
      </c>
      <c r="T2537" s="4">
        <f>E2537&amp;"/"&amp;E2538</f>
        <v/>
      </c>
      <c r="U2537" s="4">
        <f>F2537&amp;"-"&amp;G2537&amp;"-"&amp;F2537</f>
        <v/>
      </c>
      <c r="V2537" s="4">
        <f>IF($M$2535="","",$M$2535)</f>
        <v/>
      </c>
      <c r="W2537" s="4">
        <f>IF($O$2535="","",$O$2535)</f>
        <v/>
      </c>
      <c r="X2537" s="4">
        <f>J2537</f>
        <v/>
      </c>
    </row>
    <row r="2538">
      <c r="B2538" s="4" t="n">
        <v>2454</v>
      </c>
      <c r="C2538" s="4" t="inlineStr">
        <is>
          <t>28/09/2026</t>
        </is>
      </c>
      <c r="D2538" s="4" t="inlineStr">
        <is>
          <t>lunes</t>
        </is>
      </c>
      <c r="E2538" s="4" t="n">
        <v>2040</v>
      </c>
      <c r="F2538" s="4" t="inlineStr">
        <is>
          <t>PCL</t>
        </is>
      </c>
      <c r="G2538" s="4" t="inlineStr">
        <is>
          <t>LIM</t>
        </is>
      </c>
      <c r="H2538" s="4" t="inlineStr">
        <is>
          <t>20:15:00</t>
        </is>
      </c>
      <c r="I2538" s="4" t="inlineStr">
        <is>
          <t>21:30:00</t>
        </is>
      </c>
      <c r="J2538" s="4" t="n">
        <v>320</v>
      </c>
      <c r="K2538">
        <f>TEXT(TIMEVALUE(H2538)-TIMEVALUE(I2537)+(TIMEVALUE(H2538)&lt;TIMEVALUE(I2537)),"[h]:mm")</f>
        <v/>
      </c>
      <c r="L2538" s="4" t="inlineStr">
        <is>
          <t>01:15:00</t>
        </is>
      </c>
      <c r="O2538">
        <f>"LIM-"&amp;G2537&amp;"-LIM   LA "&amp;E2537&amp;" ("&amp;LEFT(H2537,5)&amp;"-"&amp;LEFT(I2537,5)&amp;" hrs)  /  LA "&amp;E2538&amp;" ("&amp;LEFT(H2538,5)&amp;"-"&amp;LEFT(I2538,5)&amp;" hrs)"</f>
        <v/>
      </c>
    </row>
    <row r="2539">
      <c r="J2539" s="8" t="inlineStr">
        <is>
          <t>PSV total:</t>
        </is>
      </c>
      <c r="K2539" s="9">
        <f>TEXT(TIMEVALUE(I2538)-TIMEVALUE(H2535)+(I2538&lt;H2535),"[h]:mm")</f>
        <v/>
      </c>
    </row>
    <row r="2541">
      <c r="B2541" s="3" t="inlineStr">
        <is>
          <t>Pairing ID</t>
        </is>
      </c>
      <c r="C2541" s="3" t="inlineStr">
        <is>
          <t>FECHA REAL</t>
        </is>
      </c>
      <c r="D2541" s="3" t="inlineStr">
        <is>
          <t>Day of Week</t>
        </is>
      </c>
      <c r="E2541" s="3" t="inlineStr">
        <is>
          <t>Flight No</t>
        </is>
      </c>
      <c r="F2541" s="3" t="inlineStr">
        <is>
          <t>Dep Stn</t>
        </is>
      </c>
      <c r="G2541" s="3" t="inlineStr">
        <is>
          <t>Arr Stn</t>
        </is>
      </c>
      <c r="H2541" s="3" t="inlineStr">
        <is>
          <t>STD</t>
        </is>
      </c>
      <c r="I2541" s="3" t="inlineStr">
        <is>
          <t>STA</t>
        </is>
      </c>
      <c r="J2541" s="3" t="inlineStr">
        <is>
          <t>subflota</t>
        </is>
      </c>
      <c r="K2541" s="3" t="inlineStr">
        <is>
          <t>Conexion</t>
        </is>
      </c>
      <c r="L2541" s="3" t="inlineStr">
        <is>
          <t>HBT</t>
        </is>
      </c>
    </row>
    <row r="2542">
      <c r="B2542" s="4" t="n">
        <v>2440</v>
      </c>
      <c r="C2542" s="4" t="inlineStr">
        <is>
          <t>28/09/2026</t>
        </is>
      </c>
      <c r="D2542" s="4" t="inlineStr">
        <is>
          <t>lunes</t>
        </is>
      </c>
      <c r="E2542" s="4" t="n">
        <v>2248</v>
      </c>
      <c r="F2542" s="4" t="inlineStr">
        <is>
          <t>LIM</t>
        </is>
      </c>
      <c r="G2542" s="4" t="inlineStr">
        <is>
          <t>CUZ</t>
        </is>
      </c>
      <c r="H2542" s="4" t="inlineStr">
        <is>
          <t>15:00:00</t>
        </is>
      </c>
      <c r="I2542" s="4" t="inlineStr">
        <is>
          <t>16:20:00</t>
        </is>
      </c>
      <c r="J2542" s="4" t="n">
        <v>320</v>
      </c>
      <c r="L2542" s="4" t="inlineStr">
        <is>
          <t>01:20:00</t>
        </is>
      </c>
      <c r="M2542" s="5" t="n"/>
      <c r="N2542" s="6" t="n"/>
      <c r="O2542" s="5" t="n"/>
      <c r="Q2542" s="4">
        <f>B2542</f>
        <v/>
      </c>
      <c r="R2542" s="4">
        <f>C2542</f>
        <v/>
      </c>
      <c r="S2542" s="4">
        <f>D2542</f>
        <v/>
      </c>
      <c r="T2542" s="4">
        <f>E2542&amp;"/"&amp;E2543</f>
        <v/>
      </c>
      <c r="U2542" s="4">
        <f>F2542&amp;"-"&amp;G2542&amp;"-"&amp;F2542</f>
        <v/>
      </c>
      <c r="V2542" s="4">
        <f>IF($M$2542="","",$M$2542)</f>
        <v/>
      </c>
      <c r="W2542" s="4">
        <f>IF($O$2542="","",$O$2542)</f>
        <v/>
      </c>
      <c r="X2542" s="4">
        <f>J2542</f>
        <v/>
      </c>
    </row>
    <row r="2543">
      <c r="B2543" s="4" t="n">
        <v>2440</v>
      </c>
      <c r="C2543" s="4" t="inlineStr">
        <is>
          <t>28/09/2026</t>
        </is>
      </c>
      <c r="D2543" s="4" t="inlineStr">
        <is>
          <t>lunes</t>
        </is>
      </c>
      <c r="E2543" s="4" t="n">
        <v>2249</v>
      </c>
      <c r="F2543" s="4" t="inlineStr">
        <is>
          <t>CUZ</t>
        </is>
      </c>
      <c r="G2543" s="4" t="inlineStr">
        <is>
          <t>LIM</t>
        </is>
      </c>
      <c r="H2543" s="4" t="inlineStr">
        <is>
          <t>17:00:00</t>
        </is>
      </c>
      <c r="I2543" s="4" t="inlineStr">
        <is>
          <t>18:35:00</t>
        </is>
      </c>
      <c r="J2543" s="4" t="n">
        <v>320</v>
      </c>
      <c r="K2543">
        <f>TEXT(TIMEVALUE(H2543)-TIMEVALUE(I2542)+(TIMEVALUE(H2543)&lt;TIMEVALUE(I2542)),"[h]:mm")</f>
        <v/>
      </c>
      <c r="L2543" s="4" t="inlineStr">
        <is>
          <t>01:35:00</t>
        </is>
      </c>
      <c r="O2543">
        <f>"LIM-"&amp;G2542&amp;"-LIM   LA "&amp;E2542&amp;" ("&amp;LEFT(H2542,5)&amp;"-"&amp;LEFT(I2542,5)&amp;" hrs)  /  LA "&amp;E2543&amp;" ("&amp;LEFT(H2543,5)&amp;"-"&amp;LEFT(I2543,5)&amp;" hrs)"</f>
        <v/>
      </c>
    </row>
    <row r="2544">
      <c r="J2544" s="8" t="inlineStr">
        <is>
          <t>PSV total:</t>
        </is>
      </c>
      <c r="K2544" s="9">
        <f>TEXT(TIMEVALUE(I2543)-TIMEVALUE(H2542)+(I2543&lt;H2542),"[h]:mm")</f>
        <v/>
      </c>
    </row>
    <row r="2546">
      <c r="B2546" s="3" t="inlineStr">
        <is>
          <t>Pairing ID</t>
        </is>
      </c>
      <c r="C2546" s="3" t="inlineStr">
        <is>
          <t>FECHA REAL</t>
        </is>
      </c>
      <c r="D2546" s="3" t="inlineStr">
        <is>
          <t>Day of Week</t>
        </is>
      </c>
      <c r="E2546" s="3" t="inlineStr">
        <is>
          <t>Flight No</t>
        </is>
      </c>
      <c r="F2546" s="3" t="inlineStr">
        <is>
          <t>Dep Stn</t>
        </is>
      </c>
      <c r="G2546" s="3" t="inlineStr">
        <is>
          <t>Arr Stn</t>
        </is>
      </c>
      <c r="H2546" s="3" t="inlineStr">
        <is>
          <t>STD</t>
        </is>
      </c>
      <c r="I2546" s="3" t="inlineStr">
        <is>
          <t>STA</t>
        </is>
      </c>
      <c r="J2546" s="3" t="inlineStr">
        <is>
          <t>subflota</t>
        </is>
      </c>
      <c r="K2546" s="3" t="inlineStr">
        <is>
          <t>Conexion</t>
        </is>
      </c>
      <c r="L2546" s="3" t="inlineStr">
        <is>
          <t>HBT</t>
        </is>
      </c>
    </row>
    <row r="2547">
      <c r="B2547" s="4" t="n">
        <v>2441</v>
      </c>
      <c r="C2547" s="4" t="inlineStr">
        <is>
          <t>28/09/2026</t>
        </is>
      </c>
      <c r="D2547" s="4" t="inlineStr">
        <is>
          <t>lunes</t>
        </is>
      </c>
      <c r="E2547" s="4" t="n">
        <v>2338</v>
      </c>
      <c r="F2547" s="4" t="inlineStr">
        <is>
          <t>LIM</t>
        </is>
      </c>
      <c r="G2547" s="4" t="inlineStr">
        <is>
          <t>PIU</t>
        </is>
      </c>
      <c r="H2547" s="4" t="inlineStr">
        <is>
          <t>15:00:00</t>
        </is>
      </c>
      <c r="I2547" s="4" t="inlineStr">
        <is>
          <t>16:45:00</t>
        </is>
      </c>
      <c r="J2547" s="4" t="n">
        <v>320</v>
      </c>
      <c r="L2547" s="4" t="inlineStr">
        <is>
          <t>01:45:00</t>
        </is>
      </c>
      <c r="M2547" s="5" t="n"/>
      <c r="N2547" s="6" t="n"/>
      <c r="O2547" s="5" t="n"/>
      <c r="Q2547" s="4">
        <f>B2547</f>
        <v/>
      </c>
      <c r="R2547" s="4">
        <f>C2547</f>
        <v/>
      </c>
      <c r="S2547" s="4">
        <f>D2547</f>
        <v/>
      </c>
      <c r="T2547" s="4">
        <f>E2547&amp;"/"&amp;E2548</f>
        <v/>
      </c>
      <c r="U2547" s="4">
        <f>F2547&amp;"-"&amp;G2547&amp;"-"&amp;F2547</f>
        <v/>
      </c>
      <c r="V2547" s="4">
        <f>IF($M$2547="","",$M$2547)</f>
        <v/>
      </c>
      <c r="W2547" s="4">
        <f>IF($O$2547="","",$O$2547)</f>
        <v/>
      </c>
      <c r="X2547" s="4">
        <f>J2547</f>
        <v/>
      </c>
    </row>
    <row r="2548">
      <c r="B2548" s="4" t="n">
        <v>2441</v>
      </c>
      <c r="C2548" s="4" t="inlineStr">
        <is>
          <t>28/09/2026</t>
        </is>
      </c>
      <c r="D2548" s="4" t="inlineStr">
        <is>
          <t>lunes</t>
        </is>
      </c>
      <c r="E2548" s="4" t="n">
        <v>2339</v>
      </c>
      <c r="F2548" s="4" t="inlineStr">
        <is>
          <t>PIU</t>
        </is>
      </c>
      <c r="G2548" s="4" t="inlineStr">
        <is>
          <t>LIM</t>
        </is>
      </c>
      <c r="H2548" s="4" t="inlineStr">
        <is>
          <t>17:20:00</t>
        </is>
      </c>
      <c r="I2548" s="4" t="inlineStr">
        <is>
          <t>18:50:00</t>
        </is>
      </c>
      <c r="J2548" s="4" t="n">
        <v>320</v>
      </c>
      <c r="K2548">
        <f>TEXT(TIMEVALUE(H2548)-TIMEVALUE(I2547)+(TIMEVALUE(H2548)&lt;TIMEVALUE(I2547)),"[h]:mm")</f>
        <v/>
      </c>
      <c r="L2548" s="4" t="inlineStr">
        <is>
          <t>01:30:00</t>
        </is>
      </c>
      <c r="O2548">
        <f>"LIM-"&amp;G2547&amp;"-LIM   LA "&amp;E2547&amp;" ("&amp;LEFT(H2547,5)&amp;"-"&amp;LEFT(I2547,5)&amp;" hrs)  /  LA "&amp;E2548&amp;" ("&amp;LEFT(H2548,5)&amp;"-"&amp;LEFT(I2548,5)&amp;" hrs)"</f>
        <v/>
      </c>
    </row>
    <row r="2549">
      <c r="B2549" s="4" t="n">
        <v>2455</v>
      </c>
      <c r="C2549" s="4" t="inlineStr">
        <is>
          <t>28/09/2026</t>
        </is>
      </c>
      <c r="D2549" s="4" t="inlineStr">
        <is>
          <t>lunes</t>
        </is>
      </c>
      <c r="E2549" s="4" t="n">
        <v>2278</v>
      </c>
      <c r="F2549" s="4" t="inlineStr">
        <is>
          <t>LIM</t>
        </is>
      </c>
      <c r="G2549" s="4" t="inlineStr">
        <is>
          <t>CIX</t>
        </is>
      </c>
      <c r="H2549" s="4" t="inlineStr">
        <is>
          <t>20:10:00</t>
        </is>
      </c>
      <c r="I2549" s="4" t="inlineStr">
        <is>
          <t>21:40:00</t>
        </is>
      </c>
      <c r="J2549" s="4" t="n">
        <v>320</v>
      </c>
      <c r="K2549" s="7">
        <f>TEXT(TIMEVALUE(H2549)-TIMEVALUE(I2548)+(TIMEVALUE(H2549)&lt;TIMEVALUE(I2548)),"[h]:mm")</f>
        <v/>
      </c>
      <c r="L2549" s="4" t="inlineStr">
        <is>
          <t>01:30:00</t>
        </is>
      </c>
      <c r="M2549">
        <f>IF($M$2547="","",$M$2547)</f>
        <v/>
      </c>
      <c r="O2549">
        <f>IF($O$2547="","",$O$2547)</f>
        <v/>
      </c>
      <c r="Q2549" s="4">
        <f>B2549</f>
        <v/>
      </c>
      <c r="R2549" s="4">
        <f>C2549</f>
        <v/>
      </c>
      <c r="S2549" s="4">
        <f>D2549</f>
        <v/>
      </c>
      <c r="T2549" s="4">
        <f>E2549&amp;"/"&amp;E2550</f>
        <v/>
      </c>
      <c r="U2549" s="4">
        <f>F2549&amp;"-"&amp;G2549&amp;"-"&amp;F2549</f>
        <v/>
      </c>
      <c r="V2549" s="4">
        <f>IF($M$2547="","",$M$2547)</f>
        <v/>
      </c>
      <c r="W2549" s="4">
        <f>IF($O$2547="","",$O$2547)</f>
        <v/>
      </c>
      <c r="X2549" s="4">
        <f>J2549</f>
        <v/>
      </c>
    </row>
    <row r="2550">
      <c r="B2550" s="4" t="n">
        <v>2455</v>
      </c>
      <c r="C2550" s="4" t="inlineStr">
        <is>
          <t>28/09/2026</t>
        </is>
      </c>
      <c r="D2550" s="4" t="inlineStr">
        <is>
          <t>lunes</t>
        </is>
      </c>
      <c r="E2550" s="4" t="n">
        <v>2279</v>
      </c>
      <c r="F2550" s="4" t="inlineStr">
        <is>
          <t>CIX</t>
        </is>
      </c>
      <c r="G2550" s="4" t="inlineStr">
        <is>
          <t>LIM</t>
        </is>
      </c>
      <c r="H2550" s="4" t="inlineStr">
        <is>
          <t>22:15:00</t>
        </is>
      </c>
      <c r="I2550" s="4" t="inlineStr">
        <is>
          <t>23:35:00</t>
        </is>
      </c>
      <c r="J2550" s="4" t="n">
        <v>320</v>
      </c>
      <c r="K2550">
        <f>TEXT(TIMEVALUE(H2550)-TIMEVALUE(I2549)+(TIMEVALUE(H2550)&lt;TIMEVALUE(I2549)),"[h]:mm")</f>
        <v/>
      </c>
      <c r="L2550" s="4" t="inlineStr">
        <is>
          <t>01:20:00</t>
        </is>
      </c>
      <c r="O2550">
        <f>"LIM-"&amp;G2549&amp;"-LIM   LA "&amp;E2549&amp;" ("&amp;LEFT(H2549,5)&amp;"-"&amp;LEFT(I2549,5)&amp;" hrs)  /  LA "&amp;E2550&amp;" ("&amp;LEFT(H2550,5)&amp;"-"&amp;LEFT(I2550,5)&amp;" hrs)"</f>
        <v/>
      </c>
    </row>
    <row r="2551">
      <c r="J2551" s="8" t="inlineStr">
        <is>
          <t>PSV total:</t>
        </is>
      </c>
      <c r="K2551" s="9">
        <f>TEXT(TIMEVALUE(I2550)-TIMEVALUE(H2547)+(I2550&lt;H2547),"[h]:mm")</f>
        <v/>
      </c>
    </row>
    <row r="2553">
      <c r="B2553" s="3" t="inlineStr">
        <is>
          <t>Pairing ID</t>
        </is>
      </c>
      <c r="C2553" s="3" t="inlineStr">
        <is>
          <t>FECHA REAL</t>
        </is>
      </c>
      <c r="D2553" s="3" t="inlineStr">
        <is>
          <t>Day of Week</t>
        </is>
      </c>
      <c r="E2553" s="3" t="inlineStr">
        <is>
          <t>Flight No</t>
        </is>
      </c>
      <c r="F2553" s="3" t="inlineStr">
        <is>
          <t>Dep Stn</t>
        </is>
      </c>
      <c r="G2553" s="3" t="inlineStr">
        <is>
          <t>Arr Stn</t>
        </is>
      </c>
      <c r="H2553" s="3" t="inlineStr">
        <is>
          <t>STD</t>
        </is>
      </c>
      <c r="I2553" s="3" t="inlineStr">
        <is>
          <t>STA</t>
        </is>
      </c>
      <c r="J2553" s="3" t="inlineStr">
        <is>
          <t>subflota</t>
        </is>
      </c>
      <c r="K2553" s="3" t="inlineStr">
        <is>
          <t>Conexion</t>
        </is>
      </c>
      <c r="L2553" s="3" t="inlineStr">
        <is>
          <t>HBT</t>
        </is>
      </c>
    </row>
    <row r="2554">
      <c r="B2554" s="4" t="n">
        <v>2443</v>
      </c>
      <c r="C2554" s="4" t="inlineStr">
        <is>
          <t>28/09/2026</t>
        </is>
      </c>
      <c r="D2554" s="4" t="inlineStr">
        <is>
          <t>lunes</t>
        </is>
      </c>
      <c r="E2554" s="4" t="n">
        <v>2297</v>
      </c>
      <c r="F2554" s="4" t="inlineStr">
        <is>
          <t>LIM</t>
        </is>
      </c>
      <c r="G2554" s="4" t="inlineStr">
        <is>
          <t>CJA</t>
        </is>
      </c>
      <c r="H2554" s="4" t="inlineStr">
        <is>
          <t>15:15:00</t>
        </is>
      </c>
      <c r="I2554" s="4" t="inlineStr">
        <is>
          <t>16:35:00</t>
        </is>
      </c>
      <c r="J2554" s="4" t="n">
        <v>320</v>
      </c>
      <c r="L2554" s="4" t="inlineStr">
        <is>
          <t>01:20:00</t>
        </is>
      </c>
      <c r="M2554" s="5" t="n"/>
      <c r="N2554" s="6" t="n"/>
      <c r="O2554" s="5" t="n"/>
      <c r="Q2554" s="4">
        <f>B2554</f>
        <v/>
      </c>
      <c r="R2554" s="4">
        <f>C2554</f>
        <v/>
      </c>
      <c r="S2554" s="4">
        <f>D2554</f>
        <v/>
      </c>
      <c r="T2554" s="4">
        <f>E2554&amp;"/"&amp;E2555</f>
        <v/>
      </c>
      <c r="U2554" s="4">
        <f>F2554&amp;"-"&amp;G2554&amp;"-"&amp;F2554</f>
        <v/>
      </c>
      <c r="V2554" s="4">
        <f>IF($M$2554="","",$M$2554)</f>
        <v/>
      </c>
      <c r="W2554" s="4">
        <f>IF($O$2554="","",$O$2554)</f>
        <v/>
      </c>
      <c r="X2554" s="4">
        <f>J2554</f>
        <v/>
      </c>
    </row>
    <row r="2555">
      <c r="B2555" s="4" t="n">
        <v>2443</v>
      </c>
      <c r="C2555" s="4" t="inlineStr">
        <is>
          <t>28/09/2026</t>
        </is>
      </c>
      <c r="D2555" s="4" t="inlineStr">
        <is>
          <t>lunes</t>
        </is>
      </c>
      <c r="E2555" s="4" t="n">
        <v>2296</v>
      </c>
      <c r="F2555" s="4" t="inlineStr">
        <is>
          <t>CJA</t>
        </is>
      </c>
      <c r="G2555" s="4" t="inlineStr">
        <is>
          <t>LIM</t>
        </is>
      </c>
      <c r="H2555" s="4" t="inlineStr">
        <is>
          <t>17:20:00</t>
        </is>
      </c>
      <c r="I2555" s="4" t="inlineStr">
        <is>
          <t>18:25:00</t>
        </is>
      </c>
      <c r="J2555" s="4" t="n">
        <v>320</v>
      </c>
      <c r="K2555">
        <f>TEXT(TIMEVALUE(H2555)-TIMEVALUE(I2554)+(TIMEVALUE(H2555)&lt;TIMEVALUE(I2554)),"[h]:mm")</f>
        <v/>
      </c>
      <c r="L2555" s="4" t="inlineStr">
        <is>
          <t>01:05:00</t>
        </is>
      </c>
      <c r="O2555">
        <f>"LIM-"&amp;G2554&amp;"-LIM   LA "&amp;E2554&amp;" ("&amp;LEFT(H2554,5)&amp;"-"&amp;LEFT(I2554,5)&amp;" hrs)  /  LA "&amp;E2555&amp;" ("&amp;LEFT(H2555,5)&amp;"-"&amp;LEFT(I2555,5)&amp;" hrs)"</f>
        <v/>
      </c>
    </row>
    <row r="2556">
      <c r="J2556" s="8" t="inlineStr">
        <is>
          <t>PSV total:</t>
        </is>
      </c>
      <c r="K2556" s="9">
        <f>TEXT(TIMEVALUE(I2555)-TIMEVALUE(H2554)+(I2555&lt;H2554),"[h]:mm")</f>
        <v/>
      </c>
    </row>
    <row r="2558">
      <c r="B2558" s="3" t="inlineStr">
        <is>
          <t>Pairing ID</t>
        </is>
      </c>
      <c r="C2558" s="3" t="inlineStr">
        <is>
          <t>FECHA REAL</t>
        </is>
      </c>
      <c r="D2558" s="3" t="inlineStr">
        <is>
          <t>Day of Week</t>
        </is>
      </c>
      <c r="E2558" s="3" t="inlineStr">
        <is>
          <t>Flight No</t>
        </is>
      </c>
      <c r="F2558" s="3" t="inlineStr">
        <is>
          <t>Dep Stn</t>
        </is>
      </c>
      <c r="G2558" s="3" t="inlineStr">
        <is>
          <t>Arr Stn</t>
        </is>
      </c>
      <c r="H2558" s="3" t="inlineStr">
        <is>
          <t>STD</t>
        </is>
      </c>
      <c r="I2558" s="3" t="inlineStr">
        <is>
          <t>STA</t>
        </is>
      </c>
      <c r="J2558" s="3" t="inlineStr">
        <is>
          <t>subflota</t>
        </is>
      </c>
      <c r="K2558" s="3" t="inlineStr">
        <is>
          <t>Conexion</t>
        </is>
      </c>
      <c r="L2558" s="3" t="inlineStr">
        <is>
          <t>HBT</t>
        </is>
      </c>
    </row>
    <row r="2559">
      <c r="B2559" s="4" t="n">
        <v>2444</v>
      </c>
      <c r="C2559" s="4" t="inlineStr">
        <is>
          <t>28/09/2026</t>
        </is>
      </c>
      <c r="D2559" s="4" t="inlineStr">
        <is>
          <t>lunes</t>
        </is>
      </c>
      <c r="E2559" s="4" t="n">
        <v>2360</v>
      </c>
      <c r="F2559" s="4" t="inlineStr">
        <is>
          <t>LIM</t>
        </is>
      </c>
      <c r="G2559" s="4" t="inlineStr">
        <is>
          <t>PCL</t>
        </is>
      </c>
      <c r="H2559" s="4" t="inlineStr">
        <is>
          <t>15:25:00</t>
        </is>
      </c>
      <c r="I2559" s="4" t="inlineStr">
        <is>
          <t>16:40:00</t>
        </is>
      </c>
      <c r="J2559" s="4" t="n">
        <v>320</v>
      </c>
      <c r="L2559" s="4" t="inlineStr">
        <is>
          <t>01:15:00</t>
        </is>
      </c>
      <c r="M2559" s="5" t="n"/>
      <c r="N2559" s="6" t="n"/>
      <c r="O2559" s="5" t="n"/>
      <c r="Q2559" s="4">
        <f>B2559</f>
        <v/>
      </c>
      <c r="R2559" s="4">
        <f>C2559</f>
        <v/>
      </c>
      <c r="S2559" s="4">
        <f>D2559</f>
        <v/>
      </c>
      <c r="T2559" s="4">
        <f>E2559&amp;"/"&amp;E2560</f>
        <v/>
      </c>
      <c r="U2559" s="4">
        <f>F2559&amp;"-"&amp;G2559&amp;"-"&amp;F2559</f>
        <v/>
      </c>
      <c r="V2559" s="4">
        <f>IF($M$2559="","",$M$2559)</f>
        <v/>
      </c>
      <c r="W2559" s="4">
        <f>IF($O$2559="","",$O$2559)</f>
        <v/>
      </c>
      <c r="X2559" s="4">
        <f>J2559</f>
        <v/>
      </c>
    </row>
    <row r="2560">
      <c r="B2560" s="4" t="n">
        <v>2444</v>
      </c>
      <c r="C2560" s="4" t="inlineStr">
        <is>
          <t>28/09/2026</t>
        </is>
      </c>
      <c r="D2560" s="4" t="inlineStr">
        <is>
          <t>lunes</t>
        </is>
      </c>
      <c r="E2560" s="4" t="n">
        <v>2361</v>
      </c>
      <c r="F2560" s="4" t="inlineStr">
        <is>
          <t>PCL</t>
        </is>
      </c>
      <c r="G2560" s="4" t="inlineStr">
        <is>
          <t>LIM</t>
        </is>
      </c>
      <c r="H2560" s="4" t="inlineStr">
        <is>
          <t>17:20:00</t>
        </is>
      </c>
      <c r="I2560" s="4" t="inlineStr">
        <is>
          <t>18:35:00</t>
        </is>
      </c>
      <c r="J2560" s="4" t="n">
        <v>320</v>
      </c>
      <c r="K2560">
        <f>TEXT(TIMEVALUE(H2560)-TIMEVALUE(I2559)+(TIMEVALUE(H2560)&lt;TIMEVALUE(I2559)),"[h]:mm")</f>
        <v/>
      </c>
      <c r="L2560" s="4" t="inlineStr">
        <is>
          <t>01:15:00</t>
        </is>
      </c>
      <c r="O2560">
        <f>"LIM-"&amp;G2559&amp;"-LIM   LA "&amp;E2559&amp;" ("&amp;LEFT(H2559,5)&amp;"-"&amp;LEFT(I2559,5)&amp;" hrs)  /  LA "&amp;E2560&amp;" ("&amp;LEFT(H2560,5)&amp;"-"&amp;LEFT(I2560,5)&amp;" hrs)"</f>
        <v/>
      </c>
    </row>
    <row r="2561">
      <c r="J2561" s="8" t="inlineStr">
        <is>
          <t>PSV total:</t>
        </is>
      </c>
      <c r="K2561" s="9">
        <f>TEXT(TIMEVALUE(I2560)-TIMEVALUE(H2559)+(I2560&lt;H2559),"[h]:mm")</f>
        <v/>
      </c>
    </row>
    <row r="2563">
      <c r="B2563" s="3" t="inlineStr">
        <is>
          <t>Pairing ID</t>
        </is>
      </c>
      <c r="C2563" s="3" t="inlineStr">
        <is>
          <t>FECHA REAL</t>
        </is>
      </c>
      <c r="D2563" s="3" t="inlineStr">
        <is>
          <t>Day of Week</t>
        </is>
      </c>
      <c r="E2563" s="3" t="inlineStr">
        <is>
          <t>Flight No</t>
        </is>
      </c>
      <c r="F2563" s="3" t="inlineStr">
        <is>
          <t>Dep Stn</t>
        </is>
      </c>
      <c r="G2563" s="3" t="inlineStr">
        <is>
          <t>Arr Stn</t>
        </is>
      </c>
      <c r="H2563" s="3" t="inlineStr">
        <is>
          <t>STD</t>
        </is>
      </c>
      <c r="I2563" s="3" t="inlineStr">
        <is>
          <t>STA</t>
        </is>
      </c>
      <c r="J2563" s="3" t="inlineStr">
        <is>
          <t>subflota</t>
        </is>
      </c>
      <c r="K2563" s="3" t="inlineStr">
        <is>
          <t>Conexion</t>
        </is>
      </c>
      <c r="L2563" s="3" t="inlineStr">
        <is>
          <t>HBT</t>
        </is>
      </c>
    </row>
    <row r="2564">
      <c r="B2564" s="4" t="n">
        <v>2445</v>
      </c>
      <c r="C2564" s="4" t="inlineStr">
        <is>
          <t>28/09/2026</t>
        </is>
      </c>
      <c r="D2564" s="4" t="inlineStr">
        <is>
          <t>lunes</t>
        </is>
      </c>
      <c r="E2564" s="4" t="n">
        <v>2312</v>
      </c>
      <c r="F2564" s="4" t="inlineStr">
        <is>
          <t>LIM</t>
        </is>
      </c>
      <c r="G2564" s="4" t="inlineStr">
        <is>
          <t>CIX</t>
        </is>
      </c>
      <c r="H2564" s="4" t="inlineStr">
        <is>
          <t>15:35:00</t>
        </is>
      </c>
      <c r="I2564" s="4" t="inlineStr">
        <is>
          <t>17:05:00</t>
        </is>
      </c>
      <c r="J2564" s="4" t="n">
        <v>320</v>
      </c>
      <c r="L2564" s="4" t="inlineStr">
        <is>
          <t>01:30:00</t>
        </is>
      </c>
      <c r="M2564" s="5" t="n"/>
      <c r="N2564" s="6" t="n"/>
      <c r="O2564" s="5" t="n"/>
      <c r="Q2564" s="4">
        <f>B2564</f>
        <v/>
      </c>
      <c r="R2564" s="4">
        <f>C2564</f>
        <v/>
      </c>
      <c r="S2564" s="4">
        <f>D2564</f>
        <v/>
      </c>
      <c r="T2564" s="4">
        <f>E2564&amp;"/"&amp;E2565</f>
        <v/>
      </c>
      <c r="U2564" s="4">
        <f>F2564&amp;"-"&amp;G2564&amp;"-"&amp;F2564</f>
        <v/>
      </c>
      <c r="V2564" s="4">
        <f>IF($M$2564="","",$M$2564)</f>
        <v/>
      </c>
      <c r="W2564" s="4">
        <f>IF($O$2564="","",$O$2564)</f>
        <v/>
      </c>
      <c r="X2564" s="4">
        <f>J2564</f>
        <v/>
      </c>
    </row>
    <row r="2565">
      <c r="B2565" s="4" t="n">
        <v>2445</v>
      </c>
      <c r="C2565" s="4" t="inlineStr">
        <is>
          <t>28/09/2026</t>
        </is>
      </c>
      <c r="D2565" s="4" t="inlineStr">
        <is>
          <t>lunes</t>
        </is>
      </c>
      <c r="E2565" s="4" t="n">
        <v>2313</v>
      </c>
      <c r="F2565" s="4" t="inlineStr">
        <is>
          <t>CIX</t>
        </is>
      </c>
      <c r="G2565" s="4" t="inlineStr">
        <is>
          <t>LIM</t>
        </is>
      </c>
      <c r="H2565" s="4" t="inlineStr">
        <is>
          <t>17:50:00</t>
        </is>
      </c>
      <c r="I2565" s="4" t="inlineStr">
        <is>
          <t>19:10:00</t>
        </is>
      </c>
      <c r="J2565" s="4" t="n">
        <v>320</v>
      </c>
      <c r="K2565">
        <f>TEXT(TIMEVALUE(H2565)-TIMEVALUE(I2564)+(TIMEVALUE(H2565)&lt;TIMEVALUE(I2564)),"[h]:mm")</f>
        <v/>
      </c>
      <c r="L2565" s="4" t="inlineStr">
        <is>
          <t>01:20:00</t>
        </is>
      </c>
      <c r="O2565">
        <f>"LIM-"&amp;G2564&amp;"-LIM   LA "&amp;E2564&amp;" ("&amp;LEFT(H2564,5)&amp;"-"&amp;LEFT(I2564,5)&amp;" hrs)  /  LA "&amp;E2565&amp;" ("&amp;LEFT(H2565,5)&amp;"-"&amp;LEFT(I2565,5)&amp;" hrs)"</f>
        <v/>
      </c>
    </row>
    <row r="2566">
      <c r="J2566" s="8" t="inlineStr">
        <is>
          <t>PSV total:</t>
        </is>
      </c>
      <c r="K2566" s="9">
        <f>TEXT(TIMEVALUE(I2565)-TIMEVALUE(H2564)+(I2565&lt;H2564),"[h]:mm")</f>
        <v/>
      </c>
    </row>
    <row r="2568">
      <c r="B2568" s="3" t="inlineStr">
        <is>
          <t>Pairing ID</t>
        </is>
      </c>
      <c r="C2568" s="3" t="inlineStr">
        <is>
          <t>FECHA REAL</t>
        </is>
      </c>
      <c r="D2568" s="3" t="inlineStr">
        <is>
          <t>Day of Week</t>
        </is>
      </c>
      <c r="E2568" s="3" t="inlineStr">
        <is>
          <t>Flight No</t>
        </is>
      </c>
      <c r="F2568" s="3" t="inlineStr">
        <is>
          <t>Dep Stn</t>
        </is>
      </c>
      <c r="G2568" s="3" t="inlineStr">
        <is>
          <t>Arr Stn</t>
        </is>
      </c>
      <c r="H2568" s="3" t="inlineStr">
        <is>
          <t>STD</t>
        </is>
      </c>
      <c r="I2568" s="3" t="inlineStr">
        <is>
          <t>STA</t>
        </is>
      </c>
      <c r="J2568" s="3" t="inlineStr">
        <is>
          <t>subflota</t>
        </is>
      </c>
      <c r="K2568" s="3" t="inlineStr">
        <is>
          <t>Conexion</t>
        </is>
      </c>
      <c r="L2568" s="3" t="inlineStr">
        <is>
          <t>HBT</t>
        </is>
      </c>
    </row>
    <row r="2569">
      <c r="B2569" s="4" t="n">
        <v>2446</v>
      </c>
      <c r="C2569" s="4" t="inlineStr">
        <is>
          <t>28/09/2026</t>
        </is>
      </c>
      <c r="D2569" s="4" t="inlineStr">
        <is>
          <t>lunes</t>
        </is>
      </c>
      <c r="E2569" s="4" t="n">
        <v>2312</v>
      </c>
      <c r="F2569" s="4" t="inlineStr">
        <is>
          <t>LIM</t>
        </is>
      </c>
      <c r="G2569" s="4" t="inlineStr">
        <is>
          <t>CIX</t>
        </is>
      </c>
      <c r="H2569" s="4" t="inlineStr">
        <is>
          <t>15:35:00</t>
        </is>
      </c>
      <c r="I2569" s="4" t="inlineStr">
        <is>
          <t>17:05:00</t>
        </is>
      </c>
      <c r="J2569" s="4" t="n">
        <v>320</v>
      </c>
      <c r="L2569" s="4" t="inlineStr">
        <is>
          <t>01:30:00</t>
        </is>
      </c>
      <c r="M2569" s="5" t="n"/>
      <c r="N2569" s="6" t="n"/>
      <c r="O2569" s="5" t="n"/>
      <c r="Q2569" s="4">
        <f>B2569</f>
        <v/>
      </c>
      <c r="R2569" s="4">
        <f>C2569</f>
        <v/>
      </c>
      <c r="S2569" s="4">
        <f>D2569</f>
        <v/>
      </c>
      <c r="T2569" s="4">
        <f>E2569&amp;"/"&amp;E2570</f>
        <v/>
      </c>
      <c r="U2569" s="4">
        <f>F2569&amp;"-"&amp;G2569&amp;"-"&amp;F2569</f>
        <v/>
      </c>
      <c r="V2569" s="4">
        <f>IF($M$2569="","",$M$2569)</f>
        <v/>
      </c>
      <c r="W2569" s="4">
        <f>IF($O$2569="","",$O$2569)</f>
        <v/>
      </c>
      <c r="X2569" s="4">
        <f>J2569</f>
        <v/>
      </c>
    </row>
    <row r="2570">
      <c r="B2570" s="4" t="n">
        <v>2446</v>
      </c>
      <c r="C2570" s="4" t="inlineStr">
        <is>
          <t>28/09/2026</t>
        </is>
      </c>
      <c r="D2570" s="4" t="inlineStr">
        <is>
          <t>lunes</t>
        </is>
      </c>
      <c r="E2570" s="4" t="n">
        <v>2313</v>
      </c>
      <c r="F2570" s="4" t="inlineStr">
        <is>
          <t>CIX</t>
        </is>
      </c>
      <c r="G2570" s="4" t="inlineStr">
        <is>
          <t>LIM</t>
        </is>
      </c>
      <c r="H2570" s="4" t="inlineStr">
        <is>
          <t>17:50:00</t>
        </is>
      </c>
      <c r="I2570" s="4" t="inlineStr">
        <is>
          <t>19:10:00</t>
        </is>
      </c>
      <c r="J2570" s="4" t="n">
        <v>320</v>
      </c>
      <c r="K2570">
        <f>TEXT(TIMEVALUE(H2570)-TIMEVALUE(I2569)+(TIMEVALUE(H2570)&lt;TIMEVALUE(I2569)),"[h]:mm")</f>
        <v/>
      </c>
      <c r="L2570" s="4" t="inlineStr">
        <is>
          <t>01:20:00</t>
        </is>
      </c>
      <c r="O2570">
        <f>"LIM-"&amp;G2569&amp;"-LIM   LA "&amp;E2569&amp;" ("&amp;LEFT(H2569,5)&amp;"-"&amp;LEFT(I2569,5)&amp;" hrs)  /  LA "&amp;E2570&amp;" ("&amp;LEFT(H2570,5)&amp;"-"&amp;LEFT(I2570,5)&amp;" hrs)"</f>
        <v/>
      </c>
    </row>
    <row r="2571">
      <c r="J2571" s="8" t="inlineStr">
        <is>
          <t>PSV total:</t>
        </is>
      </c>
      <c r="K2571" s="9">
        <f>TEXT(TIMEVALUE(I2570)-TIMEVALUE(H2569)+(I2570&lt;H2569),"[h]:mm")</f>
        <v/>
      </c>
    </row>
    <row r="2573">
      <c r="B2573" s="3" t="inlineStr">
        <is>
          <t>Pairing ID</t>
        </is>
      </c>
      <c r="C2573" s="3" t="inlineStr">
        <is>
          <t>FECHA REAL</t>
        </is>
      </c>
      <c r="D2573" s="3" t="inlineStr">
        <is>
          <t>Day of Week</t>
        </is>
      </c>
      <c r="E2573" s="3" t="inlineStr">
        <is>
          <t>Flight No</t>
        </is>
      </c>
      <c r="F2573" s="3" t="inlineStr">
        <is>
          <t>Dep Stn</t>
        </is>
      </c>
      <c r="G2573" s="3" t="inlineStr">
        <is>
          <t>Arr Stn</t>
        </is>
      </c>
      <c r="H2573" s="3" t="inlineStr">
        <is>
          <t>STD</t>
        </is>
      </c>
      <c r="I2573" s="3" t="inlineStr">
        <is>
          <t>STA</t>
        </is>
      </c>
      <c r="J2573" s="3" t="inlineStr">
        <is>
          <t>subflota</t>
        </is>
      </c>
      <c r="K2573" s="3" t="inlineStr">
        <is>
          <t>Conexion</t>
        </is>
      </c>
      <c r="L2573" s="3" t="inlineStr">
        <is>
          <t>HBT</t>
        </is>
      </c>
    </row>
    <row r="2574">
      <c r="B2574" s="4" t="n">
        <v>2450</v>
      </c>
      <c r="C2574" s="4" t="inlineStr">
        <is>
          <t>28/09/2026</t>
        </is>
      </c>
      <c r="D2574" s="4" t="inlineStr">
        <is>
          <t>lunes</t>
        </is>
      </c>
      <c r="E2574" s="4" t="n">
        <v>2304</v>
      </c>
      <c r="F2574" s="4" t="inlineStr">
        <is>
          <t>LIM</t>
        </is>
      </c>
      <c r="G2574" s="4" t="inlineStr">
        <is>
          <t>PIU</t>
        </is>
      </c>
      <c r="H2574" s="4" t="inlineStr">
        <is>
          <t>16:55:00</t>
        </is>
      </c>
      <c r="I2574" s="4" t="inlineStr">
        <is>
          <t>18:35:00</t>
        </is>
      </c>
      <c r="J2574" s="4" t="n">
        <v>320</v>
      </c>
      <c r="L2574" s="4" t="inlineStr">
        <is>
          <t>01:40:00</t>
        </is>
      </c>
      <c r="M2574" s="5" t="n"/>
      <c r="N2574" s="6" t="n"/>
      <c r="O2574" s="5" t="n"/>
      <c r="Q2574" s="4">
        <f>B2574</f>
        <v/>
      </c>
      <c r="R2574" s="4">
        <f>C2574</f>
        <v/>
      </c>
      <c r="S2574" s="4">
        <f>D2574</f>
        <v/>
      </c>
      <c r="T2574" s="4">
        <f>E2574&amp;"/"&amp;E2575</f>
        <v/>
      </c>
      <c r="U2574" s="4">
        <f>F2574&amp;"-"&amp;G2574&amp;"-"&amp;F2574</f>
        <v/>
      </c>
      <c r="V2574" s="4">
        <f>IF($M$2574="","",$M$2574)</f>
        <v/>
      </c>
      <c r="W2574" s="4">
        <f>IF($O$2574="","",$O$2574)</f>
        <v/>
      </c>
      <c r="X2574" s="4">
        <f>J2574</f>
        <v/>
      </c>
    </row>
    <row r="2575">
      <c r="B2575" s="4" t="n">
        <v>2450</v>
      </c>
      <c r="C2575" s="4" t="inlineStr">
        <is>
          <t>28/09/2026</t>
        </is>
      </c>
      <c r="D2575" s="4" t="inlineStr">
        <is>
          <t>lunes</t>
        </is>
      </c>
      <c r="E2575" s="4" t="n">
        <v>2305</v>
      </c>
      <c r="F2575" s="4" t="inlineStr">
        <is>
          <t>PIU</t>
        </is>
      </c>
      <c r="G2575" s="4" t="inlineStr">
        <is>
          <t>LIM</t>
        </is>
      </c>
      <c r="H2575" s="4" t="inlineStr">
        <is>
          <t>19:10:00</t>
        </is>
      </c>
      <c r="I2575" s="4" t="inlineStr">
        <is>
          <t>20:40:00</t>
        </is>
      </c>
      <c r="J2575" s="4" t="n">
        <v>320</v>
      </c>
      <c r="K2575">
        <f>TEXT(TIMEVALUE(H2575)-TIMEVALUE(I2574)+(TIMEVALUE(H2575)&lt;TIMEVALUE(I2574)),"[h]:mm")</f>
        <v/>
      </c>
      <c r="L2575" s="4" t="inlineStr">
        <is>
          <t>01:30:00</t>
        </is>
      </c>
      <c r="O2575">
        <f>"LIM-"&amp;G2574&amp;"-LIM   LA "&amp;E2574&amp;" ("&amp;LEFT(H2574,5)&amp;"-"&amp;LEFT(I2574,5)&amp;" hrs)  /  LA "&amp;E2575&amp;" ("&amp;LEFT(H2575,5)&amp;"-"&amp;LEFT(I2575,5)&amp;" hrs)"</f>
        <v/>
      </c>
    </row>
    <row r="2576">
      <c r="J2576" s="8" t="inlineStr">
        <is>
          <t>PSV total:</t>
        </is>
      </c>
      <c r="K2576" s="9">
        <f>TEXT(TIMEVALUE(I2575)-TIMEVALUE(H2574)+(I2575&lt;H2574),"[h]:mm")</f>
        <v/>
      </c>
    </row>
    <row r="2578">
      <c r="B2578" s="3" t="inlineStr">
        <is>
          <t>Pairing ID</t>
        </is>
      </c>
      <c r="C2578" s="3" t="inlineStr">
        <is>
          <t>FECHA REAL</t>
        </is>
      </c>
      <c r="D2578" s="3" t="inlineStr">
        <is>
          <t>Day of Week</t>
        </is>
      </c>
      <c r="E2578" s="3" t="inlineStr">
        <is>
          <t>Flight No</t>
        </is>
      </c>
      <c r="F2578" s="3" t="inlineStr">
        <is>
          <t>Dep Stn</t>
        </is>
      </c>
      <c r="G2578" s="3" t="inlineStr">
        <is>
          <t>Arr Stn</t>
        </is>
      </c>
      <c r="H2578" s="3" t="inlineStr">
        <is>
          <t>STD</t>
        </is>
      </c>
      <c r="I2578" s="3" t="inlineStr">
        <is>
          <t>STA</t>
        </is>
      </c>
      <c r="J2578" s="3" t="inlineStr">
        <is>
          <t>subflota</t>
        </is>
      </c>
      <c r="K2578" s="3" t="inlineStr">
        <is>
          <t>Conexion</t>
        </is>
      </c>
      <c r="L2578" s="3" t="inlineStr">
        <is>
          <t>HBT</t>
        </is>
      </c>
    </row>
    <row r="2579">
      <c r="B2579" s="4" t="n">
        <v>2452</v>
      </c>
      <c r="C2579" s="4" t="inlineStr">
        <is>
          <t>28/09/2026</t>
        </is>
      </c>
      <c r="D2579" s="4" t="inlineStr">
        <is>
          <t>lunes</t>
        </is>
      </c>
      <c r="E2579" s="4" t="n">
        <v>2236</v>
      </c>
      <c r="F2579" s="4" t="inlineStr">
        <is>
          <t>LIM</t>
        </is>
      </c>
      <c r="G2579" s="4" t="inlineStr">
        <is>
          <t>PIU</t>
        </is>
      </c>
      <c r="H2579" s="4" t="inlineStr">
        <is>
          <t>18:00:00</t>
        </is>
      </c>
      <c r="I2579" s="4" t="inlineStr">
        <is>
          <t>19:40:00</t>
        </is>
      </c>
      <c r="J2579" s="4" t="n">
        <v>320</v>
      </c>
      <c r="L2579" s="4" t="inlineStr">
        <is>
          <t>01:40:00</t>
        </is>
      </c>
      <c r="M2579" s="5" t="n"/>
      <c r="N2579" s="6" t="n"/>
      <c r="O2579" s="5" t="n"/>
      <c r="Q2579" s="4">
        <f>B2579</f>
        <v/>
      </c>
      <c r="R2579" s="4">
        <f>C2579</f>
        <v/>
      </c>
      <c r="S2579" s="4">
        <f>D2579</f>
        <v/>
      </c>
      <c r="T2579" s="4">
        <f>E2579&amp;"/"&amp;E2580</f>
        <v/>
      </c>
      <c r="U2579" s="4">
        <f>F2579&amp;"-"&amp;G2579&amp;"-"&amp;F2579</f>
        <v/>
      </c>
      <c r="V2579" s="4">
        <f>IF($M$2579="","",$M$2579)</f>
        <v/>
      </c>
      <c r="W2579" s="4">
        <f>IF($O$2579="","",$O$2579)</f>
        <v/>
      </c>
      <c r="X2579" s="4">
        <f>J2579</f>
        <v/>
      </c>
    </row>
    <row r="2580">
      <c r="B2580" s="4" t="n">
        <v>2452</v>
      </c>
      <c r="C2580" s="4" t="inlineStr">
        <is>
          <t>28/09/2026</t>
        </is>
      </c>
      <c r="D2580" s="4" t="inlineStr">
        <is>
          <t>lunes</t>
        </is>
      </c>
      <c r="E2580" s="4" t="n">
        <v>2237</v>
      </c>
      <c r="F2580" s="4" t="inlineStr">
        <is>
          <t>PIU</t>
        </is>
      </c>
      <c r="G2580" s="4" t="inlineStr">
        <is>
          <t>LIM</t>
        </is>
      </c>
      <c r="H2580" s="4" t="inlineStr">
        <is>
          <t>20:20:00</t>
        </is>
      </c>
      <c r="I2580" s="4" t="inlineStr">
        <is>
          <t>21:50:00</t>
        </is>
      </c>
      <c r="J2580" s="4" t="n">
        <v>320</v>
      </c>
      <c r="K2580">
        <f>TEXT(TIMEVALUE(H2580)-TIMEVALUE(I2579)+(TIMEVALUE(H2580)&lt;TIMEVALUE(I2579)),"[h]:mm")</f>
        <v/>
      </c>
      <c r="L2580" s="4" t="inlineStr">
        <is>
          <t>01:30:00</t>
        </is>
      </c>
      <c r="O2580">
        <f>"LIM-"&amp;G2579&amp;"-LIM   LA "&amp;E2579&amp;" ("&amp;LEFT(H2579,5)&amp;"-"&amp;LEFT(I2579,5)&amp;" hrs)  /  LA "&amp;E2580&amp;" ("&amp;LEFT(H2580,5)&amp;"-"&amp;LEFT(I2580,5)&amp;" hrs)"</f>
        <v/>
      </c>
    </row>
    <row r="2581">
      <c r="J2581" s="8" t="inlineStr">
        <is>
          <t>PSV total:</t>
        </is>
      </c>
      <c r="K2581" s="9">
        <f>TEXT(TIMEVALUE(I2580)-TIMEVALUE(H2579)+(I2580&lt;H2579),"[h]:mm")</f>
        <v/>
      </c>
    </row>
    <row r="2583">
      <c r="B2583" s="3" t="inlineStr">
        <is>
          <t>Pairing ID</t>
        </is>
      </c>
      <c r="C2583" s="3" t="inlineStr">
        <is>
          <t>FECHA REAL</t>
        </is>
      </c>
      <c r="D2583" s="3" t="inlineStr">
        <is>
          <t>Day of Week</t>
        </is>
      </c>
      <c r="E2583" s="3" t="inlineStr">
        <is>
          <t>Flight No</t>
        </is>
      </c>
      <c r="F2583" s="3" t="inlineStr">
        <is>
          <t>Dep Stn</t>
        </is>
      </c>
      <c r="G2583" s="3" t="inlineStr">
        <is>
          <t>Arr Stn</t>
        </is>
      </c>
      <c r="H2583" s="3" t="inlineStr">
        <is>
          <t>STD</t>
        </is>
      </c>
      <c r="I2583" s="3" t="inlineStr">
        <is>
          <t>STA</t>
        </is>
      </c>
      <c r="J2583" s="3" t="inlineStr">
        <is>
          <t>subflota</t>
        </is>
      </c>
      <c r="K2583" s="3" t="inlineStr">
        <is>
          <t>Conexion</t>
        </is>
      </c>
      <c r="L2583" s="3" t="inlineStr">
        <is>
          <t>HBT</t>
        </is>
      </c>
    </row>
    <row r="2584">
      <c r="B2584" s="4" t="n">
        <v>2494</v>
      </c>
      <c r="C2584" s="4" t="inlineStr">
        <is>
          <t>29/09/2026</t>
        </is>
      </c>
      <c r="D2584" s="4" t="inlineStr">
        <is>
          <t>martes</t>
        </is>
      </c>
      <c r="E2584" s="4" t="n">
        <v>2013</v>
      </c>
      <c r="F2584" s="4" t="inlineStr">
        <is>
          <t>LIM</t>
        </is>
      </c>
      <c r="G2584" s="4" t="inlineStr">
        <is>
          <t>CUZ</t>
        </is>
      </c>
      <c r="H2584" s="4" t="inlineStr">
        <is>
          <t>08:35:00</t>
        </is>
      </c>
      <c r="I2584" s="4" t="inlineStr">
        <is>
          <t>09:55:00</t>
        </is>
      </c>
      <c r="J2584" s="4" t="n">
        <v>320</v>
      </c>
      <c r="L2584" s="4" t="inlineStr">
        <is>
          <t>01:20:00</t>
        </is>
      </c>
      <c r="M2584" s="5" t="n"/>
      <c r="N2584" s="6" t="n"/>
      <c r="O2584" s="5" t="n"/>
      <c r="Q2584" s="4">
        <f>B2584</f>
        <v/>
      </c>
      <c r="R2584" s="4">
        <f>C2584</f>
        <v/>
      </c>
      <c r="S2584" s="4">
        <f>D2584</f>
        <v/>
      </c>
      <c r="T2584" s="4">
        <f>E2584&amp;"/"&amp;E2585</f>
        <v/>
      </c>
      <c r="U2584" s="4">
        <f>F2584&amp;"-"&amp;G2584&amp;"-"&amp;F2584</f>
        <v/>
      </c>
      <c r="V2584" s="4">
        <f>IF($M$2584="","",$M$2584)</f>
        <v/>
      </c>
      <c r="W2584" s="4">
        <f>IF($O$2584="","",$O$2584)</f>
        <v/>
      </c>
      <c r="X2584" s="4">
        <f>J2584</f>
        <v/>
      </c>
    </row>
    <row r="2585">
      <c r="B2585" s="4" t="n">
        <v>2494</v>
      </c>
      <c r="C2585" s="4" t="inlineStr">
        <is>
          <t>29/09/2026</t>
        </is>
      </c>
      <c r="D2585" s="4" t="inlineStr">
        <is>
          <t>martes</t>
        </is>
      </c>
      <c r="E2585" s="4" t="n">
        <v>2014</v>
      </c>
      <c r="F2585" s="4" t="inlineStr">
        <is>
          <t>CUZ</t>
        </is>
      </c>
      <c r="G2585" s="4" t="inlineStr">
        <is>
          <t>LIM</t>
        </is>
      </c>
      <c r="H2585" s="4" t="inlineStr">
        <is>
          <t>10:40:00</t>
        </is>
      </c>
      <c r="I2585" s="4" t="inlineStr">
        <is>
          <t>12:15:00</t>
        </is>
      </c>
      <c r="J2585" s="4" t="n">
        <v>320</v>
      </c>
      <c r="K2585">
        <f>TEXT(TIMEVALUE(H2585)-TIMEVALUE(I2584)+(TIMEVALUE(H2585)&lt;TIMEVALUE(I2584)),"[h]:mm")</f>
        <v/>
      </c>
      <c r="L2585" s="4" t="inlineStr">
        <is>
          <t>01:35:00</t>
        </is>
      </c>
      <c r="O2585">
        <f>"LIM-"&amp;G2584&amp;"-LIM   LA "&amp;E2584&amp;" ("&amp;LEFT(H2584,5)&amp;"-"&amp;LEFT(I2584,5)&amp;" hrs)  /  LA "&amp;E2585&amp;" ("&amp;LEFT(H2585,5)&amp;"-"&amp;LEFT(I2585,5)&amp;" hrs)"</f>
        <v/>
      </c>
    </row>
    <row r="2586">
      <c r="B2586" s="4" t="n">
        <v>2515</v>
      </c>
      <c r="C2586" s="4" t="inlineStr">
        <is>
          <t>29/09/2026</t>
        </is>
      </c>
      <c r="D2586" s="4" t="inlineStr">
        <is>
          <t>martes</t>
        </is>
      </c>
      <c r="E2586" s="4" t="n">
        <v>2028</v>
      </c>
      <c r="F2586" s="4" t="inlineStr">
        <is>
          <t>LIM</t>
        </is>
      </c>
      <c r="G2586" s="4" t="inlineStr">
        <is>
          <t>CUZ</t>
        </is>
      </c>
      <c r="H2586" s="4" t="inlineStr">
        <is>
          <t>13:25:00</t>
        </is>
      </c>
      <c r="I2586" s="4" t="inlineStr">
        <is>
          <t>14:45:00</t>
        </is>
      </c>
      <c r="J2586" s="4" t="n">
        <v>320</v>
      </c>
      <c r="K2586" s="7">
        <f>TEXT(TIMEVALUE(H2586)-TIMEVALUE(I2585)+(TIMEVALUE(H2586)&lt;TIMEVALUE(I2585)),"[h]:mm")</f>
        <v/>
      </c>
      <c r="L2586" s="4" t="inlineStr">
        <is>
          <t>01:20:00</t>
        </is>
      </c>
      <c r="M2586">
        <f>IF($M$2584="","",$M$2584)</f>
        <v/>
      </c>
      <c r="O2586">
        <f>IF($O$2584="","",$O$2584)</f>
        <v/>
      </c>
      <c r="Q2586" s="4">
        <f>B2586</f>
        <v/>
      </c>
      <c r="R2586" s="4">
        <f>C2586</f>
        <v/>
      </c>
      <c r="S2586" s="4">
        <f>D2586</f>
        <v/>
      </c>
      <c r="T2586" s="4">
        <f>E2586&amp;"/"&amp;E2587</f>
        <v/>
      </c>
      <c r="U2586" s="4">
        <f>F2586&amp;"-"&amp;G2586&amp;"-"&amp;F2586</f>
        <v/>
      </c>
      <c r="V2586" s="4">
        <f>IF($M$2584="","",$M$2584)</f>
        <v/>
      </c>
      <c r="W2586" s="4">
        <f>IF($O$2584="","",$O$2584)</f>
        <v/>
      </c>
      <c r="X2586" s="4">
        <f>J2586</f>
        <v/>
      </c>
    </row>
    <row r="2587">
      <c r="B2587" s="4" t="n">
        <v>2515</v>
      </c>
      <c r="C2587" s="4" t="inlineStr">
        <is>
          <t>29/09/2026</t>
        </is>
      </c>
      <c r="D2587" s="4" t="inlineStr">
        <is>
          <t>martes</t>
        </is>
      </c>
      <c r="E2587" s="4" t="n">
        <v>2029</v>
      </c>
      <c r="F2587" s="4" t="inlineStr">
        <is>
          <t>CUZ</t>
        </is>
      </c>
      <c r="G2587" s="4" t="inlineStr">
        <is>
          <t>LIM</t>
        </is>
      </c>
      <c r="H2587" s="4" t="inlineStr">
        <is>
          <t>15:30:00</t>
        </is>
      </c>
      <c r="I2587" s="4" t="inlineStr">
        <is>
          <t>17:05:00</t>
        </is>
      </c>
      <c r="J2587" s="4" t="n">
        <v>320</v>
      </c>
      <c r="K2587">
        <f>TEXT(TIMEVALUE(H2587)-TIMEVALUE(I2586)+(TIMEVALUE(H2587)&lt;TIMEVALUE(I2586)),"[h]:mm")</f>
        <v/>
      </c>
      <c r="L2587" s="4" t="inlineStr">
        <is>
          <t>01:35:00</t>
        </is>
      </c>
      <c r="O2587">
        <f>"LIM-"&amp;G2586&amp;"-LIM   LA "&amp;E2586&amp;" ("&amp;LEFT(H2586,5)&amp;"-"&amp;LEFT(I2586,5)&amp;" hrs)  /  LA "&amp;E2587&amp;" ("&amp;LEFT(H2587,5)&amp;"-"&amp;LEFT(I2587,5)&amp;" hrs)"</f>
        <v/>
      </c>
    </row>
    <row r="2588">
      <c r="J2588" s="8" t="inlineStr">
        <is>
          <t>PSV total:</t>
        </is>
      </c>
      <c r="K2588" s="9">
        <f>TEXT(TIMEVALUE(I2587)-TIMEVALUE(H2584)+(I2587&lt;H2584),"[h]:mm")</f>
        <v/>
      </c>
    </row>
    <row r="2590">
      <c r="B2590" s="3" t="inlineStr">
        <is>
          <t>Pairing ID</t>
        </is>
      </c>
      <c r="C2590" s="3" t="inlineStr">
        <is>
          <t>FECHA REAL</t>
        </is>
      </c>
      <c r="D2590" s="3" t="inlineStr">
        <is>
          <t>Day of Week</t>
        </is>
      </c>
      <c r="E2590" s="3" t="inlineStr">
        <is>
          <t>Flight No</t>
        </is>
      </c>
      <c r="F2590" s="3" t="inlineStr">
        <is>
          <t>Dep Stn</t>
        </is>
      </c>
      <c r="G2590" s="3" t="inlineStr">
        <is>
          <t>Arr Stn</t>
        </is>
      </c>
      <c r="H2590" s="3" t="inlineStr">
        <is>
          <t>STD</t>
        </is>
      </c>
      <c r="I2590" s="3" t="inlineStr">
        <is>
          <t>STA</t>
        </is>
      </c>
      <c r="J2590" s="3" t="inlineStr">
        <is>
          <t>subflota</t>
        </is>
      </c>
      <c r="K2590" s="3" t="inlineStr">
        <is>
          <t>Conexion</t>
        </is>
      </c>
      <c r="L2590" s="3" t="inlineStr">
        <is>
          <t>HBT</t>
        </is>
      </c>
    </row>
    <row r="2591">
      <c r="B2591" s="4" t="n">
        <v>2501</v>
      </c>
      <c r="C2591" s="4" t="inlineStr">
        <is>
          <t>29/09/2026</t>
        </is>
      </c>
      <c r="D2591" s="4" t="inlineStr">
        <is>
          <t>martes</t>
        </is>
      </c>
      <c r="E2591" s="4" t="n">
        <v>2075</v>
      </c>
      <c r="F2591" s="4" t="inlineStr">
        <is>
          <t>LIM</t>
        </is>
      </c>
      <c r="G2591" s="4" t="inlineStr">
        <is>
          <t>CUZ</t>
        </is>
      </c>
      <c r="H2591" s="4" t="inlineStr">
        <is>
          <t>10:50:00</t>
        </is>
      </c>
      <c r="I2591" s="4" t="inlineStr">
        <is>
          <t>12:10:00</t>
        </is>
      </c>
      <c r="J2591" s="4" t="n">
        <v>320</v>
      </c>
      <c r="L2591" s="4" t="inlineStr">
        <is>
          <t>01:20:00</t>
        </is>
      </c>
      <c r="M2591" s="5" t="n"/>
      <c r="N2591" s="6" t="n"/>
      <c r="O2591" s="5" t="n"/>
      <c r="Q2591" s="4">
        <f>B2591</f>
        <v/>
      </c>
      <c r="R2591" s="4">
        <f>C2591</f>
        <v/>
      </c>
      <c r="S2591" s="4">
        <f>D2591</f>
        <v/>
      </c>
      <c r="T2591" s="4">
        <f>E2591&amp;"/"&amp;E2592</f>
        <v/>
      </c>
      <c r="U2591" s="4">
        <f>F2591&amp;"-"&amp;G2591&amp;"-"&amp;F2591</f>
        <v/>
      </c>
      <c r="V2591" s="4">
        <f>IF($M$2591="","",$M$2591)</f>
        <v/>
      </c>
      <c r="W2591" s="4">
        <f>IF($O$2591="","",$O$2591)</f>
        <v/>
      </c>
      <c r="X2591" s="4">
        <f>J2591</f>
        <v/>
      </c>
    </row>
    <row r="2592">
      <c r="B2592" s="4" t="n">
        <v>2501</v>
      </c>
      <c r="C2592" s="4" t="inlineStr">
        <is>
          <t>29/09/2026</t>
        </is>
      </c>
      <c r="D2592" s="4" t="inlineStr">
        <is>
          <t>martes</t>
        </is>
      </c>
      <c r="E2592" s="4" t="n">
        <v>2076</v>
      </c>
      <c r="F2592" s="4" t="inlineStr">
        <is>
          <t>CUZ</t>
        </is>
      </c>
      <c r="G2592" s="4" t="inlineStr">
        <is>
          <t>LIM</t>
        </is>
      </c>
      <c r="H2592" s="4" t="inlineStr">
        <is>
          <t>12:45:00</t>
        </is>
      </c>
      <c r="I2592" s="4" t="inlineStr">
        <is>
          <t>14:20:00</t>
        </is>
      </c>
      <c r="J2592" s="4" t="n">
        <v>320</v>
      </c>
      <c r="K2592">
        <f>TEXT(TIMEVALUE(H2592)-TIMEVALUE(I2591)+(TIMEVALUE(H2592)&lt;TIMEVALUE(I2591)),"[h]:mm")</f>
        <v/>
      </c>
      <c r="L2592" s="4" t="inlineStr">
        <is>
          <t>01:35:00</t>
        </is>
      </c>
      <c r="O2592">
        <f>"LIM-"&amp;G2591&amp;"-LIM   LA "&amp;E2591&amp;" ("&amp;LEFT(H2591,5)&amp;"-"&amp;LEFT(I2591,5)&amp;" hrs)  /  LA "&amp;E2592&amp;" ("&amp;LEFT(H2592,5)&amp;"-"&amp;LEFT(I2592,5)&amp;" hrs)"</f>
        <v/>
      </c>
    </row>
    <row r="2593">
      <c r="B2593" s="4" t="n">
        <v>2526</v>
      </c>
      <c r="C2593" s="4" t="inlineStr">
        <is>
          <t>29/09/2026</t>
        </is>
      </c>
      <c r="D2593" s="4" t="inlineStr">
        <is>
          <t>martes</t>
        </is>
      </c>
      <c r="E2593" s="4" t="n">
        <v>2297</v>
      </c>
      <c r="F2593" s="4" t="inlineStr">
        <is>
          <t>LIM</t>
        </is>
      </c>
      <c r="G2593" s="4" t="inlineStr">
        <is>
          <t>CJA</t>
        </is>
      </c>
      <c r="H2593" s="4" t="inlineStr">
        <is>
          <t>15:15:00</t>
        </is>
      </c>
      <c r="I2593" s="4" t="inlineStr">
        <is>
          <t>16:35:00</t>
        </is>
      </c>
      <c r="J2593" s="4" t="n">
        <v>319</v>
      </c>
      <c r="K2593" s="7">
        <f>TEXT(TIMEVALUE(H2593)-TIMEVALUE(I2592)+(TIMEVALUE(H2593)&lt;TIMEVALUE(I2592)),"[h]:mm")</f>
        <v/>
      </c>
      <c r="L2593" s="4" t="inlineStr">
        <is>
          <t>01:20:00</t>
        </is>
      </c>
      <c r="M2593">
        <f>IF($M$2591="","",$M$2591)</f>
        <v/>
      </c>
      <c r="O2593">
        <f>IF($O$2591="","",$O$2591)</f>
        <v/>
      </c>
      <c r="Q2593" s="4">
        <f>B2593</f>
        <v/>
      </c>
      <c r="R2593" s="4">
        <f>C2593</f>
        <v/>
      </c>
      <c r="S2593" s="4">
        <f>D2593</f>
        <v/>
      </c>
      <c r="T2593" s="4">
        <f>E2593&amp;"/"&amp;E2594</f>
        <v/>
      </c>
      <c r="U2593" s="4">
        <f>F2593&amp;"-"&amp;G2593&amp;"-"&amp;F2593</f>
        <v/>
      </c>
      <c r="V2593" s="4">
        <f>IF($M$2591="","",$M$2591)</f>
        <v/>
      </c>
      <c r="W2593" s="4">
        <f>IF($O$2591="","",$O$2591)</f>
        <v/>
      </c>
      <c r="X2593" s="4">
        <f>J2593</f>
        <v/>
      </c>
    </row>
    <row r="2594">
      <c r="B2594" s="4" t="n">
        <v>2526</v>
      </c>
      <c r="C2594" s="4" t="inlineStr">
        <is>
          <t>29/09/2026</t>
        </is>
      </c>
      <c r="D2594" s="4" t="inlineStr">
        <is>
          <t>martes</t>
        </is>
      </c>
      <c r="E2594" s="4" t="n">
        <v>2296</v>
      </c>
      <c r="F2594" s="4" t="inlineStr">
        <is>
          <t>CJA</t>
        </is>
      </c>
      <c r="G2594" s="4" t="inlineStr">
        <is>
          <t>LIM</t>
        </is>
      </c>
      <c r="H2594" s="4" t="inlineStr">
        <is>
          <t>17:20:00</t>
        </is>
      </c>
      <c r="I2594" s="4" t="inlineStr">
        <is>
          <t>18:25:00</t>
        </is>
      </c>
      <c r="J2594" s="4" t="n">
        <v>319</v>
      </c>
      <c r="K2594">
        <f>TEXT(TIMEVALUE(H2594)-TIMEVALUE(I2593)+(TIMEVALUE(H2594)&lt;TIMEVALUE(I2593)),"[h]:mm")</f>
        <v/>
      </c>
      <c r="L2594" s="4" t="inlineStr">
        <is>
          <t>01:05:00</t>
        </is>
      </c>
      <c r="O2594">
        <f>"LIM-"&amp;G2593&amp;"-LIM   LA "&amp;E2593&amp;" ("&amp;LEFT(H2593,5)&amp;"-"&amp;LEFT(I2593,5)&amp;" hrs)  /  LA "&amp;E2594&amp;" ("&amp;LEFT(H2594,5)&amp;"-"&amp;LEFT(I2594,5)&amp;" hrs)"</f>
        <v/>
      </c>
    </row>
    <row r="2595">
      <c r="J2595" s="8" t="inlineStr">
        <is>
          <t>PSV total:</t>
        </is>
      </c>
      <c r="K2595" s="9">
        <f>TEXT(TIMEVALUE(I2594)-TIMEVALUE(H2591)+(I2594&lt;H2591),"[h]:mm")</f>
        <v/>
      </c>
    </row>
    <row r="2597">
      <c r="B2597" s="3" t="inlineStr">
        <is>
          <t>Pairing ID</t>
        </is>
      </c>
      <c r="C2597" s="3" t="inlineStr">
        <is>
          <t>FECHA REAL</t>
        </is>
      </c>
      <c r="D2597" s="3" t="inlineStr">
        <is>
          <t>Day of Week</t>
        </is>
      </c>
      <c r="E2597" s="3" t="inlineStr">
        <is>
          <t>Flight No</t>
        </is>
      </c>
      <c r="F2597" s="3" t="inlineStr">
        <is>
          <t>Dep Stn</t>
        </is>
      </c>
      <c r="G2597" s="3" t="inlineStr">
        <is>
          <t>Arr Stn</t>
        </is>
      </c>
      <c r="H2597" s="3" t="inlineStr">
        <is>
          <t>STD</t>
        </is>
      </c>
      <c r="I2597" s="3" t="inlineStr">
        <is>
          <t>STA</t>
        </is>
      </c>
      <c r="J2597" s="3" t="inlineStr">
        <is>
          <t>subflota</t>
        </is>
      </c>
      <c r="K2597" s="3" t="inlineStr">
        <is>
          <t>Conexion</t>
        </is>
      </c>
      <c r="L2597" s="3" t="inlineStr">
        <is>
          <t>HBT</t>
        </is>
      </c>
    </row>
    <row r="2598">
      <c r="B2598" s="4" t="n">
        <v>2502</v>
      </c>
      <c r="C2598" s="4" t="inlineStr">
        <is>
          <t>29/09/2026</t>
        </is>
      </c>
      <c r="D2598" s="4" t="inlineStr">
        <is>
          <t>martes</t>
        </is>
      </c>
      <c r="E2598" s="4" t="n">
        <v>2015</v>
      </c>
      <c r="F2598" s="4" t="inlineStr">
        <is>
          <t>LIM</t>
        </is>
      </c>
      <c r="G2598" s="4" t="inlineStr">
        <is>
          <t>PIU</t>
        </is>
      </c>
      <c r="H2598" s="4" t="inlineStr">
        <is>
          <t>10:55:00</t>
        </is>
      </c>
      <c r="I2598" s="4" t="inlineStr">
        <is>
          <t>12:40:00</t>
        </is>
      </c>
      <c r="J2598" s="4" t="n">
        <v>319</v>
      </c>
      <c r="L2598" s="4" t="inlineStr">
        <is>
          <t>01:45:00</t>
        </is>
      </c>
      <c r="M2598" s="5" t="n"/>
      <c r="N2598" s="6" t="n"/>
      <c r="O2598" s="5" t="n"/>
      <c r="Q2598" s="4">
        <f>B2598</f>
        <v/>
      </c>
      <c r="R2598" s="4">
        <f>C2598</f>
        <v/>
      </c>
      <c r="S2598" s="4">
        <f>D2598</f>
        <v/>
      </c>
      <c r="T2598" s="4">
        <f>E2598&amp;"/"&amp;E2599</f>
        <v/>
      </c>
      <c r="U2598" s="4">
        <f>F2598&amp;"-"&amp;G2598&amp;"-"&amp;F2598</f>
        <v/>
      </c>
      <c r="V2598" s="4">
        <f>IF($M$2598="","",$M$2598)</f>
        <v/>
      </c>
      <c r="W2598" s="4">
        <f>IF($O$2598="","",$O$2598)</f>
        <v/>
      </c>
      <c r="X2598" s="4">
        <f>J2598</f>
        <v/>
      </c>
    </row>
    <row r="2599">
      <c r="B2599" s="4" t="n">
        <v>2502</v>
      </c>
      <c r="C2599" s="4" t="inlineStr">
        <is>
          <t>29/09/2026</t>
        </is>
      </c>
      <c r="D2599" s="4" t="inlineStr">
        <is>
          <t>martes</t>
        </is>
      </c>
      <c r="E2599" s="4" t="n">
        <v>2016</v>
      </c>
      <c r="F2599" s="4" t="inlineStr">
        <is>
          <t>PIU</t>
        </is>
      </c>
      <c r="G2599" s="4" t="inlineStr">
        <is>
          <t>LIM</t>
        </is>
      </c>
      <c r="H2599" s="4" t="inlineStr">
        <is>
          <t>13:20:00</t>
        </is>
      </c>
      <c r="I2599" s="4" t="inlineStr">
        <is>
          <t>14:55:00</t>
        </is>
      </c>
      <c r="J2599" s="4" t="n">
        <v>319</v>
      </c>
      <c r="K2599">
        <f>TEXT(TIMEVALUE(H2599)-TIMEVALUE(I2598)+(TIMEVALUE(H2599)&lt;TIMEVALUE(I2598)),"[h]:mm")</f>
        <v/>
      </c>
      <c r="L2599" s="4" t="inlineStr">
        <is>
          <t>01:35:00</t>
        </is>
      </c>
      <c r="O2599">
        <f>"LIM-"&amp;G2598&amp;"-LIM   LA "&amp;E2598&amp;" ("&amp;LEFT(H2598,5)&amp;"-"&amp;LEFT(I2598,5)&amp;" hrs)  /  LA "&amp;E2599&amp;" ("&amp;LEFT(H2599,5)&amp;"-"&amp;LEFT(I2599,5)&amp;" hrs)"</f>
        <v/>
      </c>
    </row>
    <row r="2600">
      <c r="J2600" s="8" t="inlineStr">
        <is>
          <t>PSV total:</t>
        </is>
      </c>
      <c r="K2600" s="9">
        <f>TEXT(TIMEVALUE(I2599)-TIMEVALUE(H2598)+(I2599&lt;H2598),"[h]:mm")</f>
        <v/>
      </c>
    </row>
    <row r="2602">
      <c r="B2602" s="3" t="inlineStr">
        <is>
          <t>Pairing ID</t>
        </is>
      </c>
      <c r="C2602" s="3" t="inlineStr">
        <is>
          <t>FECHA REAL</t>
        </is>
      </c>
      <c r="D2602" s="3" t="inlineStr">
        <is>
          <t>Day of Week</t>
        </is>
      </c>
      <c r="E2602" s="3" t="inlineStr">
        <is>
          <t>Flight No</t>
        </is>
      </c>
      <c r="F2602" s="3" t="inlineStr">
        <is>
          <t>Dep Stn</t>
        </is>
      </c>
      <c r="G2602" s="3" t="inlineStr">
        <is>
          <t>Arr Stn</t>
        </is>
      </c>
      <c r="H2602" s="3" t="inlineStr">
        <is>
          <t>STD</t>
        </is>
      </c>
      <c r="I2602" s="3" t="inlineStr">
        <is>
          <t>STA</t>
        </is>
      </c>
      <c r="J2602" s="3" t="inlineStr">
        <is>
          <t>subflota</t>
        </is>
      </c>
      <c r="K2602" s="3" t="inlineStr">
        <is>
          <t>Conexion</t>
        </is>
      </c>
      <c r="L2602" s="3" t="inlineStr">
        <is>
          <t>HBT</t>
        </is>
      </c>
    </row>
    <row r="2603">
      <c r="B2603" s="4" t="n">
        <v>2503</v>
      </c>
      <c r="C2603" s="4" t="inlineStr">
        <is>
          <t>29/09/2026</t>
        </is>
      </c>
      <c r="D2603" s="4" t="inlineStr">
        <is>
          <t>martes</t>
        </is>
      </c>
      <c r="E2603" s="4" t="n">
        <v>2299</v>
      </c>
      <c r="F2603" s="4" t="inlineStr">
        <is>
          <t>LIM</t>
        </is>
      </c>
      <c r="G2603" s="4" t="inlineStr">
        <is>
          <t>CJA</t>
        </is>
      </c>
      <c r="H2603" s="4" t="inlineStr">
        <is>
          <t>11:35:00</t>
        </is>
      </c>
      <c r="I2603" s="4" t="inlineStr">
        <is>
          <t>12:55:00</t>
        </is>
      </c>
      <c r="J2603" s="4" t="n">
        <v>320</v>
      </c>
      <c r="L2603" s="4" t="inlineStr">
        <is>
          <t>01:20:00</t>
        </is>
      </c>
      <c r="M2603" s="5" t="n"/>
      <c r="N2603" s="6" t="n"/>
      <c r="O2603" s="5" t="n"/>
      <c r="Q2603" s="4">
        <f>B2603</f>
        <v/>
      </c>
      <c r="R2603" s="4">
        <f>C2603</f>
        <v/>
      </c>
      <c r="S2603" s="4">
        <f>D2603</f>
        <v/>
      </c>
      <c r="T2603" s="4">
        <f>E2603&amp;"/"&amp;E2604</f>
        <v/>
      </c>
      <c r="U2603" s="4">
        <f>F2603&amp;"-"&amp;G2603&amp;"-"&amp;F2603</f>
        <v/>
      </c>
      <c r="V2603" s="4">
        <f>IF($M$2603="","",$M$2603)</f>
        <v/>
      </c>
      <c r="W2603" s="4">
        <f>IF($O$2603="","",$O$2603)</f>
        <v/>
      </c>
      <c r="X2603" s="4">
        <f>J2603</f>
        <v/>
      </c>
    </row>
    <row r="2604">
      <c r="B2604" s="4" t="n">
        <v>2503</v>
      </c>
      <c r="C2604" s="4" t="inlineStr">
        <is>
          <t>29/09/2026</t>
        </is>
      </c>
      <c r="D2604" s="4" t="inlineStr">
        <is>
          <t>martes</t>
        </is>
      </c>
      <c r="E2604" s="4" t="n">
        <v>2298</v>
      </c>
      <c r="F2604" s="4" t="inlineStr">
        <is>
          <t>CJA</t>
        </is>
      </c>
      <c r="G2604" s="4" t="inlineStr">
        <is>
          <t>LIM</t>
        </is>
      </c>
      <c r="H2604" s="4" t="inlineStr">
        <is>
          <t>13:40:00</t>
        </is>
      </c>
      <c r="I2604" s="4" t="inlineStr">
        <is>
          <t>14:50:00</t>
        </is>
      </c>
      <c r="J2604" s="4" t="n">
        <v>320</v>
      </c>
      <c r="K2604">
        <f>TEXT(TIMEVALUE(H2604)-TIMEVALUE(I2603)+(TIMEVALUE(H2604)&lt;TIMEVALUE(I2603)),"[h]:mm")</f>
        <v/>
      </c>
      <c r="L2604" s="4" t="inlineStr">
        <is>
          <t>01:10:00</t>
        </is>
      </c>
      <c r="O2604">
        <f>"LIM-"&amp;G2603&amp;"-LIM   LA "&amp;E2603&amp;" ("&amp;LEFT(H2603,5)&amp;"-"&amp;LEFT(I2603,5)&amp;" hrs)  /  LA "&amp;E2604&amp;" ("&amp;LEFT(H2604,5)&amp;"-"&amp;LEFT(I2604,5)&amp;" hrs)"</f>
        <v/>
      </c>
    </row>
    <row r="2605">
      <c r="J2605" s="8" t="inlineStr">
        <is>
          <t>PSV total:</t>
        </is>
      </c>
      <c r="K2605" s="9">
        <f>TEXT(TIMEVALUE(I2604)-TIMEVALUE(H2603)+(I2604&lt;H2603),"[h]:mm")</f>
        <v/>
      </c>
    </row>
    <row r="2607">
      <c r="B2607" s="3" t="inlineStr">
        <is>
          <t>Pairing ID</t>
        </is>
      </c>
      <c r="C2607" s="3" t="inlineStr">
        <is>
          <t>FECHA REAL</t>
        </is>
      </c>
      <c r="D2607" s="3" t="inlineStr">
        <is>
          <t>Day of Week</t>
        </is>
      </c>
      <c r="E2607" s="3" t="inlineStr">
        <is>
          <t>Flight No</t>
        </is>
      </c>
      <c r="F2607" s="3" t="inlineStr">
        <is>
          <t>Dep Stn</t>
        </is>
      </c>
      <c r="G2607" s="3" t="inlineStr">
        <is>
          <t>Arr Stn</t>
        </is>
      </c>
      <c r="H2607" s="3" t="inlineStr">
        <is>
          <t>STD</t>
        </is>
      </c>
      <c r="I2607" s="3" t="inlineStr">
        <is>
          <t>STA</t>
        </is>
      </c>
      <c r="J2607" s="3" t="inlineStr">
        <is>
          <t>subflota</t>
        </is>
      </c>
      <c r="K2607" s="3" t="inlineStr">
        <is>
          <t>Conexion</t>
        </is>
      </c>
      <c r="L2607" s="3" t="inlineStr">
        <is>
          <t>HBT</t>
        </is>
      </c>
    </row>
    <row r="2608">
      <c r="B2608" s="4" t="n">
        <v>2505</v>
      </c>
      <c r="C2608" s="4" t="inlineStr">
        <is>
          <t>29/09/2026</t>
        </is>
      </c>
      <c r="D2608" s="4" t="inlineStr">
        <is>
          <t>martes</t>
        </is>
      </c>
      <c r="E2608" s="4" t="n">
        <v>2111</v>
      </c>
      <c r="F2608" s="4" t="inlineStr">
        <is>
          <t>LIM</t>
        </is>
      </c>
      <c r="G2608" s="4" t="inlineStr">
        <is>
          <t>AQP</t>
        </is>
      </c>
      <c r="H2608" s="4" t="inlineStr">
        <is>
          <t>11:40:00</t>
        </is>
      </c>
      <c r="I2608" s="4" t="inlineStr">
        <is>
          <t>13:10:00</t>
        </is>
      </c>
      <c r="J2608" s="4" t="n">
        <v>320</v>
      </c>
      <c r="L2608" s="4" t="inlineStr">
        <is>
          <t>01:30:00</t>
        </is>
      </c>
      <c r="M2608" s="5" t="n"/>
      <c r="N2608" s="6" t="n"/>
      <c r="O2608" s="5" t="n"/>
      <c r="Q2608" s="4">
        <f>B2608</f>
        <v/>
      </c>
      <c r="R2608" s="4">
        <f>C2608</f>
        <v/>
      </c>
      <c r="S2608" s="4">
        <f>D2608</f>
        <v/>
      </c>
      <c r="T2608" s="4">
        <f>E2608&amp;"/"&amp;E2609</f>
        <v/>
      </c>
      <c r="U2608" s="4">
        <f>F2608&amp;"-"&amp;G2608&amp;"-"&amp;F2608</f>
        <v/>
      </c>
      <c r="V2608" s="4">
        <f>IF($M$2608="","",$M$2608)</f>
        <v/>
      </c>
      <c r="W2608" s="4">
        <f>IF($O$2608="","",$O$2608)</f>
        <v/>
      </c>
      <c r="X2608" s="4">
        <f>J2608</f>
        <v/>
      </c>
    </row>
    <row r="2609">
      <c r="B2609" s="4" t="n">
        <v>2505</v>
      </c>
      <c r="C2609" s="4" t="inlineStr">
        <is>
          <t>29/09/2026</t>
        </is>
      </c>
      <c r="D2609" s="4" t="inlineStr">
        <is>
          <t>martes</t>
        </is>
      </c>
      <c r="E2609" s="4" t="n">
        <v>2110</v>
      </c>
      <c r="F2609" s="4" t="inlineStr">
        <is>
          <t>AQP</t>
        </is>
      </c>
      <c r="G2609" s="4" t="inlineStr">
        <is>
          <t>LIM</t>
        </is>
      </c>
      <c r="H2609" s="4" t="inlineStr">
        <is>
          <t>14:00:00</t>
        </is>
      </c>
      <c r="I2609" s="4" t="inlineStr">
        <is>
          <t>15:40:00</t>
        </is>
      </c>
      <c r="J2609" s="4" t="n">
        <v>320</v>
      </c>
      <c r="K2609">
        <f>TEXT(TIMEVALUE(H2609)-TIMEVALUE(I2608)+(TIMEVALUE(H2609)&lt;TIMEVALUE(I2608)),"[h]:mm")</f>
        <v/>
      </c>
      <c r="L2609" s="4" t="inlineStr">
        <is>
          <t>01:40:00</t>
        </is>
      </c>
      <c r="O2609">
        <f>"LIM-"&amp;G2608&amp;"-LIM   LA "&amp;E2608&amp;" ("&amp;LEFT(H2608,5)&amp;"-"&amp;LEFT(I2608,5)&amp;" hrs)  /  LA "&amp;E2609&amp;" ("&amp;LEFT(H2609,5)&amp;"-"&amp;LEFT(I2609,5)&amp;" hrs)"</f>
        <v/>
      </c>
    </row>
    <row r="2610">
      <c r="B2610" s="4" t="n">
        <v>2531</v>
      </c>
      <c r="C2610" s="4" t="inlineStr">
        <is>
          <t>29/09/2026</t>
        </is>
      </c>
      <c r="D2610" s="4" t="inlineStr">
        <is>
          <t>martes</t>
        </is>
      </c>
      <c r="E2610" s="4" t="n">
        <v>2276</v>
      </c>
      <c r="F2610" s="4" t="inlineStr">
        <is>
          <t>LIM</t>
        </is>
      </c>
      <c r="G2610" s="4" t="inlineStr">
        <is>
          <t>CUZ</t>
        </is>
      </c>
      <c r="H2610" s="4" t="inlineStr">
        <is>
          <t>16:35:00</t>
        </is>
      </c>
      <c r="I2610" s="4" t="inlineStr">
        <is>
          <t>17:55:00</t>
        </is>
      </c>
      <c r="J2610" s="4" t="n">
        <v>320</v>
      </c>
      <c r="K2610" s="7">
        <f>TEXT(TIMEVALUE(H2610)-TIMEVALUE(I2609)+(TIMEVALUE(H2610)&lt;TIMEVALUE(I2609)),"[h]:mm")</f>
        <v/>
      </c>
      <c r="L2610" s="4" t="inlineStr">
        <is>
          <t>01:20:00</t>
        </is>
      </c>
      <c r="M2610">
        <f>IF($M$2608="","",$M$2608)</f>
        <v/>
      </c>
      <c r="O2610">
        <f>IF($O$2608="","",$O$2608)</f>
        <v/>
      </c>
      <c r="Q2610" s="4">
        <f>B2610</f>
        <v/>
      </c>
      <c r="R2610" s="4">
        <f>C2610</f>
        <v/>
      </c>
      <c r="S2610" s="4">
        <f>D2610</f>
        <v/>
      </c>
      <c r="T2610" s="4">
        <f>E2610&amp;"/"&amp;E2611</f>
        <v/>
      </c>
      <c r="U2610" s="4">
        <f>F2610&amp;"-"&amp;G2610&amp;"-"&amp;F2610</f>
        <v/>
      </c>
      <c r="V2610" s="4">
        <f>IF($M$2608="","",$M$2608)</f>
        <v/>
      </c>
      <c r="W2610" s="4">
        <f>IF($O$2608="","",$O$2608)</f>
        <v/>
      </c>
      <c r="X2610" s="4">
        <f>J2610</f>
        <v/>
      </c>
    </row>
    <row r="2611">
      <c r="B2611" s="4" t="n">
        <v>2531</v>
      </c>
      <c r="C2611" s="4" t="inlineStr">
        <is>
          <t>29/09/2026</t>
        </is>
      </c>
      <c r="D2611" s="4" t="inlineStr">
        <is>
          <t>martes</t>
        </is>
      </c>
      <c r="E2611" s="4" t="n">
        <v>2277</v>
      </c>
      <c r="F2611" s="4" t="inlineStr">
        <is>
          <t>CUZ</t>
        </is>
      </c>
      <c r="G2611" s="4" t="inlineStr">
        <is>
          <t>LIM</t>
        </is>
      </c>
      <c r="H2611" s="4" t="inlineStr">
        <is>
          <t>18:50:00</t>
        </is>
      </c>
      <c r="I2611" s="4" t="inlineStr">
        <is>
          <t>20:25:00</t>
        </is>
      </c>
      <c r="J2611" s="4" t="n">
        <v>320</v>
      </c>
      <c r="K2611">
        <f>TEXT(TIMEVALUE(H2611)-TIMEVALUE(I2610)+(TIMEVALUE(H2611)&lt;TIMEVALUE(I2610)),"[h]:mm")</f>
        <v/>
      </c>
      <c r="L2611" s="4" t="inlineStr">
        <is>
          <t>01:35:00</t>
        </is>
      </c>
      <c r="O2611">
        <f>"LIM-"&amp;G2610&amp;"-LIM   LA "&amp;E2610&amp;" ("&amp;LEFT(H2610,5)&amp;"-"&amp;LEFT(I2610,5)&amp;" hrs)  /  LA "&amp;E2611&amp;" ("&amp;LEFT(H2611,5)&amp;"-"&amp;LEFT(I2611,5)&amp;" hrs)"</f>
        <v/>
      </c>
    </row>
    <row r="2612">
      <c r="J2612" s="8" t="inlineStr">
        <is>
          <t>PSV total:</t>
        </is>
      </c>
      <c r="K2612" s="9">
        <f>TEXT(TIMEVALUE(I2611)-TIMEVALUE(H2608)+(I2611&lt;H2608),"[h]:mm")</f>
        <v/>
      </c>
    </row>
    <row r="2614">
      <c r="B2614" s="3" t="inlineStr">
        <is>
          <t>Pairing ID</t>
        </is>
      </c>
      <c r="C2614" s="3" t="inlineStr">
        <is>
          <t>FECHA REAL</t>
        </is>
      </c>
      <c r="D2614" s="3" t="inlineStr">
        <is>
          <t>Day of Week</t>
        </is>
      </c>
      <c r="E2614" s="3" t="inlineStr">
        <is>
          <t>Flight No</t>
        </is>
      </c>
      <c r="F2614" s="3" t="inlineStr">
        <is>
          <t>Dep Stn</t>
        </is>
      </c>
      <c r="G2614" s="3" t="inlineStr">
        <is>
          <t>Arr Stn</t>
        </is>
      </c>
      <c r="H2614" s="3" t="inlineStr">
        <is>
          <t>STD</t>
        </is>
      </c>
      <c r="I2614" s="3" t="inlineStr">
        <is>
          <t>STA</t>
        </is>
      </c>
      <c r="J2614" s="3" t="inlineStr">
        <is>
          <t>subflota</t>
        </is>
      </c>
      <c r="K2614" s="3" t="inlineStr">
        <is>
          <t>Conexion</t>
        </is>
      </c>
      <c r="L2614" s="3" t="inlineStr">
        <is>
          <t>HBT</t>
        </is>
      </c>
    </row>
    <row r="2615">
      <c r="B2615" s="4" t="n">
        <v>2506</v>
      </c>
      <c r="C2615" s="4" t="inlineStr">
        <is>
          <t>29/09/2026</t>
        </is>
      </c>
      <c r="D2615" s="4" t="inlineStr">
        <is>
          <t>martes</t>
        </is>
      </c>
      <c r="E2615" s="4" t="n">
        <v>2061</v>
      </c>
      <c r="F2615" s="4" t="inlineStr">
        <is>
          <t>LIM</t>
        </is>
      </c>
      <c r="G2615" s="4" t="inlineStr">
        <is>
          <t>CUZ</t>
        </is>
      </c>
      <c r="H2615" s="4" t="inlineStr">
        <is>
          <t>11:40:00</t>
        </is>
      </c>
      <c r="I2615" s="4" t="inlineStr">
        <is>
          <t>13:00:00</t>
        </is>
      </c>
      <c r="J2615" s="4" t="n">
        <v>320</v>
      </c>
      <c r="L2615" s="4" t="inlineStr">
        <is>
          <t>01:20:00</t>
        </is>
      </c>
      <c r="M2615" s="5" t="n"/>
      <c r="N2615" s="6" t="n"/>
      <c r="O2615" s="5" t="n"/>
      <c r="Q2615" s="4">
        <f>B2615</f>
        <v/>
      </c>
      <c r="R2615" s="4">
        <f>C2615</f>
        <v/>
      </c>
      <c r="S2615" s="4">
        <f>D2615</f>
        <v/>
      </c>
      <c r="T2615" s="4">
        <f>E2615&amp;"/"&amp;E2616</f>
        <v/>
      </c>
      <c r="U2615" s="4">
        <f>F2615&amp;"-"&amp;G2615&amp;"-"&amp;F2615</f>
        <v/>
      </c>
      <c r="V2615" s="4">
        <f>IF($M$2615="","",$M$2615)</f>
        <v/>
      </c>
      <c r="W2615" s="4">
        <f>IF($O$2615="","",$O$2615)</f>
        <v/>
      </c>
      <c r="X2615" s="4">
        <f>J2615</f>
        <v/>
      </c>
    </row>
    <row r="2616">
      <c r="B2616" s="4" t="n">
        <v>2506</v>
      </c>
      <c r="C2616" s="4" t="inlineStr">
        <is>
          <t>29/09/2026</t>
        </is>
      </c>
      <c r="D2616" s="4" t="inlineStr">
        <is>
          <t>martes</t>
        </is>
      </c>
      <c r="E2616" s="4" t="n">
        <v>2062</v>
      </c>
      <c r="F2616" s="4" t="inlineStr">
        <is>
          <t>CUZ</t>
        </is>
      </c>
      <c r="G2616" s="4" t="inlineStr">
        <is>
          <t>LIM</t>
        </is>
      </c>
      <c r="H2616" s="4" t="inlineStr">
        <is>
          <t>13:40:00</t>
        </is>
      </c>
      <c r="I2616" s="4" t="inlineStr">
        <is>
          <t>15:15:00</t>
        </is>
      </c>
      <c r="J2616" s="4" t="n">
        <v>320</v>
      </c>
      <c r="K2616">
        <f>TEXT(TIMEVALUE(H2616)-TIMEVALUE(I2615)+(TIMEVALUE(H2616)&lt;TIMEVALUE(I2615)),"[h]:mm")</f>
        <v/>
      </c>
      <c r="L2616" s="4" t="inlineStr">
        <is>
          <t>01:35:00</t>
        </is>
      </c>
      <c r="O2616">
        <f>"LIM-"&amp;G2615&amp;"-LIM   LA "&amp;E2615&amp;" ("&amp;LEFT(H2615,5)&amp;"-"&amp;LEFT(I2615,5)&amp;" hrs)  /  LA "&amp;E2616&amp;" ("&amp;LEFT(H2616,5)&amp;"-"&amp;LEFT(I2616,5)&amp;" hrs)"</f>
        <v/>
      </c>
    </row>
    <row r="2617">
      <c r="J2617" s="8" t="inlineStr">
        <is>
          <t>PSV total:</t>
        </is>
      </c>
      <c r="K2617" s="9">
        <f>TEXT(TIMEVALUE(I2616)-TIMEVALUE(H2615)+(I2616&lt;H2615),"[h]:mm")</f>
        <v/>
      </c>
    </row>
    <row r="2619">
      <c r="B2619" s="3" t="inlineStr">
        <is>
          <t>Pairing ID</t>
        </is>
      </c>
      <c r="C2619" s="3" t="inlineStr">
        <is>
          <t>FECHA REAL</t>
        </is>
      </c>
      <c r="D2619" s="3" t="inlineStr">
        <is>
          <t>Day of Week</t>
        </is>
      </c>
      <c r="E2619" s="3" t="inlineStr">
        <is>
          <t>Flight No</t>
        </is>
      </c>
      <c r="F2619" s="3" t="inlineStr">
        <is>
          <t>Dep Stn</t>
        </is>
      </c>
      <c r="G2619" s="3" t="inlineStr">
        <is>
          <t>Arr Stn</t>
        </is>
      </c>
      <c r="H2619" s="3" t="inlineStr">
        <is>
          <t>STD</t>
        </is>
      </c>
      <c r="I2619" s="3" t="inlineStr">
        <is>
          <t>STA</t>
        </is>
      </c>
      <c r="J2619" s="3" t="inlineStr">
        <is>
          <t>subflota</t>
        </is>
      </c>
      <c r="K2619" s="3" t="inlineStr">
        <is>
          <t>Conexion</t>
        </is>
      </c>
      <c r="L2619" s="3" t="inlineStr">
        <is>
          <t>HBT</t>
        </is>
      </c>
    </row>
    <row r="2620">
      <c r="B2620" s="4" t="n">
        <v>2511</v>
      </c>
      <c r="C2620" s="4" t="inlineStr">
        <is>
          <t>29/09/2026</t>
        </is>
      </c>
      <c r="D2620" s="4" t="inlineStr">
        <is>
          <t>martes</t>
        </is>
      </c>
      <c r="E2620" s="4" t="n">
        <v>2043</v>
      </c>
      <c r="F2620" s="4" t="inlineStr">
        <is>
          <t>LIM</t>
        </is>
      </c>
      <c r="G2620" s="4" t="inlineStr">
        <is>
          <t>AQP</t>
        </is>
      </c>
      <c r="H2620" s="4" t="inlineStr">
        <is>
          <t>12:45:00</t>
        </is>
      </c>
      <c r="I2620" s="4" t="inlineStr">
        <is>
          <t>14:15:00</t>
        </is>
      </c>
      <c r="J2620" s="4" t="n">
        <v>320</v>
      </c>
      <c r="L2620" s="4" t="inlineStr">
        <is>
          <t>01:30:00</t>
        </is>
      </c>
      <c r="M2620" s="5" t="n"/>
      <c r="N2620" s="6" t="n"/>
      <c r="O2620" s="5" t="n"/>
      <c r="Q2620" s="4">
        <f>B2620</f>
        <v/>
      </c>
      <c r="R2620" s="4">
        <f>C2620</f>
        <v/>
      </c>
      <c r="S2620" s="4">
        <f>D2620</f>
        <v/>
      </c>
      <c r="T2620" s="4">
        <f>E2620&amp;"/"&amp;E2621</f>
        <v/>
      </c>
      <c r="U2620" s="4">
        <f>F2620&amp;"-"&amp;G2620&amp;"-"&amp;F2620</f>
        <v/>
      </c>
      <c r="V2620" s="4">
        <f>IF($M$2620="","",$M$2620)</f>
        <v/>
      </c>
      <c r="W2620" s="4">
        <f>IF($O$2620="","",$O$2620)</f>
        <v/>
      </c>
      <c r="X2620" s="4">
        <f>J2620</f>
        <v/>
      </c>
    </row>
    <row r="2621">
      <c r="B2621" s="4" t="n">
        <v>2511</v>
      </c>
      <c r="C2621" s="4" t="inlineStr">
        <is>
          <t>29/09/2026</t>
        </is>
      </c>
      <c r="D2621" s="4" t="inlineStr">
        <is>
          <t>martes</t>
        </is>
      </c>
      <c r="E2621" s="4" t="n">
        <v>2044</v>
      </c>
      <c r="F2621" s="4" t="inlineStr">
        <is>
          <t>AQP</t>
        </is>
      </c>
      <c r="G2621" s="4" t="inlineStr">
        <is>
          <t>LIM</t>
        </is>
      </c>
      <c r="H2621" s="4" t="inlineStr">
        <is>
          <t>15:00:00</t>
        </is>
      </c>
      <c r="I2621" s="4" t="inlineStr">
        <is>
          <t>16:35:00</t>
        </is>
      </c>
      <c r="J2621" s="4" t="n">
        <v>320</v>
      </c>
      <c r="K2621">
        <f>TEXT(TIMEVALUE(H2621)-TIMEVALUE(I2620)+(TIMEVALUE(H2621)&lt;TIMEVALUE(I2620)),"[h]:mm")</f>
        <v/>
      </c>
      <c r="L2621" s="4" t="inlineStr">
        <is>
          <t>01:35:00</t>
        </is>
      </c>
      <c r="O2621">
        <f>"LIM-"&amp;G2620&amp;"-LIM   LA "&amp;E2620&amp;" ("&amp;LEFT(H2620,5)&amp;"-"&amp;LEFT(I2620,5)&amp;" hrs)  /  LA "&amp;E2621&amp;" ("&amp;LEFT(H2621,5)&amp;"-"&amp;LEFT(I2621,5)&amp;" hrs)"</f>
        <v/>
      </c>
    </row>
    <row r="2622">
      <c r="J2622" s="8" t="inlineStr">
        <is>
          <t>PSV total:</t>
        </is>
      </c>
      <c r="K2622" s="9">
        <f>TEXT(TIMEVALUE(I2621)-TIMEVALUE(H2620)+(I2621&lt;H2620),"[h]:mm")</f>
        <v/>
      </c>
    </row>
    <row r="2624">
      <c r="B2624" s="3" t="inlineStr">
        <is>
          <t>Pairing ID</t>
        </is>
      </c>
      <c r="C2624" s="3" t="inlineStr">
        <is>
          <t>FECHA REAL</t>
        </is>
      </c>
      <c r="D2624" s="3" t="inlineStr">
        <is>
          <t>Day of Week</t>
        </is>
      </c>
      <c r="E2624" s="3" t="inlineStr">
        <is>
          <t>Flight No</t>
        </is>
      </c>
      <c r="F2624" s="3" t="inlineStr">
        <is>
          <t>Dep Stn</t>
        </is>
      </c>
      <c r="G2624" s="3" t="inlineStr">
        <is>
          <t>Arr Stn</t>
        </is>
      </c>
      <c r="H2624" s="3" t="inlineStr">
        <is>
          <t>STD</t>
        </is>
      </c>
      <c r="I2624" s="3" t="inlineStr">
        <is>
          <t>STA</t>
        </is>
      </c>
      <c r="J2624" s="3" t="inlineStr">
        <is>
          <t>subflota</t>
        </is>
      </c>
      <c r="K2624" s="3" t="inlineStr">
        <is>
          <t>Conexion</t>
        </is>
      </c>
      <c r="L2624" s="3" t="inlineStr">
        <is>
          <t>HBT</t>
        </is>
      </c>
    </row>
    <row r="2625">
      <c r="B2625" s="4" t="n">
        <v>2517</v>
      </c>
      <c r="C2625" s="4" t="inlineStr">
        <is>
          <t>29/09/2026</t>
        </is>
      </c>
      <c r="D2625" s="4" t="inlineStr">
        <is>
          <t>martes</t>
        </is>
      </c>
      <c r="E2625" s="4" t="n">
        <v>2055</v>
      </c>
      <c r="F2625" s="4" t="inlineStr">
        <is>
          <t>LIM</t>
        </is>
      </c>
      <c r="G2625" s="4" t="inlineStr">
        <is>
          <t>AQP</t>
        </is>
      </c>
      <c r="H2625" s="4" t="inlineStr">
        <is>
          <t>13:50:00</t>
        </is>
      </c>
      <c r="I2625" s="4" t="inlineStr">
        <is>
          <t>15:20:00</t>
        </is>
      </c>
      <c r="J2625" s="4" t="n">
        <v>320</v>
      </c>
      <c r="L2625" s="4" t="inlineStr">
        <is>
          <t>01:30:00</t>
        </is>
      </c>
      <c r="M2625" s="5" t="n"/>
      <c r="N2625" s="6" t="n"/>
      <c r="O2625" s="5" t="n"/>
      <c r="Q2625" s="4">
        <f>B2625</f>
        <v/>
      </c>
      <c r="R2625" s="4">
        <f>C2625</f>
        <v/>
      </c>
      <c r="S2625" s="4">
        <f>D2625</f>
        <v/>
      </c>
      <c r="T2625" s="4">
        <f>E2625&amp;"/"&amp;E2626</f>
        <v/>
      </c>
      <c r="U2625" s="4">
        <f>F2625&amp;"-"&amp;G2625&amp;"-"&amp;F2625</f>
        <v/>
      </c>
      <c r="V2625" s="4">
        <f>IF($M$2625="","",$M$2625)</f>
        <v/>
      </c>
      <c r="W2625" s="4">
        <f>IF($O$2625="","",$O$2625)</f>
        <v/>
      </c>
      <c r="X2625" s="4">
        <f>J2625</f>
        <v/>
      </c>
    </row>
    <row r="2626">
      <c r="B2626" s="4" t="n">
        <v>2517</v>
      </c>
      <c r="C2626" s="4" t="inlineStr">
        <is>
          <t>29/09/2026</t>
        </is>
      </c>
      <c r="D2626" s="4" t="inlineStr">
        <is>
          <t>martes</t>
        </is>
      </c>
      <c r="E2626" s="4" t="n">
        <v>2056</v>
      </c>
      <c r="F2626" s="4" t="inlineStr">
        <is>
          <t>AQP</t>
        </is>
      </c>
      <c r="G2626" s="4" t="inlineStr">
        <is>
          <t>LIM</t>
        </is>
      </c>
      <c r="H2626" s="4" t="inlineStr">
        <is>
          <t>16:10:00</t>
        </is>
      </c>
      <c r="I2626" s="4" t="inlineStr">
        <is>
          <t>17:50:00</t>
        </is>
      </c>
      <c r="J2626" s="4" t="n">
        <v>320</v>
      </c>
      <c r="K2626">
        <f>TEXT(TIMEVALUE(H2626)-TIMEVALUE(I2625)+(TIMEVALUE(H2626)&lt;TIMEVALUE(I2625)),"[h]:mm")</f>
        <v/>
      </c>
      <c r="L2626" s="4" t="inlineStr">
        <is>
          <t>01:40:00</t>
        </is>
      </c>
      <c r="O2626">
        <f>"LIM-"&amp;G2625&amp;"-LIM   LA "&amp;E2625&amp;" ("&amp;LEFT(H2625,5)&amp;"-"&amp;LEFT(I2625,5)&amp;" hrs)  /  LA "&amp;E2626&amp;" ("&amp;LEFT(H2626,5)&amp;"-"&amp;LEFT(I2626,5)&amp;" hrs)"</f>
        <v/>
      </c>
    </row>
    <row r="2627">
      <c r="J2627" s="8" t="inlineStr">
        <is>
          <t>PSV total:</t>
        </is>
      </c>
      <c r="K2627" s="9">
        <f>TEXT(TIMEVALUE(I2626)-TIMEVALUE(H2625)+(I2626&lt;H2625),"[h]:mm")</f>
        <v/>
      </c>
    </row>
    <row r="2629">
      <c r="B2629" s="3" t="inlineStr">
        <is>
          <t>Pairing ID</t>
        </is>
      </c>
      <c r="C2629" s="3" t="inlineStr">
        <is>
          <t>FECHA REAL</t>
        </is>
      </c>
      <c r="D2629" s="3" t="inlineStr">
        <is>
          <t>Day of Week</t>
        </is>
      </c>
      <c r="E2629" s="3" t="inlineStr">
        <is>
          <t>Flight No</t>
        </is>
      </c>
      <c r="F2629" s="3" t="inlineStr">
        <is>
          <t>Dep Stn</t>
        </is>
      </c>
      <c r="G2629" s="3" t="inlineStr">
        <is>
          <t>Arr Stn</t>
        </is>
      </c>
      <c r="H2629" s="3" t="inlineStr">
        <is>
          <t>STD</t>
        </is>
      </c>
      <c r="I2629" s="3" t="inlineStr">
        <is>
          <t>STA</t>
        </is>
      </c>
      <c r="J2629" s="3" t="inlineStr">
        <is>
          <t>subflota</t>
        </is>
      </c>
      <c r="K2629" s="3" t="inlineStr">
        <is>
          <t>Conexion</t>
        </is>
      </c>
      <c r="L2629" s="3" t="inlineStr">
        <is>
          <t>HBT</t>
        </is>
      </c>
    </row>
    <row r="2630">
      <c r="B2630" s="4" t="n">
        <v>2519</v>
      </c>
      <c r="C2630" s="4" t="inlineStr">
        <is>
          <t>29/09/2026</t>
        </is>
      </c>
      <c r="D2630" s="4" t="inlineStr">
        <is>
          <t>martes</t>
        </is>
      </c>
      <c r="E2630" s="4" t="n">
        <v>2295</v>
      </c>
      <c r="F2630" s="4" t="inlineStr">
        <is>
          <t>LIM</t>
        </is>
      </c>
      <c r="G2630" s="4" t="inlineStr">
        <is>
          <t>CJA</t>
        </is>
      </c>
      <c r="H2630" s="4" t="inlineStr">
        <is>
          <t>14:10:00</t>
        </is>
      </c>
      <c r="I2630" s="4" t="inlineStr">
        <is>
          <t>15:30:00</t>
        </is>
      </c>
      <c r="J2630" s="4" t="n">
        <v>319</v>
      </c>
      <c r="L2630" s="4" t="inlineStr">
        <is>
          <t>01:20:00</t>
        </is>
      </c>
      <c r="M2630" s="5" t="n"/>
      <c r="N2630" s="6" t="n"/>
      <c r="O2630" s="5" t="n"/>
      <c r="Q2630" s="4">
        <f>B2630</f>
        <v/>
      </c>
      <c r="R2630" s="4">
        <f>C2630</f>
        <v/>
      </c>
      <c r="S2630" s="4">
        <f>D2630</f>
        <v/>
      </c>
      <c r="T2630" s="4">
        <f>E2630&amp;"/"&amp;E2631</f>
        <v/>
      </c>
      <c r="U2630" s="4">
        <f>F2630&amp;"-"&amp;G2630&amp;"-"&amp;F2630</f>
        <v/>
      </c>
      <c r="V2630" s="4">
        <f>IF($M$2630="","",$M$2630)</f>
        <v/>
      </c>
      <c r="W2630" s="4">
        <f>IF($O$2630="","",$O$2630)</f>
        <v/>
      </c>
      <c r="X2630" s="4">
        <f>J2630</f>
        <v/>
      </c>
    </row>
    <row r="2631">
      <c r="B2631" s="4" t="n">
        <v>2519</v>
      </c>
      <c r="C2631" s="4" t="inlineStr">
        <is>
          <t>29/09/2026</t>
        </is>
      </c>
      <c r="D2631" s="4" t="inlineStr">
        <is>
          <t>martes</t>
        </is>
      </c>
      <c r="E2631" s="4" t="n">
        <v>2294</v>
      </c>
      <c r="F2631" s="4" t="inlineStr">
        <is>
          <t>CJA</t>
        </is>
      </c>
      <c r="G2631" s="4" t="inlineStr">
        <is>
          <t>LIM</t>
        </is>
      </c>
      <c r="H2631" s="4" t="inlineStr">
        <is>
          <t>16:10:00</t>
        </is>
      </c>
      <c r="I2631" s="4" t="inlineStr">
        <is>
          <t>17:15:00</t>
        </is>
      </c>
      <c r="J2631" s="4" t="n">
        <v>319</v>
      </c>
      <c r="K2631">
        <f>TEXT(TIMEVALUE(H2631)-TIMEVALUE(I2630)+(TIMEVALUE(H2631)&lt;TIMEVALUE(I2630)),"[h]:mm")</f>
        <v/>
      </c>
      <c r="L2631" s="4" t="inlineStr">
        <is>
          <t>01:05:00</t>
        </is>
      </c>
      <c r="O2631">
        <f>"LIM-"&amp;G2630&amp;"-LIM   LA "&amp;E2630&amp;" ("&amp;LEFT(H2630,5)&amp;"-"&amp;LEFT(I2630,5)&amp;" hrs)  /  LA "&amp;E2631&amp;" ("&amp;LEFT(H2631,5)&amp;"-"&amp;LEFT(I2631,5)&amp;" hrs)"</f>
        <v/>
      </c>
    </row>
    <row r="2632">
      <c r="B2632" s="4" t="n">
        <v>2536</v>
      </c>
      <c r="C2632" s="4" t="inlineStr">
        <is>
          <t>29/09/2026</t>
        </is>
      </c>
      <c r="D2632" s="4" t="inlineStr">
        <is>
          <t>martes</t>
        </is>
      </c>
      <c r="E2632" s="4" t="n">
        <v>2039</v>
      </c>
      <c r="F2632" s="4" t="inlineStr">
        <is>
          <t>LIM</t>
        </is>
      </c>
      <c r="G2632" s="4" t="inlineStr">
        <is>
          <t>PCL</t>
        </is>
      </c>
      <c r="H2632" s="4" t="inlineStr">
        <is>
          <t>18:15:00</t>
        </is>
      </c>
      <c r="I2632" s="4" t="inlineStr">
        <is>
          <t>19:30:00</t>
        </is>
      </c>
      <c r="J2632" s="4" t="n">
        <v>320</v>
      </c>
      <c r="K2632" s="7">
        <f>TEXT(TIMEVALUE(H2632)-TIMEVALUE(I2631)+(TIMEVALUE(H2632)&lt;TIMEVALUE(I2631)),"[h]:mm")</f>
        <v/>
      </c>
      <c r="L2632" s="4" t="inlineStr">
        <is>
          <t>01:15:00</t>
        </is>
      </c>
      <c r="M2632">
        <f>IF($M$2630="","",$M$2630)</f>
        <v/>
      </c>
      <c r="O2632">
        <f>IF($O$2630="","",$O$2630)</f>
        <v/>
      </c>
      <c r="Q2632" s="4">
        <f>B2632</f>
        <v/>
      </c>
      <c r="R2632" s="4">
        <f>C2632</f>
        <v/>
      </c>
      <c r="S2632" s="4">
        <f>D2632</f>
        <v/>
      </c>
      <c r="T2632" s="4">
        <f>E2632&amp;"/"&amp;E2633</f>
        <v/>
      </c>
      <c r="U2632" s="4">
        <f>F2632&amp;"-"&amp;G2632&amp;"-"&amp;F2632</f>
        <v/>
      </c>
      <c r="V2632" s="4">
        <f>IF($M$2630="","",$M$2630)</f>
        <v/>
      </c>
      <c r="W2632" s="4">
        <f>IF($O$2630="","",$O$2630)</f>
        <v/>
      </c>
      <c r="X2632" s="4">
        <f>J2632</f>
        <v/>
      </c>
    </row>
    <row r="2633">
      <c r="B2633" s="4" t="n">
        <v>2536</v>
      </c>
      <c r="C2633" s="4" t="inlineStr">
        <is>
          <t>29/09/2026</t>
        </is>
      </c>
      <c r="D2633" s="4" t="inlineStr">
        <is>
          <t>martes</t>
        </is>
      </c>
      <c r="E2633" s="4" t="n">
        <v>2040</v>
      </c>
      <c r="F2633" s="4" t="inlineStr">
        <is>
          <t>PCL</t>
        </is>
      </c>
      <c r="G2633" s="4" t="inlineStr">
        <is>
          <t>LIM</t>
        </is>
      </c>
      <c r="H2633" s="4" t="inlineStr">
        <is>
          <t>20:15:00</t>
        </is>
      </c>
      <c r="I2633" s="4" t="inlineStr">
        <is>
          <t>21:30:00</t>
        </is>
      </c>
      <c r="J2633" s="4" t="n">
        <v>320</v>
      </c>
      <c r="K2633">
        <f>TEXT(TIMEVALUE(H2633)-TIMEVALUE(I2632)+(TIMEVALUE(H2633)&lt;TIMEVALUE(I2632)),"[h]:mm")</f>
        <v/>
      </c>
      <c r="L2633" s="4" t="inlineStr">
        <is>
          <t>01:15:00</t>
        </is>
      </c>
      <c r="O2633">
        <f>"LIM-"&amp;G2632&amp;"-LIM   LA "&amp;E2632&amp;" ("&amp;LEFT(H2632,5)&amp;"-"&amp;LEFT(I2632,5)&amp;" hrs)  /  LA "&amp;E2633&amp;" ("&amp;LEFT(H2633,5)&amp;"-"&amp;LEFT(I2633,5)&amp;" hrs)"</f>
        <v/>
      </c>
    </row>
    <row r="2634">
      <c r="J2634" s="8" t="inlineStr">
        <is>
          <t>PSV total:</t>
        </is>
      </c>
      <c r="K2634" s="9">
        <f>TEXT(TIMEVALUE(I2633)-TIMEVALUE(H2630)+(I2633&lt;H2630),"[h]:mm")</f>
        <v/>
      </c>
    </row>
    <row r="2636">
      <c r="B2636" s="3" t="inlineStr">
        <is>
          <t>Pairing ID</t>
        </is>
      </c>
      <c r="C2636" s="3" t="inlineStr">
        <is>
          <t>FECHA REAL</t>
        </is>
      </c>
      <c r="D2636" s="3" t="inlineStr">
        <is>
          <t>Day of Week</t>
        </is>
      </c>
      <c r="E2636" s="3" t="inlineStr">
        <is>
          <t>Flight No</t>
        </is>
      </c>
      <c r="F2636" s="3" t="inlineStr">
        <is>
          <t>Dep Stn</t>
        </is>
      </c>
      <c r="G2636" s="3" t="inlineStr">
        <is>
          <t>Arr Stn</t>
        </is>
      </c>
      <c r="H2636" s="3" t="inlineStr">
        <is>
          <t>STD</t>
        </is>
      </c>
      <c r="I2636" s="3" t="inlineStr">
        <is>
          <t>STA</t>
        </is>
      </c>
      <c r="J2636" s="3" t="inlineStr">
        <is>
          <t>subflota</t>
        </is>
      </c>
      <c r="K2636" s="3" t="inlineStr">
        <is>
          <t>Conexion</t>
        </is>
      </c>
      <c r="L2636" s="3" t="inlineStr">
        <is>
          <t>HBT</t>
        </is>
      </c>
    </row>
    <row r="2637">
      <c r="B2637" s="4" t="n">
        <v>2522</v>
      </c>
      <c r="C2637" s="4" t="inlineStr">
        <is>
          <t>29/09/2026</t>
        </is>
      </c>
      <c r="D2637" s="4" t="inlineStr">
        <is>
          <t>martes</t>
        </is>
      </c>
      <c r="E2637" s="4" t="n">
        <v>2264</v>
      </c>
      <c r="F2637" s="4" t="inlineStr">
        <is>
          <t>LIM</t>
        </is>
      </c>
      <c r="G2637" s="4" t="inlineStr">
        <is>
          <t>PEM</t>
        </is>
      </c>
      <c r="H2637" s="4" t="inlineStr">
        <is>
          <t>14:55:00</t>
        </is>
      </c>
      <c r="I2637" s="4" t="inlineStr">
        <is>
          <t>16:40:00</t>
        </is>
      </c>
      <c r="J2637" s="4" t="n">
        <v>319</v>
      </c>
      <c r="L2637" s="4" t="inlineStr">
        <is>
          <t>01:45:00</t>
        </is>
      </c>
      <c r="M2637" s="5" t="n"/>
      <c r="N2637" s="6" t="n"/>
      <c r="O2637" s="5" t="n"/>
      <c r="Q2637" s="4">
        <f>B2637</f>
        <v/>
      </c>
      <c r="R2637" s="4">
        <f>C2637</f>
        <v/>
      </c>
      <c r="S2637" s="4">
        <f>D2637</f>
        <v/>
      </c>
      <c r="T2637" s="4">
        <f>E2637&amp;"/"&amp;E2638</f>
        <v/>
      </c>
      <c r="U2637" s="4">
        <f>F2637&amp;"-"&amp;G2637&amp;"-"&amp;F2637</f>
        <v/>
      </c>
      <c r="V2637" s="4">
        <f>IF($M$2637="","",$M$2637)</f>
        <v/>
      </c>
      <c r="W2637" s="4">
        <f>IF($O$2637="","",$O$2637)</f>
        <v/>
      </c>
      <c r="X2637" s="4">
        <f>J2637</f>
        <v/>
      </c>
    </row>
    <row r="2638">
      <c r="B2638" s="4" t="n">
        <v>2522</v>
      </c>
      <c r="C2638" s="4" t="inlineStr">
        <is>
          <t>29/09/2026</t>
        </is>
      </c>
      <c r="D2638" s="4" t="inlineStr">
        <is>
          <t>martes</t>
        </is>
      </c>
      <c r="E2638" s="4" t="n">
        <v>2265</v>
      </c>
      <c r="F2638" s="4" t="inlineStr">
        <is>
          <t>PEM</t>
        </is>
      </c>
      <c r="G2638" s="4" t="inlineStr">
        <is>
          <t>LIM</t>
        </is>
      </c>
      <c r="H2638" s="4" t="inlineStr">
        <is>
          <t>17:20:00</t>
        </is>
      </c>
      <c r="I2638" s="4" t="inlineStr">
        <is>
          <t>18:55:00</t>
        </is>
      </c>
      <c r="J2638" s="4" t="n">
        <v>319</v>
      </c>
      <c r="K2638">
        <f>TEXT(TIMEVALUE(H2638)-TIMEVALUE(I2637)+(TIMEVALUE(H2638)&lt;TIMEVALUE(I2637)),"[h]:mm")</f>
        <v/>
      </c>
      <c r="L2638" s="4" t="inlineStr">
        <is>
          <t>01:35:00</t>
        </is>
      </c>
      <c r="O2638">
        <f>"LIM-"&amp;G2637&amp;"-LIM   LA "&amp;E2637&amp;" ("&amp;LEFT(H2637,5)&amp;"-"&amp;LEFT(I2637,5)&amp;" hrs)  /  LA "&amp;E2638&amp;" ("&amp;LEFT(H2638,5)&amp;"-"&amp;LEFT(I2638,5)&amp;" hrs)"</f>
        <v/>
      </c>
    </row>
    <row r="2639">
      <c r="J2639" s="8" t="inlineStr">
        <is>
          <t>PSV total:</t>
        </is>
      </c>
      <c r="K2639" s="9">
        <f>TEXT(TIMEVALUE(I2638)-TIMEVALUE(H2637)+(I2638&lt;H2637),"[h]:mm")</f>
        <v/>
      </c>
    </row>
    <row r="2641">
      <c r="B2641" s="3" t="inlineStr">
        <is>
          <t>Pairing ID</t>
        </is>
      </c>
      <c r="C2641" s="3" t="inlineStr">
        <is>
          <t>FECHA REAL</t>
        </is>
      </c>
      <c r="D2641" s="3" t="inlineStr">
        <is>
          <t>Day of Week</t>
        </is>
      </c>
      <c r="E2641" s="3" t="inlineStr">
        <is>
          <t>Flight No</t>
        </is>
      </c>
      <c r="F2641" s="3" t="inlineStr">
        <is>
          <t>Dep Stn</t>
        </is>
      </c>
      <c r="G2641" s="3" t="inlineStr">
        <is>
          <t>Arr Stn</t>
        </is>
      </c>
      <c r="H2641" s="3" t="inlineStr">
        <is>
          <t>STD</t>
        </is>
      </c>
      <c r="I2641" s="3" t="inlineStr">
        <is>
          <t>STA</t>
        </is>
      </c>
      <c r="J2641" s="3" t="inlineStr">
        <is>
          <t>subflota</t>
        </is>
      </c>
      <c r="K2641" s="3" t="inlineStr">
        <is>
          <t>Conexion</t>
        </is>
      </c>
      <c r="L2641" s="3" t="inlineStr">
        <is>
          <t>HBT</t>
        </is>
      </c>
    </row>
    <row r="2642">
      <c r="B2642" s="4" t="n">
        <v>2523</v>
      </c>
      <c r="C2642" s="4" t="inlineStr">
        <is>
          <t>29/09/2026</t>
        </is>
      </c>
      <c r="D2642" s="4" t="inlineStr">
        <is>
          <t>martes</t>
        </is>
      </c>
      <c r="E2642" s="4" t="n">
        <v>2338</v>
      </c>
      <c r="F2642" s="4" t="inlineStr">
        <is>
          <t>LIM</t>
        </is>
      </c>
      <c r="G2642" s="4" t="inlineStr">
        <is>
          <t>PIU</t>
        </is>
      </c>
      <c r="H2642" s="4" t="inlineStr">
        <is>
          <t>15:00:00</t>
        </is>
      </c>
      <c r="I2642" s="4" t="inlineStr">
        <is>
          <t>16:45:00</t>
        </is>
      </c>
      <c r="J2642" s="4" t="n">
        <v>320</v>
      </c>
      <c r="L2642" s="4" t="inlineStr">
        <is>
          <t>01:45:00</t>
        </is>
      </c>
      <c r="M2642" s="5" t="n"/>
      <c r="N2642" s="6" t="n"/>
      <c r="O2642" s="5" t="n"/>
      <c r="Q2642" s="4">
        <f>B2642</f>
        <v/>
      </c>
      <c r="R2642" s="4">
        <f>C2642</f>
        <v/>
      </c>
      <c r="S2642" s="4">
        <f>D2642</f>
        <v/>
      </c>
      <c r="T2642" s="4">
        <f>E2642&amp;"/"&amp;E2643</f>
        <v/>
      </c>
      <c r="U2642" s="4">
        <f>F2642&amp;"-"&amp;G2642&amp;"-"&amp;F2642</f>
        <v/>
      </c>
      <c r="V2642" s="4">
        <f>IF($M$2642="","",$M$2642)</f>
        <v/>
      </c>
      <c r="W2642" s="4">
        <f>IF($O$2642="","",$O$2642)</f>
        <v/>
      </c>
      <c r="X2642" s="4">
        <f>J2642</f>
        <v/>
      </c>
    </row>
    <row r="2643">
      <c r="B2643" s="4" t="n">
        <v>2523</v>
      </c>
      <c r="C2643" s="4" t="inlineStr">
        <is>
          <t>29/09/2026</t>
        </is>
      </c>
      <c r="D2643" s="4" t="inlineStr">
        <is>
          <t>martes</t>
        </is>
      </c>
      <c r="E2643" s="4" t="n">
        <v>2339</v>
      </c>
      <c r="F2643" s="4" t="inlineStr">
        <is>
          <t>PIU</t>
        </is>
      </c>
      <c r="G2643" s="4" t="inlineStr">
        <is>
          <t>LIM</t>
        </is>
      </c>
      <c r="H2643" s="4" t="inlineStr">
        <is>
          <t>17:20:00</t>
        </is>
      </c>
      <c r="I2643" s="4" t="inlineStr">
        <is>
          <t>18:50:00</t>
        </is>
      </c>
      <c r="J2643" s="4" t="n">
        <v>320</v>
      </c>
      <c r="K2643">
        <f>TEXT(TIMEVALUE(H2643)-TIMEVALUE(I2642)+(TIMEVALUE(H2643)&lt;TIMEVALUE(I2642)),"[h]:mm")</f>
        <v/>
      </c>
      <c r="L2643" s="4" t="inlineStr">
        <is>
          <t>01:30:00</t>
        </is>
      </c>
      <c r="O2643">
        <f>"LIM-"&amp;G2642&amp;"-LIM   LA "&amp;E2642&amp;" ("&amp;LEFT(H2642,5)&amp;"-"&amp;LEFT(I2642,5)&amp;" hrs)  /  LA "&amp;E2643&amp;" ("&amp;LEFT(H2643,5)&amp;"-"&amp;LEFT(I2643,5)&amp;" hrs)"</f>
        <v/>
      </c>
    </row>
    <row r="2644">
      <c r="J2644" s="8" t="inlineStr">
        <is>
          <t>PSV total:</t>
        </is>
      </c>
      <c r="K2644" s="9">
        <f>TEXT(TIMEVALUE(I2643)-TIMEVALUE(H2642)+(I2643&lt;H2642),"[h]:mm")</f>
        <v/>
      </c>
    </row>
    <row r="2646">
      <c r="B2646" s="3" t="inlineStr">
        <is>
          <t>Pairing ID</t>
        </is>
      </c>
      <c r="C2646" s="3" t="inlineStr">
        <is>
          <t>FECHA REAL</t>
        </is>
      </c>
      <c r="D2646" s="3" t="inlineStr">
        <is>
          <t>Day of Week</t>
        </is>
      </c>
      <c r="E2646" s="3" t="inlineStr">
        <is>
          <t>Flight No</t>
        </is>
      </c>
      <c r="F2646" s="3" t="inlineStr">
        <is>
          <t>Dep Stn</t>
        </is>
      </c>
      <c r="G2646" s="3" t="inlineStr">
        <is>
          <t>Arr Stn</t>
        </is>
      </c>
      <c r="H2646" s="3" t="inlineStr">
        <is>
          <t>STD</t>
        </is>
      </c>
      <c r="I2646" s="3" t="inlineStr">
        <is>
          <t>STA</t>
        </is>
      </c>
      <c r="J2646" s="3" t="inlineStr">
        <is>
          <t>subflota</t>
        </is>
      </c>
      <c r="K2646" s="3" t="inlineStr">
        <is>
          <t>Conexion</t>
        </is>
      </c>
      <c r="L2646" s="3" t="inlineStr">
        <is>
          <t>HBT</t>
        </is>
      </c>
    </row>
    <row r="2647">
      <c r="B2647" s="4" t="n">
        <v>2524</v>
      </c>
      <c r="C2647" s="4" t="inlineStr">
        <is>
          <t>29/09/2026</t>
        </is>
      </c>
      <c r="D2647" s="4" t="inlineStr">
        <is>
          <t>martes</t>
        </is>
      </c>
      <c r="E2647" s="4" t="n">
        <v>2338</v>
      </c>
      <c r="F2647" s="4" t="inlineStr">
        <is>
          <t>LIM</t>
        </is>
      </c>
      <c r="G2647" s="4" t="inlineStr">
        <is>
          <t>PIU</t>
        </is>
      </c>
      <c r="H2647" s="4" t="inlineStr">
        <is>
          <t>15:00:00</t>
        </is>
      </c>
      <c r="I2647" s="4" t="inlineStr">
        <is>
          <t>16:45:00</t>
        </is>
      </c>
      <c r="J2647" s="4" t="n">
        <v>320</v>
      </c>
      <c r="L2647" s="4" t="inlineStr">
        <is>
          <t>01:45:00</t>
        </is>
      </c>
      <c r="M2647" s="5" t="n"/>
      <c r="N2647" s="6" t="n"/>
      <c r="O2647" s="5" t="n"/>
      <c r="Q2647" s="4">
        <f>B2647</f>
        <v/>
      </c>
      <c r="R2647" s="4">
        <f>C2647</f>
        <v/>
      </c>
      <c r="S2647" s="4">
        <f>D2647</f>
        <v/>
      </c>
      <c r="T2647" s="4">
        <f>E2647&amp;"/"&amp;E2648</f>
        <v/>
      </c>
      <c r="U2647" s="4">
        <f>F2647&amp;"-"&amp;G2647&amp;"-"&amp;F2647</f>
        <v/>
      </c>
      <c r="V2647" s="4">
        <f>IF($M$2647="","",$M$2647)</f>
        <v/>
      </c>
      <c r="W2647" s="4">
        <f>IF($O$2647="","",$O$2647)</f>
        <v/>
      </c>
      <c r="X2647" s="4">
        <f>J2647</f>
        <v/>
      </c>
    </row>
    <row r="2648">
      <c r="B2648" s="4" t="n">
        <v>2524</v>
      </c>
      <c r="C2648" s="4" t="inlineStr">
        <is>
          <t>29/09/2026</t>
        </is>
      </c>
      <c r="D2648" s="4" t="inlineStr">
        <is>
          <t>martes</t>
        </is>
      </c>
      <c r="E2648" s="4" t="n">
        <v>2339</v>
      </c>
      <c r="F2648" s="4" t="inlineStr">
        <is>
          <t>PIU</t>
        </is>
      </c>
      <c r="G2648" s="4" t="inlineStr">
        <is>
          <t>LIM</t>
        </is>
      </c>
      <c r="H2648" s="4" t="inlineStr">
        <is>
          <t>17:20:00</t>
        </is>
      </c>
      <c r="I2648" s="4" t="inlineStr">
        <is>
          <t>18:50:00</t>
        </is>
      </c>
      <c r="J2648" s="4" t="n">
        <v>320</v>
      </c>
      <c r="K2648">
        <f>TEXT(TIMEVALUE(H2648)-TIMEVALUE(I2647)+(TIMEVALUE(H2648)&lt;TIMEVALUE(I2647)),"[h]:mm")</f>
        <v/>
      </c>
      <c r="L2648" s="4" t="inlineStr">
        <is>
          <t>01:30:00</t>
        </is>
      </c>
      <c r="O2648">
        <f>"LIM-"&amp;G2647&amp;"-LIM   LA "&amp;E2647&amp;" ("&amp;LEFT(H2647,5)&amp;"-"&amp;LEFT(I2647,5)&amp;" hrs)  /  LA "&amp;E2648&amp;" ("&amp;LEFT(H2648,5)&amp;"-"&amp;LEFT(I2648,5)&amp;" hrs)"</f>
        <v/>
      </c>
    </row>
    <row r="2649">
      <c r="J2649" s="8" t="inlineStr">
        <is>
          <t>PSV total:</t>
        </is>
      </c>
      <c r="K2649" s="9">
        <f>TEXT(TIMEVALUE(I2648)-TIMEVALUE(H2647)+(I2648&lt;H2647),"[h]:mm")</f>
        <v/>
      </c>
    </row>
    <row r="2651">
      <c r="B2651" s="3" t="inlineStr">
        <is>
          <t>Pairing ID</t>
        </is>
      </c>
      <c r="C2651" s="3" t="inlineStr">
        <is>
          <t>FECHA REAL</t>
        </is>
      </c>
      <c r="D2651" s="3" t="inlineStr">
        <is>
          <t>Day of Week</t>
        </is>
      </c>
      <c r="E2651" s="3" t="inlineStr">
        <is>
          <t>Flight No</t>
        </is>
      </c>
      <c r="F2651" s="3" t="inlineStr">
        <is>
          <t>Dep Stn</t>
        </is>
      </c>
      <c r="G2651" s="3" t="inlineStr">
        <is>
          <t>Arr Stn</t>
        </is>
      </c>
      <c r="H2651" s="3" t="inlineStr">
        <is>
          <t>STD</t>
        </is>
      </c>
      <c r="I2651" s="3" t="inlineStr">
        <is>
          <t>STA</t>
        </is>
      </c>
      <c r="J2651" s="3" t="inlineStr">
        <is>
          <t>subflota</t>
        </is>
      </c>
      <c r="K2651" s="3" t="inlineStr">
        <is>
          <t>Conexion</t>
        </is>
      </c>
      <c r="L2651" s="3" t="inlineStr">
        <is>
          <t>HBT</t>
        </is>
      </c>
    </row>
    <row r="2652">
      <c r="B2652" s="4" t="n">
        <v>2527</v>
      </c>
      <c r="C2652" s="4" t="inlineStr">
        <is>
          <t>29/09/2026</t>
        </is>
      </c>
      <c r="D2652" s="4" t="inlineStr">
        <is>
          <t>martes</t>
        </is>
      </c>
      <c r="E2652" s="4" t="n">
        <v>2360</v>
      </c>
      <c r="F2652" s="4" t="inlineStr">
        <is>
          <t>LIM</t>
        </is>
      </c>
      <c r="G2652" s="4" t="inlineStr">
        <is>
          <t>PCL</t>
        </is>
      </c>
      <c r="H2652" s="4" t="inlineStr">
        <is>
          <t>15:25:00</t>
        </is>
      </c>
      <c r="I2652" s="4" t="inlineStr">
        <is>
          <t>16:40:00</t>
        </is>
      </c>
      <c r="J2652" s="4" t="n">
        <v>320</v>
      </c>
      <c r="L2652" s="4" t="inlineStr">
        <is>
          <t>01:15:00</t>
        </is>
      </c>
      <c r="M2652" s="5" t="n"/>
      <c r="N2652" s="6" t="n"/>
      <c r="O2652" s="5" t="n"/>
      <c r="Q2652" s="4">
        <f>B2652</f>
        <v/>
      </c>
      <c r="R2652" s="4">
        <f>C2652</f>
        <v/>
      </c>
      <c r="S2652" s="4">
        <f>D2652</f>
        <v/>
      </c>
      <c r="T2652" s="4">
        <f>E2652&amp;"/"&amp;E2653</f>
        <v/>
      </c>
      <c r="U2652" s="4">
        <f>F2652&amp;"-"&amp;G2652&amp;"-"&amp;F2652</f>
        <v/>
      </c>
      <c r="V2652" s="4">
        <f>IF($M$2652="","",$M$2652)</f>
        <v/>
      </c>
      <c r="W2652" s="4">
        <f>IF($O$2652="","",$O$2652)</f>
        <v/>
      </c>
      <c r="X2652" s="4">
        <f>J2652</f>
        <v/>
      </c>
    </row>
    <row r="2653">
      <c r="B2653" s="4" t="n">
        <v>2527</v>
      </c>
      <c r="C2653" s="4" t="inlineStr">
        <is>
          <t>29/09/2026</t>
        </is>
      </c>
      <c r="D2653" s="4" t="inlineStr">
        <is>
          <t>martes</t>
        </is>
      </c>
      <c r="E2653" s="4" t="n">
        <v>2361</v>
      </c>
      <c r="F2653" s="4" t="inlineStr">
        <is>
          <t>PCL</t>
        </is>
      </c>
      <c r="G2653" s="4" t="inlineStr">
        <is>
          <t>LIM</t>
        </is>
      </c>
      <c r="H2653" s="4" t="inlineStr">
        <is>
          <t>17:20:00</t>
        </is>
      </c>
      <c r="I2653" s="4" t="inlineStr">
        <is>
          <t>18:35:00</t>
        </is>
      </c>
      <c r="J2653" s="4" t="n">
        <v>320</v>
      </c>
      <c r="K2653">
        <f>TEXT(TIMEVALUE(H2653)-TIMEVALUE(I2652)+(TIMEVALUE(H2653)&lt;TIMEVALUE(I2652)),"[h]:mm")</f>
        <v/>
      </c>
      <c r="L2653" s="4" t="inlineStr">
        <is>
          <t>01:15:00</t>
        </is>
      </c>
      <c r="O2653">
        <f>"LIM-"&amp;G2652&amp;"-LIM   LA "&amp;E2652&amp;" ("&amp;LEFT(H2652,5)&amp;"-"&amp;LEFT(I2652,5)&amp;" hrs)  /  LA "&amp;E2653&amp;" ("&amp;LEFT(H2653,5)&amp;"-"&amp;LEFT(I2653,5)&amp;" hrs)"</f>
        <v/>
      </c>
    </row>
    <row r="2654">
      <c r="J2654" s="8" t="inlineStr">
        <is>
          <t>PSV total:</t>
        </is>
      </c>
      <c r="K2654" s="9">
        <f>TEXT(TIMEVALUE(I2653)-TIMEVALUE(H2652)+(I2653&lt;H2652),"[h]:mm")</f>
        <v/>
      </c>
    </row>
    <row r="2656">
      <c r="B2656" s="3" t="inlineStr">
        <is>
          <t>Pairing ID</t>
        </is>
      </c>
      <c r="C2656" s="3" t="inlineStr">
        <is>
          <t>FECHA REAL</t>
        </is>
      </c>
      <c r="D2656" s="3" t="inlineStr">
        <is>
          <t>Day of Week</t>
        </is>
      </c>
      <c r="E2656" s="3" t="inlineStr">
        <is>
          <t>Flight No</t>
        </is>
      </c>
      <c r="F2656" s="3" t="inlineStr">
        <is>
          <t>Dep Stn</t>
        </is>
      </c>
      <c r="G2656" s="3" t="inlineStr">
        <is>
          <t>Arr Stn</t>
        </is>
      </c>
      <c r="H2656" s="3" t="inlineStr">
        <is>
          <t>STD</t>
        </is>
      </c>
      <c r="I2656" s="3" t="inlineStr">
        <is>
          <t>STA</t>
        </is>
      </c>
      <c r="J2656" s="3" t="inlineStr">
        <is>
          <t>subflota</t>
        </is>
      </c>
      <c r="K2656" s="3" t="inlineStr">
        <is>
          <t>Conexion</t>
        </is>
      </c>
      <c r="L2656" s="3" t="inlineStr">
        <is>
          <t>HBT</t>
        </is>
      </c>
    </row>
    <row r="2657">
      <c r="B2657" s="4" t="n">
        <v>2528</v>
      </c>
      <c r="C2657" s="4" t="inlineStr">
        <is>
          <t>29/09/2026</t>
        </is>
      </c>
      <c r="D2657" s="4" t="inlineStr">
        <is>
          <t>martes</t>
        </is>
      </c>
      <c r="E2657" s="4" t="n">
        <v>2312</v>
      </c>
      <c r="F2657" s="4" t="inlineStr">
        <is>
          <t>LIM</t>
        </is>
      </c>
      <c r="G2657" s="4" t="inlineStr">
        <is>
          <t>CIX</t>
        </is>
      </c>
      <c r="H2657" s="4" t="inlineStr">
        <is>
          <t>15:35:00</t>
        </is>
      </c>
      <c r="I2657" s="4" t="inlineStr">
        <is>
          <t>17:05:00</t>
        </is>
      </c>
      <c r="J2657" s="4" t="n">
        <v>320</v>
      </c>
      <c r="L2657" s="4" t="inlineStr">
        <is>
          <t>01:30:00</t>
        </is>
      </c>
      <c r="M2657" s="5" t="n"/>
      <c r="N2657" s="6" t="n"/>
      <c r="O2657" s="5" t="n"/>
      <c r="Q2657" s="4">
        <f>B2657</f>
        <v/>
      </c>
      <c r="R2657" s="4">
        <f>C2657</f>
        <v/>
      </c>
      <c r="S2657" s="4">
        <f>D2657</f>
        <v/>
      </c>
      <c r="T2657" s="4">
        <f>E2657&amp;"/"&amp;E2658</f>
        <v/>
      </c>
      <c r="U2657" s="4">
        <f>F2657&amp;"-"&amp;G2657&amp;"-"&amp;F2657</f>
        <v/>
      </c>
      <c r="V2657" s="4">
        <f>IF($M$2657="","",$M$2657)</f>
        <v/>
      </c>
      <c r="W2657" s="4">
        <f>IF($O$2657="","",$O$2657)</f>
        <v/>
      </c>
      <c r="X2657" s="4">
        <f>J2657</f>
        <v/>
      </c>
    </row>
    <row r="2658">
      <c r="B2658" s="4" t="n">
        <v>2528</v>
      </c>
      <c r="C2658" s="4" t="inlineStr">
        <is>
          <t>29/09/2026</t>
        </is>
      </c>
      <c r="D2658" s="4" t="inlineStr">
        <is>
          <t>martes</t>
        </is>
      </c>
      <c r="E2658" s="4" t="n">
        <v>2313</v>
      </c>
      <c r="F2658" s="4" t="inlineStr">
        <is>
          <t>CIX</t>
        </is>
      </c>
      <c r="G2658" s="4" t="inlineStr">
        <is>
          <t>LIM</t>
        </is>
      </c>
      <c r="H2658" s="4" t="inlineStr">
        <is>
          <t>17:50:00</t>
        </is>
      </c>
      <c r="I2658" s="4" t="inlineStr">
        <is>
          <t>19:10:00</t>
        </is>
      </c>
      <c r="J2658" s="4" t="n">
        <v>320</v>
      </c>
      <c r="K2658">
        <f>TEXT(TIMEVALUE(H2658)-TIMEVALUE(I2657)+(TIMEVALUE(H2658)&lt;TIMEVALUE(I2657)),"[h]:mm")</f>
        <v/>
      </c>
      <c r="L2658" s="4" t="inlineStr">
        <is>
          <t>01:20:00</t>
        </is>
      </c>
      <c r="O2658">
        <f>"LIM-"&amp;G2657&amp;"-LIM   LA "&amp;E2657&amp;" ("&amp;LEFT(H2657,5)&amp;"-"&amp;LEFT(I2657,5)&amp;" hrs)  /  LA "&amp;E2658&amp;" ("&amp;LEFT(H2658,5)&amp;"-"&amp;LEFT(I2658,5)&amp;" hrs)"</f>
        <v/>
      </c>
    </row>
    <row r="2659">
      <c r="J2659" s="8" t="inlineStr">
        <is>
          <t>PSV total:</t>
        </is>
      </c>
      <c r="K2659" s="9">
        <f>TEXT(TIMEVALUE(I2658)-TIMEVALUE(H2657)+(I2658&lt;H2657),"[h]:mm")</f>
        <v/>
      </c>
    </row>
    <row r="2661">
      <c r="B2661" s="3" t="inlineStr">
        <is>
          <t>Pairing ID</t>
        </is>
      </c>
      <c r="C2661" s="3" t="inlineStr">
        <is>
          <t>FECHA REAL</t>
        </is>
      </c>
      <c r="D2661" s="3" t="inlineStr">
        <is>
          <t>Day of Week</t>
        </is>
      </c>
      <c r="E2661" s="3" t="inlineStr">
        <is>
          <t>Flight No</t>
        </is>
      </c>
      <c r="F2661" s="3" t="inlineStr">
        <is>
          <t>Dep Stn</t>
        </is>
      </c>
      <c r="G2661" s="3" t="inlineStr">
        <is>
          <t>Arr Stn</t>
        </is>
      </c>
      <c r="H2661" s="3" t="inlineStr">
        <is>
          <t>STD</t>
        </is>
      </c>
      <c r="I2661" s="3" t="inlineStr">
        <is>
          <t>STA</t>
        </is>
      </c>
      <c r="J2661" s="3" t="inlineStr">
        <is>
          <t>subflota</t>
        </is>
      </c>
      <c r="K2661" s="3" t="inlineStr">
        <is>
          <t>Conexion</t>
        </is>
      </c>
      <c r="L2661" s="3" t="inlineStr">
        <is>
          <t>HBT</t>
        </is>
      </c>
    </row>
    <row r="2662">
      <c r="B2662" s="4" t="n">
        <v>2529</v>
      </c>
      <c r="C2662" s="4" t="inlineStr">
        <is>
          <t>29/09/2026</t>
        </is>
      </c>
      <c r="D2662" s="4" t="inlineStr">
        <is>
          <t>martes</t>
        </is>
      </c>
      <c r="E2662" s="4" t="n">
        <v>2301</v>
      </c>
      <c r="F2662" s="4" t="inlineStr">
        <is>
          <t>LIM</t>
        </is>
      </c>
      <c r="G2662" s="4" t="inlineStr">
        <is>
          <t>TPP</t>
        </is>
      </c>
      <c r="H2662" s="4" t="inlineStr">
        <is>
          <t>15:40:00</t>
        </is>
      </c>
      <c r="I2662" s="4" t="inlineStr">
        <is>
          <t>17:05:00</t>
        </is>
      </c>
      <c r="J2662" s="4" t="n">
        <v>320</v>
      </c>
      <c r="L2662" s="4" t="inlineStr">
        <is>
          <t>01:25:00</t>
        </is>
      </c>
      <c r="M2662" s="5" t="n"/>
      <c r="N2662" s="6" t="n"/>
      <c r="O2662" s="5" t="n"/>
      <c r="Q2662" s="4">
        <f>B2662</f>
        <v/>
      </c>
      <c r="R2662" s="4">
        <f>C2662</f>
        <v/>
      </c>
      <c r="S2662" s="4">
        <f>D2662</f>
        <v/>
      </c>
      <c r="T2662" s="4">
        <f>E2662&amp;"/"&amp;E2663</f>
        <v/>
      </c>
      <c r="U2662" s="4">
        <f>F2662&amp;"-"&amp;G2662&amp;"-"&amp;F2662</f>
        <v/>
      </c>
      <c r="V2662" s="4">
        <f>IF($M$2662="","",$M$2662)</f>
        <v/>
      </c>
      <c r="W2662" s="4">
        <f>IF($O$2662="","",$O$2662)</f>
        <v/>
      </c>
      <c r="X2662" s="4">
        <f>J2662</f>
        <v/>
      </c>
    </row>
    <row r="2663">
      <c r="B2663" s="4" t="n">
        <v>2529</v>
      </c>
      <c r="C2663" s="4" t="inlineStr">
        <is>
          <t>29/09/2026</t>
        </is>
      </c>
      <c r="D2663" s="4" t="inlineStr">
        <is>
          <t>martes</t>
        </is>
      </c>
      <c r="E2663" s="4" t="n">
        <v>2300</v>
      </c>
      <c r="F2663" s="4" t="inlineStr">
        <is>
          <t>TPP</t>
        </is>
      </c>
      <c r="G2663" s="4" t="inlineStr">
        <is>
          <t>LIM</t>
        </is>
      </c>
      <c r="H2663" s="4" t="inlineStr">
        <is>
          <t>17:50:00</t>
        </is>
      </c>
      <c r="I2663" s="4" t="inlineStr">
        <is>
          <t>19:15:00</t>
        </is>
      </c>
      <c r="J2663" s="4" t="n">
        <v>320</v>
      </c>
      <c r="K2663">
        <f>TEXT(TIMEVALUE(H2663)-TIMEVALUE(I2662)+(TIMEVALUE(H2663)&lt;TIMEVALUE(I2662)),"[h]:mm")</f>
        <v/>
      </c>
      <c r="L2663" s="4" t="inlineStr">
        <is>
          <t>01:25:00</t>
        </is>
      </c>
      <c r="O2663">
        <f>"LIM-"&amp;G2662&amp;"-LIM   LA "&amp;E2662&amp;" ("&amp;LEFT(H2662,5)&amp;"-"&amp;LEFT(I2662,5)&amp;" hrs)  /  LA "&amp;E2663&amp;" ("&amp;LEFT(H2663,5)&amp;"-"&amp;LEFT(I2663,5)&amp;" hrs)"</f>
        <v/>
      </c>
    </row>
    <row r="2664">
      <c r="J2664" s="8" t="inlineStr">
        <is>
          <t>PSV total:</t>
        </is>
      </c>
      <c r="K2664" s="9">
        <f>TEXT(TIMEVALUE(I2663)-TIMEVALUE(H2662)+(I2663&lt;H2662),"[h]:mm")</f>
        <v/>
      </c>
    </row>
    <row r="2666">
      <c r="B2666" s="3" t="inlineStr">
        <is>
          <t>Pairing ID</t>
        </is>
      </c>
      <c r="C2666" s="3" t="inlineStr">
        <is>
          <t>FECHA REAL</t>
        </is>
      </c>
      <c r="D2666" s="3" t="inlineStr">
        <is>
          <t>Day of Week</t>
        </is>
      </c>
      <c r="E2666" s="3" t="inlineStr">
        <is>
          <t>Flight No</t>
        </is>
      </c>
      <c r="F2666" s="3" t="inlineStr">
        <is>
          <t>Dep Stn</t>
        </is>
      </c>
      <c r="G2666" s="3" t="inlineStr">
        <is>
          <t>Arr Stn</t>
        </is>
      </c>
      <c r="H2666" s="3" t="inlineStr">
        <is>
          <t>STD</t>
        </is>
      </c>
      <c r="I2666" s="3" t="inlineStr">
        <is>
          <t>STA</t>
        </is>
      </c>
      <c r="J2666" s="3" t="inlineStr">
        <is>
          <t>subflota</t>
        </is>
      </c>
      <c r="K2666" s="3" t="inlineStr">
        <is>
          <t>Conexion</t>
        </is>
      </c>
      <c r="L2666" s="3" t="inlineStr">
        <is>
          <t>HBT</t>
        </is>
      </c>
    </row>
    <row r="2667">
      <c r="B2667" s="4" t="n">
        <v>2532</v>
      </c>
      <c r="C2667" s="4" t="inlineStr">
        <is>
          <t>29/09/2026</t>
        </is>
      </c>
      <c r="D2667" s="4" t="inlineStr">
        <is>
          <t>martes</t>
        </is>
      </c>
      <c r="E2667" s="4" t="n">
        <v>2304</v>
      </c>
      <c r="F2667" s="4" t="inlineStr">
        <is>
          <t>LIM</t>
        </is>
      </c>
      <c r="G2667" s="4" t="inlineStr">
        <is>
          <t>PIU</t>
        </is>
      </c>
      <c r="H2667" s="4" t="inlineStr">
        <is>
          <t>16:55:00</t>
        </is>
      </c>
      <c r="I2667" s="4" t="inlineStr">
        <is>
          <t>18:35:00</t>
        </is>
      </c>
      <c r="J2667" s="4" t="n">
        <v>320</v>
      </c>
      <c r="L2667" s="4" t="inlineStr">
        <is>
          <t>01:40:00</t>
        </is>
      </c>
      <c r="M2667" s="5" t="n"/>
      <c r="N2667" s="6" t="n"/>
      <c r="O2667" s="5" t="n"/>
      <c r="Q2667" s="4">
        <f>B2667</f>
        <v/>
      </c>
      <c r="R2667" s="4">
        <f>C2667</f>
        <v/>
      </c>
      <c r="S2667" s="4">
        <f>D2667</f>
        <v/>
      </c>
      <c r="T2667" s="4">
        <f>E2667&amp;"/"&amp;E2668</f>
        <v/>
      </c>
      <c r="U2667" s="4">
        <f>F2667&amp;"-"&amp;G2667&amp;"-"&amp;F2667</f>
        <v/>
      </c>
      <c r="V2667" s="4">
        <f>IF($M$2667="","",$M$2667)</f>
        <v/>
      </c>
      <c r="W2667" s="4">
        <f>IF($O$2667="","",$O$2667)</f>
        <v/>
      </c>
      <c r="X2667" s="4">
        <f>J2667</f>
        <v/>
      </c>
    </row>
    <row r="2668">
      <c r="B2668" s="4" t="n">
        <v>2532</v>
      </c>
      <c r="C2668" s="4" t="inlineStr">
        <is>
          <t>29/09/2026</t>
        </is>
      </c>
      <c r="D2668" s="4" t="inlineStr">
        <is>
          <t>martes</t>
        </is>
      </c>
      <c r="E2668" s="4" t="n">
        <v>2305</v>
      </c>
      <c r="F2668" s="4" t="inlineStr">
        <is>
          <t>PIU</t>
        </is>
      </c>
      <c r="G2668" s="4" t="inlineStr">
        <is>
          <t>LIM</t>
        </is>
      </c>
      <c r="H2668" s="4" t="inlineStr">
        <is>
          <t>19:10:00</t>
        </is>
      </c>
      <c r="I2668" s="4" t="inlineStr">
        <is>
          <t>20:40:00</t>
        </is>
      </c>
      <c r="J2668" s="4" t="n">
        <v>320</v>
      </c>
      <c r="K2668">
        <f>TEXT(TIMEVALUE(H2668)-TIMEVALUE(I2667)+(TIMEVALUE(H2668)&lt;TIMEVALUE(I2667)),"[h]:mm")</f>
        <v/>
      </c>
      <c r="L2668" s="4" t="inlineStr">
        <is>
          <t>01:30:00</t>
        </is>
      </c>
      <c r="O2668">
        <f>"LIM-"&amp;G2667&amp;"-LIM   LA "&amp;E2667&amp;" ("&amp;LEFT(H2667,5)&amp;"-"&amp;LEFT(I2667,5)&amp;" hrs)  /  LA "&amp;E2668&amp;" ("&amp;LEFT(H2668,5)&amp;"-"&amp;LEFT(I2668,5)&amp;" hrs)"</f>
        <v/>
      </c>
    </row>
    <row r="2669">
      <c r="J2669" s="8" t="inlineStr">
        <is>
          <t>PSV total:</t>
        </is>
      </c>
      <c r="K2669" s="9">
        <f>TEXT(TIMEVALUE(I2668)-TIMEVALUE(H2667)+(I2668&lt;H2667),"[h]:mm")</f>
        <v/>
      </c>
    </row>
    <row r="2671">
      <c r="B2671" s="3" t="inlineStr">
        <is>
          <t>Pairing ID</t>
        </is>
      </c>
      <c r="C2671" s="3" t="inlineStr">
        <is>
          <t>FECHA REAL</t>
        </is>
      </c>
      <c r="D2671" s="3" t="inlineStr">
        <is>
          <t>Day of Week</t>
        </is>
      </c>
      <c r="E2671" s="3" t="inlineStr">
        <is>
          <t>Flight No</t>
        </is>
      </c>
      <c r="F2671" s="3" t="inlineStr">
        <is>
          <t>Dep Stn</t>
        </is>
      </c>
      <c r="G2671" s="3" t="inlineStr">
        <is>
          <t>Arr Stn</t>
        </is>
      </c>
      <c r="H2671" s="3" t="inlineStr">
        <is>
          <t>STD</t>
        </is>
      </c>
      <c r="I2671" s="3" t="inlineStr">
        <is>
          <t>STA</t>
        </is>
      </c>
      <c r="J2671" s="3" t="inlineStr">
        <is>
          <t>subflota</t>
        </is>
      </c>
      <c r="K2671" s="3" t="inlineStr">
        <is>
          <t>Conexion</t>
        </is>
      </c>
      <c r="L2671" s="3" t="inlineStr">
        <is>
          <t>HBT</t>
        </is>
      </c>
    </row>
    <row r="2672">
      <c r="B2672" s="4" t="n">
        <v>2537</v>
      </c>
      <c r="C2672" s="4" t="inlineStr">
        <is>
          <t>29/09/2026</t>
        </is>
      </c>
      <c r="D2672" s="4" t="inlineStr">
        <is>
          <t>martes</t>
        </is>
      </c>
      <c r="E2672" s="4" t="n">
        <v>2091</v>
      </c>
      <c r="F2672" s="4" t="inlineStr">
        <is>
          <t>LIM</t>
        </is>
      </c>
      <c r="G2672" s="4" t="inlineStr">
        <is>
          <t>TPP</t>
        </is>
      </c>
      <c r="H2672" s="4" t="inlineStr">
        <is>
          <t>18:30:00</t>
        </is>
      </c>
      <c r="I2672" s="4" t="inlineStr">
        <is>
          <t>19:55:00</t>
        </is>
      </c>
      <c r="J2672" s="4" t="n">
        <v>320</v>
      </c>
      <c r="L2672" s="4" t="inlineStr">
        <is>
          <t>01:25:00</t>
        </is>
      </c>
      <c r="M2672" s="5" t="n"/>
      <c r="N2672" s="6" t="n"/>
      <c r="O2672" s="5" t="n"/>
      <c r="Q2672" s="4">
        <f>B2672</f>
        <v/>
      </c>
      <c r="R2672" s="4">
        <f>C2672</f>
        <v/>
      </c>
      <c r="S2672" s="4">
        <f>D2672</f>
        <v/>
      </c>
      <c r="T2672" s="4">
        <f>E2672&amp;"/"&amp;E2673</f>
        <v/>
      </c>
      <c r="U2672" s="4">
        <f>F2672&amp;"-"&amp;G2672&amp;"-"&amp;F2672</f>
        <v/>
      </c>
      <c r="V2672" s="4">
        <f>IF($M$2672="","",$M$2672)</f>
        <v/>
      </c>
      <c r="W2672" s="4">
        <f>IF($O$2672="","",$O$2672)</f>
        <v/>
      </c>
      <c r="X2672" s="4">
        <f>J2672</f>
        <v/>
      </c>
    </row>
    <row r="2673">
      <c r="B2673" s="4" t="n">
        <v>2537</v>
      </c>
      <c r="C2673" s="4" t="inlineStr">
        <is>
          <t>29/09/2026</t>
        </is>
      </c>
      <c r="D2673" s="4" t="inlineStr">
        <is>
          <t>martes</t>
        </is>
      </c>
      <c r="E2673" s="4" t="n">
        <v>2092</v>
      </c>
      <c r="F2673" s="4" t="inlineStr">
        <is>
          <t>TPP</t>
        </is>
      </c>
      <c r="G2673" s="4" t="inlineStr">
        <is>
          <t>LIM</t>
        </is>
      </c>
      <c r="H2673" s="4" t="inlineStr">
        <is>
          <t>20:30:00</t>
        </is>
      </c>
      <c r="I2673" s="4" t="inlineStr">
        <is>
          <t>21:55:00</t>
        </is>
      </c>
      <c r="J2673" s="4" t="n">
        <v>320</v>
      </c>
      <c r="K2673">
        <f>TEXT(TIMEVALUE(H2673)-TIMEVALUE(I2672)+(TIMEVALUE(H2673)&lt;TIMEVALUE(I2672)),"[h]:mm")</f>
        <v/>
      </c>
      <c r="L2673" s="4" t="inlineStr">
        <is>
          <t>01:25:00</t>
        </is>
      </c>
      <c r="O2673">
        <f>"LIM-"&amp;G2672&amp;"-LIM   LA "&amp;E2672&amp;" ("&amp;LEFT(H2672,5)&amp;"-"&amp;LEFT(I2672,5)&amp;" hrs)  /  LA "&amp;E2673&amp;" ("&amp;LEFT(H2673,5)&amp;"-"&amp;LEFT(I2673,5)&amp;" hrs)"</f>
        <v/>
      </c>
    </row>
    <row r="2674">
      <c r="J2674" s="8" t="inlineStr">
        <is>
          <t>PSV total:</t>
        </is>
      </c>
      <c r="K2674" s="9">
        <f>TEXT(TIMEVALUE(I2673)-TIMEVALUE(H2672)+(I2673&lt;H2672),"[h]:mm")</f>
        <v/>
      </c>
    </row>
    <row r="2676">
      <c r="B2676" s="3" t="inlineStr">
        <is>
          <t>Pairing ID</t>
        </is>
      </c>
      <c r="C2676" s="3" t="inlineStr">
        <is>
          <t>FECHA REAL</t>
        </is>
      </c>
      <c r="D2676" s="3" t="inlineStr">
        <is>
          <t>Day of Week</t>
        </is>
      </c>
      <c r="E2676" s="3" t="inlineStr">
        <is>
          <t>Flight No</t>
        </is>
      </c>
      <c r="F2676" s="3" t="inlineStr">
        <is>
          <t>Dep Stn</t>
        </is>
      </c>
      <c r="G2676" s="3" t="inlineStr">
        <is>
          <t>Arr Stn</t>
        </is>
      </c>
      <c r="H2676" s="3" t="inlineStr">
        <is>
          <t>STD</t>
        </is>
      </c>
      <c r="I2676" s="3" t="inlineStr">
        <is>
          <t>STA</t>
        </is>
      </c>
      <c r="J2676" s="3" t="inlineStr">
        <is>
          <t>subflota</t>
        </is>
      </c>
      <c r="K2676" s="3" t="inlineStr">
        <is>
          <t>Conexion</t>
        </is>
      </c>
      <c r="L2676" s="3" t="inlineStr">
        <is>
          <t>HBT</t>
        </is>
      </c>
    </row>
    <row r="2677">
      <c r="B2677" s="4" t="n">
        <v>2538</v>
      </c>
      <c r="C2677" s="4" t="inlineStr">
        <is>
          <t>29/09/2026</t>
        </is>
      </c>
      <c r="D2677" s="4" t="inlineStr">
        <is>
          <t>martes</t>
        </is>
      </c>
      <c r="E2677" s="4" t="n">
        <v>2117</v>
      </c>
      <c r="F2677" s="4" t="inlineStr">
        <is>
          <t>LIM</t>
        </is>
      </c>
      <c r="G2677" s="4" t="inlineStr">
        <is>
          <t>AQP</t>
        </is>
      </c>
      <c r="H2677" s="4" t="inlineStr">
        <is>
          <t>18:35:00</t>
        </is>
      </c>
      <c r="I2677" s="4" t="inlineStr">
        <is>
          <t>20:05:00</t>
        </is>
      </c>
      <c r="J2677" s="4" t="n">
        <v>320</v>
      </c>
      <c r="L2677" s="4" t="inlineStr">
        <is>
          <t>01:30:00</t>
        </is>
      </c>
      <c r="M2677" s="5" t="n"/>
      <c r="N2677" s="6" t="n"/>
      <c r="O2677" s="5" t="n"/>
      <c r="Q2677" s="4">
        <f>B2677</f>
        <v/>
      </c>
      <c r="R2677" s="4">
        <f>C2677</f>
        <v/>
      </c>
      <c r="S2677" s="4">
        <f>D2677</f>
        <v/>
      </c>
      <c r="T2677" s="4">
        <f>E2677&amp;"/"&amp;E2678</f>
        <v/>
      </c>
      <c r="U2677" s="4">
        <f>F2677&amp;"-"&amp;G2677&amp;"-"&amp;F2677</f>
        <v/>
      </c>
      <c r="V2677" s="4">
        <f>IF($M$2677="","",$M$2677)</f>
        <v/>
      </c>
      <c r="W2677" s="4">
        <f>IF($O$2677="","",$O$2677)</f>
        <v/>
      </c>
      <c r="X2677" s="4">
        <f>J2677</f>
        <v/>
      </c>
    </row>
    <row r="2678">
      <c r="B2678" s="4" t="n">
        <v>2538</v>
      </c>
      <c r="C2678" s="4" t="inlineStr">
        <is>
          <t>29/09/2026</t>
        </is>
      </c>
      <c r="D2678" s="4" t="inlineStr">
        <is>
          <t>martes</t>
        </is>
      </c>
      <c r="E2678" s="4" t="n">
        <v>2116</v>
      </c>
      <c r="F2678" s="4" t="inlineStr">
        <is>
          <t>AQP</t>
        </is>
      </c>
      <c r="G2678" s="4" t="inlineStr">
        <is>
          <t>LIM</t>
        </is>
      </c>
      <c r="H2678" s="4" t="inlineStr">
        <is>
          <t>20:40:00</t>
        </is>
      </c>
      <c r="I2678" s="4" t="inlineStr">
        <is>
          <t>22:20:00</t>
        </is>
      </c>
      <c r="J2678" s="4" t="n">
        <v>320</v>
      </c>
      <c r="K2678">
        <f>TEXT(TIMEVALUE(H2678)-TIMEVALUE(I2677)+(TIMEVALUE(H2678)&lt;TIMEVALUE(I2677)),"[h]:mm")</f>
        <v/>
      </c>
      <c r="L2678" s="4" t="inlineStr">
        <is>
          <t>01:40:00</t>
        </is>
      </c>
      <c r="O2678">
        <f>"LIM-"&amp;G2677&amp;"-LIM   LA "&amp;E2677&amp;" ("&amp;LEFT(H2677,5)&amp;"-"&amp;LEFT(I2677,5)&amp;" hrs)  /  LA "&amp;E2678&amp;" ("&amp;LEFT(H2678,5)&amp;"-"&amp;LEFT(I2678,5)&amp;" hrs)"</f>
        <v/>
      </c>
    </row>
    <row r="2679">
      <c r="J2679" s="8" t="inlineStr">
        <is>
          <t>PSV total:</t>
        </is>
      </c>
      <c r="K2679" s="9">
        <f>TEXT(TIMEVALUE(I2678)-TIMEVALUE(H2677)+(I2678&lt;H2677),"[h]:mm")</f>
        <v/>
      </c>
    </row>
    <row r="2681">
      <c r="B2681" s="3" t="inlineStr">
        <is>
          <t>Pairing ID</t>
        </is>
      </c>
      <c r="C2681" s="3" t="inlineStr">
        <is>
          <t>FECHA REAL</t>
        </is>
      </c>
      <c r="D2681" s="3" t="inlineStr">
        <is>
          <t>Day of Week</t>
        </is>
      </c>
      <c r="E2681" s="3" t="inlineStr">
        <is>
          <t>Flight No</t>
        </is>
      </c>
      <c r="F2681" s="3" t="inlineStr">
        <is>
          <t>Dep Stn</t>
        </is>
      </c>
      <c r="G2681" s="3" t="inlineStr">
        <is>
          <t>Arr Stn</t>
        </is>
      </c>
      <c r="H2681" s="3" t="inlineStr">
        <is>
          <t>STD</t>
        </is>
      </c>
      <c r="I2681" s="3" t="inlineStr">
        <is>
          <t>STA</t>
        </is>
      </c>
      <c r="J2681" s="3" t="inlineStr">
        <is>
          <t>subflota</t>
        </is>
      </c>
      <c r="K2681" s="3" t="inlineStr">
        <is>
          <t>Conexion</t>
        </is>
      </c>
      <c r="L2681" s="3" t="inlineStr">
        <is>
          <t>HBT</t>
        </is>
      </c>
    </row>
    <row r="2682">
      <c r="B2682" s="4" t="n">
        <v>2574</v>
      </c>
      <c r="C2682" s="4" t="inlineStr">
        <is>
          <t>30/09/2026</t>
        </is>
      </c>
      <c r="D2682" s="4" t="inlineStr">
        <is>
          <t>miércoles</t>
        </is>
      </c>
      <c r="E2682" s="4" t="n">
        <v>2013</v>
      </c>
      <c r="F2682" s="4" t="inlineStr">
        <is>
          <t>LIM</t>
        </is>
      </c>
      <c r="G2682" s="4" t="inlineStr">
        <is>
          <t>CUZ</t>
        </is>
      </c>
      <c r="H2682" s="4" t="inlineStr">
        <is>
          <t>08:35:00</t>
        </is>
      </c>
      <c r="I2682" s="4" t="inlineStr">
        <is>
          <t>09:55:00</t>
        </is>
      </c>
      <c r="J2682" s="4" t="n">
        <v>319</v>
      </c>
      <c r="L2682" s="4" t="inlineStr">
        <is>
          <t>01:20:00</t>
        </is>
      </c>
      <c r="M2682" s="5" t="n"/>
      <c r="N2682" s="6" t="n"/>
      <c r="O2682" s="5" t="n"/>
      <c r="Q2682" s="4">
        <f>B2682</f>
        <v/>
      </c>
      <c r="R2682" s="4">
        <f>C2682</f>
        <v/>
      </c>
      <c r="S2682" s="4">
        <f>D2682</f>
        <v/>
      </c>
      <c r="T2682" s="4">
        <f>E2682&amp;"/"&amp;E2683</f>
        <v/>
      </c>
      <c r="U2682" s="4">
        <f>F2682&amp;"-"&amp;G2682&amp;"-"&amp;F2682</f>
        <v/>
      </c>
      <c r="V2682" s="4">
        <f>IF($M$2682="","",$M$2682)</f>
        <v/>
      </c>
      <c r="W2682" s="4">
        <f>IF($O$2682="","",$O$2682)</f>
        <v/>
      </c>
      <c r="X2682" s="4">
        <f>J2682</f>
        <v/>
      </c>
    </row>
    <row r="2683">
      <c r="B2683" s="4" t="n">
        <v>2574</v>
      </c>
      <c r="C2683" s="4" t="inlineStr">
        <is>
          <t>30/09/2026</t>
        </is>
      </c>
      <c r="D2683" s="4" t="inlineStr">
        <is>
          <t>miércoles</t>
        </is>
      </c>
      <c r="E2683" s="4" t="n">
        <v>2014</v>
      </c>
      <c r="F2683" s="4" t="inlineStr">
        <is>
          <t>CUZ</t>
        </is>
      </c>
      <c r="G2683" s="4" t="inlineStr">
        <is>
          <t>LIM</t>
        </is>
      </c>
      <c r="H2683" s="4" t="inlineStr">
        <is>
          <t>10:40:00</t>
        </is>
      </c>
      <c r="I2683" s="4" t="inlineStr">
        <is>
          <t>12:15:00</t>
        </is>
      </c>
      <c r="J2683" s="4" t="n">
        <v>319</v>
      </c>
      <c r="K2683">
        <f>TEXT(TIMEVALUE(H2683)-TIMEVALUE(I2682)+(TIMEVALUE(H2683)&lt;TIMEVALUE(I2682)),"[h]:mm")</f>
        <v/>
      </c>
      <c r="L2683" s="4" t="inlineStr">
        <is>
          <t>01:35:00</t>
        </is>
      </c>
      <c r="O2683">
        <f>"LIM-"&amp;G2682&amp;"-LIM   LA "&amp;E2682&amp;" ("&amp;LEFT(H2682,5)&amp;"-"&amp;LEFT(I2682,5)&amp;" hrs)  /  LA "&amp;E2683&amp;" ("&amp;LEFT(H2683,5)&amp;"-"&amp;LEFT(I2683,5)&amp;" hrs)"</f>
        <v/>
      </c>
    </row>
    <row r="2684">
      <c r="B2684" s="4" t="n">
        <v>2597</v>
      </c>
      <c r="C2684" s="4" t="inlineStr">
        <is>
          <t>30/09/2026</t>
        </is>
      </c>
      <c r="D2684" s="4" t="inlineStr">
        <is>
          <t>miércoles</t>
        </is>
      </c>
      <c r="E2684" s="4" t="n">
        <v>2234</v>
      </c>
      <c r="F2684" s="4" t="inlineStr">
        <is>
          <t>LIM</t>
        </is>
      </c>
      <c r="G2684" s="4" t="inlineStr">
        <is>
          <t>IQT</t>
        </is>
      </c>
      <c r="H2684" s="4" t="inlineStr">
        <is>
          <t>13:35:00</t>
        </is>
      </c>
      <c r="I2684" s="4" t="inlineStr">
        <is>
          <t>15:25:00</t>
        </is>
      </c>
      <c r="J2684" s="4" t="n">
        <v>320</v>
      </c>
      <c r="K2684" s="7">
        <f>TEXT(TIMEVALUE(H2684)-TIMEVALUE(I2683)+(TIMEVALUE(H2684)&lt;TIMEVALUE(I2683)),"[h]:mm")</f>
        <v/>
      </c>
      <c r="L2684" s="4" t="inlineStr">
        <is>
          <t>01:50:00</t>
        </is>
      </c>
      <c r="M2684">
        <f>IF($M$2682="","",$M$2682)</f>
        <v/>
      </c>
      <c r="O2684">
        <f>IF($O$2682="","",$O$2682)</f>
        <v/>
      </c>
      <c r="Q2684" s="4">
        <f>B2684</f>
        <v/>
      </c>
      <c r="R2684" s="4">
        <f>C2684</f>
        <v/>
      </c>
      <c r="S2684" s="4">
        <f>D2684</f>
        <v/>
      </c>
      <c r="T2684" s="4">
        <f>E2684&amp;"/"&amp;E2685</f>
        <v/>
      </c>
      <c r="U2684" s="4">
        <f>F2684&amp;"-"&amp;G2684&amp;"-"&amp;F2684</f>
        <v/>
      </c>
      <c r="V2684" s="4">
        <f>IF($M$2682="","",$M$2682)</f>
        <v/>
      </c>
      <c r="W2684" s="4">
        <f>IF($O$2682="","",$O$2682)</f>
        <v/>
      </c>
      <c r="X2684" s="4">
        <f>J2684</f>
        <v/>
      </c>
    </row>
    <row r="2685">
      <c r="B2685" s="4" t="n">
        <v>2597</v>
      </c>
      <c r="C2685" s="4" t="inlineStr">
        <is>
          <t>30/09/2026</t>
        </is>
      </c>
      <c r="D2685" s="4" t="inlineStr">
        <is>
          <t>miércoles</t>
        </is>
      </c>
      <c r="E2685" s="4" t="n">
        <v>2235</v>
      </c>
      <c r="F2685" s="4" t="inlineStr">
        <is>
          <t>IQT</t>
        </is>
      </c>
      <c r="G2685" s="4" t="inlineStr">
        <is>
          <t>LIM</t>
        </is>
      </c>
      <c r="H2685" s="4" t="inlineStr">
        <is>
          <t>16:05:00</t>
        </is>
      </c>
      <c r="I2685" s="4" t="inlineStr">
        <is>
          <t>17:55:00</t>
        </is>
      </c>
      <c r="J2685" s="4" t="n">
        <v>320</v>
      </c>
      <c r="K2685">
        <f>TEXT(TIMEVALUE(H2685)-TIMEVALUE(I2684)+(TIMEVALUE(H2685)&lt;TIMEVALUE(I2684)),"[h]:mm")</f>
        <v/>
      </c>
      <c r="L2685" s="4" t="inlineStr">
        <is>
          <t>01:50:00</t>
        </is>
      </c>
      <c r="O2685">
        <f>"LIM-"&amp;G2684&amp;"-LIM   LA "&amp;E2684&amp;" ("&amp;LEFT(H2684,5)&amp;"-"&amp;LEFT(I2684,5)&amp;" hrs)  /  LA "&amp;E2685&amp;" ("&amp;LEFT(H2685,5)&amp;"-"&amp;LEFT(I2685,5)&amp;" hrs)"</f>
        <v/>
      </c>
    </row>
    <row r="2686">
      <c r="J2686" s="8" t="inlineStr">
        <is>
          <t>PSV total:</t>
        </is>
      </c>
      <c r="K2686" s="9">
        <f>TEXT(TIMEVALUE(I2685)-TIMEVALUE(H2682)+(I2685&lt;H2682),"[h]:mm")</f>
        <v/>
      </c>
    </row>
    <row r="2688">
      <c r="B2688" s="3" t="inlineStr">
        <is>
          <t>Pairing ID</t>
        </is>
      </c>
      <c r="C2688" s="3" t="inlineStr">
        <is>
          <t>FECHA REAL</t>
        </is>
      </c>
      <c r="D2688" s="3" t="inlineStr">
        <is>
          <t>Day of Week</t>
        </is>
      </c>
      <c r="E2688" s="3" t="inlineStr">
        <is>
          <t>Flight No</t>
        </is>
      </c>
      <c r="F2688" s="3" t="inlineStr">
        <is>
          <t>Dep Stn</t>
        </is>
      </c>
      <c r="G2688" s="3" t="inlineStr">
        <is>
          <t>Arr Stn</t>
        </is>
      </c>
      <c r="H2688" s="3" t="inlineStr">
        <is>
          <t>STD</t>
        </is>
      </c>
      <c r="I2688" s="3" t="inlineStr">
        <is>
          <t>STA</t>
        </is>
      </c>
      <c r="J2688" s="3" t="inlineStr">
        <is>
          <t>subflota</t>
        </is>
      </c>
      <c r="K2688" s="3" t="inlineStr">
        <is>
          <t>Conexion</t>
        </is>
      </c>
      <c r="L2688" s="3" t="inlineStr">
        <is>
          <t>HBT</t>
        </is>
      </c>
    </row>
    <row r="2689">
      <c r="B2689" s="4" t="n">
        <v>2578</v>
      </c>
      <c r="C2689" s="4" t="inlineStr">
        <is>
          <t>30/09/2026</t>
        </is>
      </c>
      <c r="D2689" s="4" t="inlineStr">
        <is>
          <t>miércoles</t>
        </is>
      </c>
      <c r="E2689" s="4" t="n">
        <v>2123</v>
      </c>
      <c r="F2689" s="4" t="inlineStr">
        <is>
          <t>LIM</t>
        </is>
      </c>
      <c r="G2689" s="4" t="inlineStr">
        <is>
          <t>AQP</t>
        </is>
      </c>
      <c r="H2689" s="4" t="inlineStr">
        <is>
          <t>09:15:00</t>
        </is>
      </c>
      <c r="I2689" s="4" t="inlineStr">
        <is>
          <t>10:45:00</t>
        </is>
      </c>
      <c r="J2689" s="4" t="n">
        <v>319</v>
      </c>
      <c r="L2689" s="4" t="inlineStr">
        <is>
          <t>01:30:00</t>
        </is>
      </c>
      <c r="M2689" s="5" t="n"/>
      <c r="N2689" s="6" t="n"/>
      <c r="O2689" s="5" t="n"/>
      <c r="Q2689" s="4">
        <f>B2689</f>
        <v/>
      </c>
      <c r="R2689" s="4">
        <f>C2689</f>
        <v/>
      </c>
      <c r="S2689" s="4">
        <f>D2689</f>
        <v/>
      </c>
      <c r="T2689" s="4">
        <f>E2689&amp;"/"&amp;E2690</f>
        <v/>
      </c>
      <c r="U2689" s="4">
        <f>F2689&amp;"-"&amp;G2689&amp;"-"&amp;F2689</f>
        <v/>
      </c>
      <c r="V2689" s="4">
        <f>IF($M$2689="","",$M$2689)</f>
        <v/>
      </c>
      <c r="W2689" s="4">
        <f>IF($O$2689="","",$O$2689)</f>
        <v/>
      </c>
      <c r="X2689" s="4">
        <f>J2689</f>
        <v/>
      </c>
    </row>
    <row r="2690">
      <c r="B2690" s="4" t="n">
        <v>2578</v>
      </c>
      <c r="C2690" s="4" t="inlineStr">
        <is>
          <t>30/09/2026</t>
        </is>
      </c>
      <c r="D2690" s="4" t="inlineStr">
        <is>
          <t>miércoles</t>
        </is>
      </c>
      <c r="E2690" s="4" t="n">
        <v>2124</v>
      </c>
      <c r="F2690" s="4" t="inlineStr">
        <is>
          <t>AQP</t>
        </is>
      </c>
      <c r="G2690" s="4" t="inlineStr">
        <is>
          <t>LIM</t>
        </is>
      </c>
      <c r="H2690" s="4" t="inlineStr">
        <is>
          <t>11:35:00</t>
        </is>
      </c>
      <c r="I2690" s="4" t="inlineStr">
        <is>
          <t>13:10:00</t>
        </is>
      </c>
      <c r="J2690" s="4" t="n">
        <v>319</v>
      </c>
      <c r="K2690">
        <f>TEXT(TIMEVALUE(H2690)-TIMEVALUE(I2689)+(TIMEVALUE(H2690)&lt;TIMEVALUE(I2689)),"[h]:mm")</f>
        <v/>
      </c>
      <c r="L2690" s="4" t="inlineStr">
        <is>
          <t>01:35:00</t>
        </is>
      </c>
      <c r="O2690">
        <f>"LIM-"&amp;G2689&amp;"-LIM   LA "&amp;E2689&amp;" ("&amp;LEFT(H2689,5)&amp;"-"&amp;LEFT(I2689,5)&amp;" hrs)  /  LA "&amp;E2690&amp;" ("&amp;LEFT(H2690,5)&amp;"-"&amp;LEFT(I2690,5)&amp;" hrs)"</f>
        <v/>
      </c>
    </row>
    <row r="2691">
      <c r="B2691" s="4" t="n">
        <v>2599</v>
      </c>
      <c r="C2691" s="4" t="inlineStr">
        <is>
          <t>30/09/2026</t>
        </is>
      </c>
      <c r="D2691" s="4" t="inlineStr">
        <is>
          <t>miércoles</t>
        </is>
      </c>
      <c r="E2691" s="4" t="n">
        <v>2295</v>
      </c>
      <c r="F2691" s="4" t="inlineStr">
        <is>
          <t>LIM</t>
        </is>
      </c>
      <c r="G2691" s="4" t="inlineStr">
        <is>
          <t>CJA</t>
        </is>
      </c>
      <c r="H2691" s="4" t="inlineStr">
        <is>
          <t>14:10:00</t>
        </is>
      </c>
      <c r="I2691" s="4" t="inlineStr">
        <is>
          <t>15:30:00</t>
        </is>
      </c>
      <c r="J2691" s="4" t="n">
        <v>320</v>
      </c>
      <c r="K2691" s="7">
        <f>TEXT(TIMEVALUE(H2691)-TIMEVALUE(I2690)+(TIMEVALUE(H2691)&lt;TIMEVALUE(I2690)),"[h]:mm")</f>
        <v/>
      </c>
      <c r="L2691" s="4" t="inlineStr">
        <is>
          <t>01:20:00</t>
        </is>
      </c>
      <c r="M2691">
        <f>IF($M$2689="","",$M$2689)</f>
        <v/>
      </c>
      <c r="O2691">
        <f>IF($O$2689="","",$O$2689)</f>
        <v/>
      </c>
      <c r="Q2691" s="4">
        <f>B2691</f>
        <v/>
      </c>
      <c r="R2691" s="4">
        <f>C2691</f>
        <v/>
      </c>
      <c r="S2691" s="4">
        <f>D2691</f>
        <v/>
      </c>
      <c r="T2691" s="4">
        <f>E2691&amp;"/"&amp;E2692</f>
        <v/>
      </c>
      <c r="U2691" s="4">
        <f>F2691&amp;"-"&amp;G2691&amp;"-"&amp;F2691</f>
        <v/>
      </c>
      <c r="V2691" s="4">
        <f>IF($M$2689="","",$M$2689)</f>
        <v/>
      </c>
      <c r="W2691" s="4">
        <f>IF($O$2689="","",$O$2689)</f>
        <v/>
      </c>
      <c r="X2691" s="4">
        <f>J2691</f>
        <v/>
      </c>
    </row>
    <row r="2692">
      <c r="B2692" s="4" t="n">
        <v>2599</v>
      </c>
      <c r="C2692" s="4" t="inlineStr">
        <is>
          <t>30/09/2026</t>
        </is>
      </c>
      <c r="D2692" s="4" t="inlineStr">
        <is>
          <t>miércoles</t>
        </is>
      </c>
      <c r="E2692" s="4" t="n">
        <v>2294</v>
      </c>
      <c r="F2692" s="4" t="inlineStr">
        <is>
          <t>CJA</t>
        </is>
      </c>
      <c r="G2692" s="4" t="inlineStr">
        <is>
          <t>LIM</t>
        </is>
      </c>
      <c r="H2692" s="4" t="inlineStr">
        <is>
          <t>16:10:00</t>
        </is>
      </c>
      <c r="I2692" s="4" t="inlineStr">
        <is>
          <t>17:15:00</t>
        </is>
      </c>
      <c r="J2692" s="4" t="n">
        <v>320</v>
      </c>
      <c r="K2692">
        <f>TEXT(TIMEVALUE(H2692)-TIMEVALUE(I2691)+(TIMEVALUE(H2692)&lt;TIMEVALUE(I2691)),"[h]:mm")</f>
        <v/>
      </c>
      <c r="L2692" s="4" t="inlineStr">
        <is>
          <t>01:05:00</t>
        </is>
      </c>
      <c r="O2692">
        <f>"LIM-"&amp;G2691&amp;"-LIM   LA "&amp;E2691&amp;" ("&amp;LEFT(H2691,5)&amp;"-"&amp;LEFT(I2691,5)&amp;" hrs)  /  LA "&amp;E2692&amp;" ("&amp;LEFT(H2692,5)&amp;"-"&amp;LEFT(I2692,5)&amp;" hrs)"</f>
        <v/>
      </c>
    </row>
    <row r="2693">
      <c r="J2693" s="8" t="inlineStr">
        <is>
          <t>PSV total:</t>
        </is>
      </c>
      <c r="K2693" s="9">
        <f>TEXT(TIMEVALUE(I2692)-TIMEVALUE(H2689)+(I2692&lt;H2689),"[h]:mm")</f>
        <v/>
      </c>
    </row>
    <row r="2695">
      <c r="B2695" s="3" t="inlineStr">
        <is>
          <t>Pairing ID</t>
        </is>
      </c>
      <c r="C2695" s="3" t="inlineStr">
        <is>
          <t>FECHA REAL</t>
        </is>
      </c>
      <c r="D2695" s="3" t="inlineStr">
        <is>
          <t>Day of Week</t>
        </is>
      </c>
      <c r="E2695" s="3" t="inlineStr">
        <is>
          <t>Flight No</t>
        </is>
      </c>
      <c r="F2695" s="3" t="inlineStr">
        <is>
          <t>Dep Stn</t>
        </is>
      </c>
      <c r="G2695" s="3" t="inlineStr">
        <is>
          <t>Arr Stn</t>
        </is>
      </c>
      <c r="H2695" s="3" t="inlineStr">
        <is>
          <t>STD</t>
        </is>
      </c>
      <c r="I2695" s="3" t="inlineStr">
        <is>
          <t>STA</t>
        </is>
      </c>
      <c r="J2695" s="3" t="inlineStr">
        <is>
          <t>subflota</t>
        </is>
      </c>
      <c r="K2695" s="3" t="inlineStr">
        <is>
          <t>Conexion</t>
        </is>
      </c>
      <c r="L2695" s="3" t="inlineStr">
        <is>
          <t>HBT</t>
        </is>
      </c>
    </row>
    <row r="2696">
      <c r="B2696" s="4" t="n">
        <v>2582</v>
      </c>
      <c r="C2696" s="4" t="inlineStr">
        <is>
          <t>30/09/2026</t>
        </is>
      </c>
      <c r="D2696" s="4" t="inlineStr">
        <is>
          <t>miércoles</t>
        </is>
      </c>
      <c r="E2696" s="4" t="n">
        <v>2109</v>
      </c>
      <c r="F2696" s="4" t="inlineStr">
        <is>
          <t>LIM</t>
        </is>
      </c>
      <c r="G2696" s="4" t="inlineStr">
        <is>
          <t>AQP</t>
        </is>
      </c>
      <c r="H2696" s="4" t="inlineStr">
        <is>
          <t>10:35:00</t>
        </is>
      </c>
      <c r="I2696" s="4" t="inlineStr">
        <is>
          <t>12:05:00</t>
        </is>
      </c>
      <c r="J2696" s="4" t="n">
        <v>319</v>
      </c>
      <c r="L2696" s="4" t="inlineStr">
        <is>
          <t>01:30:00</t>
        </is>
      </c>
      <c r="M2696" s="5" t="n"/>
      <c r="N2696" s="6" t="n"/>
      <c r="O2696" s="5" t="n"/>
      <c r="Q2696" s="4">
        <f>B2696</f>
        <v/>
      </c>
      <c r="R2696" s="4">
        <f>C2696</f>
        <v/>
      </c>
      <c r="S2696" s="4">
        <f>D2696</f>
        <v/>
      </c>
      <c r="T2696" s="4">
        <f>E2696&amp;"/"&amp;E2697</f>
        <v/>
      </c>
      <c r="U2696" s="4">
        <f>F2696&amp;"-"&amp;G2696&amp;"-"&amp;F2696</f>
        <v/>
      </c>
      <c r="V2696" s="4">
        <f>IF($M$2696="","",$M$2696)</f>
        <v/>
      </c>
      <c r="W2696" s="4">
        <f>IF($O$2696="","",$O$2696)</f>
        <v/>
      </c>
      <c r="X2696" s="4">
        <f>J2696</f>
        <v/>
      </c>
    </row>
    <row r="2697">
      <c r="B2697" s="4" t="n">
        <v>2582</v>
      </c>
      <c r="C2697" s="4" t="inlineStr">
        <is>
          <t>30/09/2026</t>
        </is>
      </c>
      <c r="D2697" s="4" t="inlineStr">
        <is>
          <t>miércoles</t>
        </is>
      </c>
      <c r="E2697" s="4" t="n">
        <v>2108</v>
      </c>
      <c r="F2697" s="4" t="inlineStr">
        <is>
          <t>AQP</t>
        </is>
      </c>
      <c r="G2697" s="4" t="inlineStr">
        <is>
          <t>LIM</t>
        </is>
      </c>
      <c r="H2697" s="4" t="inlineStr">
        <is>
          <t>12:40:00</t>
        </is>
      </c>
      <c r="I2697" s="4" t="inlineStr">
        <is>
          <t>14:15:00</t>
        </is>
      </c>
      <c r="J2697" s="4" t="n">
        <v>319</v>
      </c>
      <c r="K2697">
        <f>TEXT(TIMEVALUE(H2697)-TIMEVALUE(I2696)+(TIMEVALUE(H2697)&lt;TIMEVALUE(I2696)),"[h]:mm")</f>
        <v/>
      </c>
      <c r="L2697" s="4" t="inlineStr">
        <is>
          <t>01:35:00</t>
        </is>
      </c>
      <c r="O2697">
        <f>"LIM-"&amp;G2696&amp;"-LIM   LA "&amp;E2696&amp;" ("&amp;LEFT(H2696,5)&amp;"-"&amp;LEFT(I2696,5)&amp;" hrs)  /  LA "&amp;E2697&amp;" ("&amp;LEFT(H2697,5)&amp;"-"&amp;LEFT(I2697,5)&amp;" hrs)"</f>
        <v/>
      </c>
    </row>
    <row r="2698">
      <c r="B2698" s="4" t="n">
        <v>2604</v>
      </c>
      <c r="C2698" s="4" t="inlineStr">
        <is>
          <t>30/09/2026</t>
        </is>
      </c>
      <c r="D2698" s="4" t="inlineStr">
        <is>
          <t>miércoles</t>
        </is>
      </c>
      <c r="E2698" s="4" t="n">
        <v>2297</v>
      </c>
      <c r="F2698" s="4" t="inlineStr">
        <is>
          <t>LIM</t>
        </is>
      </c>
      <c r="G2698" s="4" t="inlineStr">
        <is>
          <t>CJA</t>
        </is>
      </c>
      <c r="H2698" s="4" t="inlineStr">
        <is>
          <t>15:15:00</t>
        </is>
      </c>
      <c r="I2698" s="4" t="inlineStr">
        <is>
          <t>16:35:00</t>
        </is>
      </c>
      <c r="J2698" s="4" t="n">
        <v>319</v>
      </c>
      <c r="K2698" s="7">
        <f>TEXT(TIMEVALUE(H2698)-TIMEVALUE(I2697)+(TIMEVALUE(H2698)&lt;TIMEVALUE(I2697)),"[h]:mm")</f>
        <v/>
      </c>
      <c r="L2698" s="4" t="inlineStr">
        <is>
          <t>01:20:00</t>
        </is>
      </c>
      <c r="M2698">
        <f>IF($M$2696="","",$M$2696)</f>
        <v/>
      </c>
      <c r="O2698">
        <f>IF($O$2696="","",$O$2696)</f>
        <v/>
      </c>
      <c r="Q2698" s="4">
        <f>B2698</f>
        <v/>
      </c>
      <c r="R2698" s="4">
        <f>C2698</f>
        <v/>
      </c>
      <c r="S2698" s="4">
        <f>D2698</f>
        <v/>
      </c>
      <c r="T2698" s="4">
        <f>E2698&amp;"/"&amp;E2699</f>
        <v/>
      </c>
      <c r="U2698" s="4">
        <f>F2698&amp;"-"&amp;G2698&amp;"-"&amp;F2698</f>
        <v/>
      </c>
      <c r="V2698" s="4">
        <f>IF($M$2696="","",$M$2696)</f>
        <v/>
      </c>
      <c r="W2698" s="4">
        <f>IF($O$2696="","",$O$2696)</f>
        <v/>
      </c>
      <c r="X2698" s="4">
        <f>J2698</f>
        <v/>
      </c>
    </row>
    <row r="2699">
      <c r="B2699" s="4" t="n">
        <v>2604</v>
      </c>
      <c r="C2699" s="4" t="inlineStr">
        <is>
          <t>30/09/2026</t>
        </is>
      </c>
      <c r="D2699" s="4" t="inlineStr">
        <is>
          <t>miércoles</t>
        </is>
      </c>
      <c r="E2699" s="4" t="n">
        <v>2296</v>
      </c>
      <c r="F2699" s="4" t="inlineStr">
        <is>
          <t>CJA</t>
        </is>
      </c>
      <c r="G2699" s="4" t="inlineStr">
        <is>
          <t>LIM</t>
        </is>
      </c>
      <c r="H2699" s="4" t="inlineStr">
        <is>
          <t>17:20:00</t>
        </is>
      </c>
      <c r="I2699" s="4" t="inlineStr">
        <is>
          <t>18:25:00</t>
        </is>
      </c>
      <c r="J2699" s="4" t="n">
        <v>319</v>
      </c>
      <c r="K2699">
        <f>TEXT(TIMEVALUE(H2699)-TIMEVALUE(I2698)+(TIMEVALUE(H2699)&lt;TIMEVALUE(I2698)),"[h]:mm")</f>
        <v/>
      </c>
      <c r="L2699" s="4" t="inlineStr">
        <is>
          <t>01:05:00</t>
        </is>
      </c>
      <c r="O2699">
        <f>"LIM-"&amp;G2698&amp;"-LIM   LA "&amp;E2698&amp;" ("&amp;LEFT(H2698,5)&amp;"-"&amp;LEFT(I2698,5)&amp;" hrs)  /  LA "&amp;E2699&amp;" ("&amp;LEFT(H2699,5)&amp;"-"&amp;LEFT(I2699,5)&amp;" hrs)"</f>
        <v/>
      </c>
    </row>
    <row r="2700">
      <c r="J2700" s="8" t="inlineStr">
        <is>
          <t>PSV total:</t>
        </is>
      </c>
      <c r="K2700" s="9">
        <f>TEXT(TIMEVALUE(I2699)-TIMEVALUE(H2696)+(I2699&lt;H2696),"[h]:mm")</f>
        <v/>
      </c>
    </row>
    <row r="2702">
      <c r="B2702" s="3" t="inlineStr">
        <is>
          <t>Pairing ID</t>
        </is>
      </c>
      <c r="C2702" s="3" t="inlineStr">
        <is>
          <t>FECHA REAL</t>
        </is>
      </c>
      <c r="D2702" s="3" t="inlineStr">
        <is>
          <t>Day of Week</t>
        </is>
      </c>
      <c r="E2702" s="3" t="inlineStr">
        <is>
          <t>Flight No</t>
        </is>
      </c>
      <c r="F2702" s="3" t="inlineStr">
        <is>
          <t>Dep Stn</t>
        </is>
      </c>
      <c r="G2702" s="3" t="inlineStr">
        <is>
          <t>Arr Stn</t>
        </is>
      </c>
      <c r="H2702" s="3" t="inlineStr">
        <is>
          <t>STD</t>
        </is>
      </c>
      <c r="I2702" s="3" t="inlineStr">
        <is>
          <t>STA</t>
        </is>
      </c>
      <c r="J2702" s="3" t="inlineStr">
        <is>
          <t>subflota</t>
        </is>
      </c>
      <c r="K2702" s="3" t="inlineStr">
        <is>
          <t>Conexion</t>
        </is>
      </c>
      <c r="L2702" s="3" t="inlineStr">
        <is>
          <t>HBT</t>
        </is>
      </c>
    </row>
    <row r="2703">
      <c r="B2703" s="4" t="n">
        <v>2586</v>
      </c>
      <c r="C2703" s="4" t="inlineStr">
        <is>
          <t>30/09/2026</t>
        </is>
      </c>
      <c r="D2703" s="4" t="inlineStr">
        <is>
          <t>miércoles</t>
        </is>
      </c>
      <c r="E2703" s="4" t="n">
        <v>2061</v>
      </c>
      <c r="F2703" s="4" t="inlineStr">
        <is>
          <t>LIM</t>
        </is>
      </c>
      <c r="G2703" s="4" t="inlineStr">
        <is>
          <t>CUZ</t>
        </is>
      </c>
      <c r="H2703" s="4" t="inlineStr">
        <is>
          <t>11:40:00</t>
        </is>
      </c>
      <c r="I2703" s="4" t="inlineStr">
        <is>
          <t>13:00:00</t>
        </is>
      </c>
      <c r="J2703" s="4" t="n">
        <v>320</v>
      </c>
      <c r="L2703" s="4" t="inlineStr">
        <is>
          <t>01:20:00</t>
        </is>
      </c>
      <c r="M2703" s="5" t="n"/>
      <c r="N2703" s="6" t="n"/>
      <c r="O2703" s="5" t="n"/>
      <c r="Q2703" s="4">
        <f>B2703</f>
        <v/>
      </c>
      <c r="R2703" s="4">
        <f>C2703</f>
        <v/>
      </c>
      <c r="S2703" s="4">
        <f>D2703</f>
        <v/>
      </c>
      <c r="T2703" s="4">
        <f>E2703&amp;"/"&amp;E2704</f>
        <v/>
      </c>
      <c r="U2703" s="4">
        <f>F2703&amp;"-"&amp;G2703&amp;"-"&amp;F2703</f>
        <v/>
      </c>
      <c r="V2703" s="4">
        <f>IF($M$2703="","",$M$2703)</f>
        <v/>
      </c>
      <c r="W2703" s="4">
        <f>IF($O$2703="","",$O$2703)</f>
        <v/>
      </c>
      <c r="X2703" s="4">
        <f>J2703</f>
        <v/>
      </c>
    </row>
    <row r="2704">
      <c r="B2704" s="4" t="n">
        <v>2586</v>
      </c>
      <c r="C2704" s="4" t="inlineStr">
        <is>
          <t>30/09/2026</t>
        </is>
      </c>
      <c r="D2704" s="4" t="inlineStr">
        <is>
          <t>miércoles</t>
        </is>
      </c>
      <c r="E2704" s="4" t="n">
        <v>2062</v>
      </c>
      <c r="F2704" s="4" t="inlineStr">
        <is>
          <t>CUZ</t>
        </is>
      </c>
      <c r="G2704" s="4" t="inlineStr">
        <is>
          <t>LIM</t>
        </is>
      </c>
      <c r="H2704" s="4" t="inlineStr">
        <is>
          <t>13:40:00</t>
        </is>
      </c>
      <c r="I2704" s="4" t="inlineStr">
        <is>
          <t>15:15:00</t>
        </is>
      </c>
      <c r="J2704" s="4" t="n">
        <v>320</v>
      </c>
      <c r="K2704">
        <f>TEXT(TIMEVALUE(H2704)-TIMEVALUE(I2703)+(TIMEVALUE(H2704)&lt;TIMEVALUE(I2703)),"[h]:mm")</f>
        <v/>
      </c>
      <c r="L2704" s="4" t="inlineStr">
        <is>
          <t>01:35:00</t>
        </is>
      </c>
      <c r="O2704">
        <f>"LIM-"&amp;G2703&amp;"-LIM   LA "&amp;E2703&amp;" ("&amp;LEFT(H2703,5)&amp;"-"&amp;LEFT(I2703,5)&amp;" hrs)  /  LA "&amp;E2704&amp;" ("&amp;LEFT(H2704,5)&amp;"-"&amp;LEFT(I2704,5)&amp;" hrs)"</f>
        <v/>
      </c>
    </row>
    <row r="2705">
      <c r="B2705" s="4" t="n">
        <v>2610</v>
      </c>
      <c r="C2705" s="4" t="inlineStr">
        <is>
          <t>30/09/2026</t>
        </is>
      </c>
      <c r="D2705" s="4" t="inlineStr">
        <is>
          <t>miércoles</t>
        </is>
      </c>
      <c r="E2705" s="4" t="n">
        <v>2127</v>
      </c>
      <c r="F2705" s="4" t="inlineStr">
        <is>
          <t>LIM</t>
        </is>
      </c>
      <c r="G2705" s="4" t="inlineStr">
        <is>
          <t>CUZ</t>
        </is>
      </c>
      <c r="H2705" s="4" t="inlineStr">
        <is>
          <t>16:10:00</t>
        </is>
      </c>
      <c r="I2705" s="4" t="inlineStr">
        <is>
          <t>17:30:00</t>
        </is>
      </c>
      <c r="J2705" s="4" t="n">
        <v>320</v>
      </c>
      <c r="K2705" s="7">
        <f>TEXT(TIMEVALUE(H2705)-TIMEVALUE(I2704)+(TIMEVALUE(H2705)&lt;TIMEVALUE(I2704)),"[h]:mm")</f>
        <v/>
      </c>
      <c r="L2705" s="4" t="inlineStr">
        <is>
          <t>01:20:00</t>
        </is>
      </c>
      <c r="M2705">
        <f>IF($M$2703="","",$M$2703)</f>
        <v/>
      </c>
      <c r="O2705">
        <f>IF($O$2703="","",$O$2703)</f>
        <v/>
      </c>
      <c r="Q2705" s="4">
        <f>B2705</f>
        <v/>
      </c>
      <c r="R2705" s="4">
        <f>C2705</f>
        <v/>
      </c>
      <c r="S2705" s="4">
        <f>D2705</f>
        <v/>
      </c>
      <c r="T2705" s="4">
        <f>E2705&amp;"/"&amp;E2706</f>
        <v/>
      </c>
      <c r="U2705" s="4">
        <f>F2705&amp;"-"&amp;G2705&amp;"-"&amp;F2705</f>
        <v/>
      </c>
      <c r="V2705" s="4">
        <f>IF($M$2703="","",$M$2703)</f>
        <v/>
      </c>
      <c r="W2705" s="4">
        <f>IF($O$2703="","",$O$2703)</f>
        <v/>
      </c>
      <c r="X2705" s="4">
        <f>J2705</f>
        <v/>
      </c>
    </row>
    <row r="2706">
      <c r="B2706" s="4" t="n">
        <v>2610</v>
      </c>
      <c r="C2706" s="4" t="inlineStr">
        <is>
          <t>30/09/2026</t>
        </is>
      </c>
      <c r="D2706" s="4" t="inlineStr">
        <is>
          <t>miércoles</t>
        </is>
      </c>
      <c r="E2706" s="4" t="n">
        <v>2026</v>
      </c>
      <c r="F2706" s="4" t="inlineStr">
        <is>
          <t>CUZ</t>
        </is>
      </c>
      <c r="G2706" s="4" t="inlineStr">
        <is>
          <t>LIM</t>
        </is>
      </c>
      <c r="H2706" s="4" t="inlineStr">
        <is>
          <t>18:10:00</t>
        </is>
      </c>
      <c r="I2706" s="4" t="inlineStr">
        <is>
          <t>19:50:00</t>
        </is>
      </c>
      <c r="J2706" s="4" t="n">
        <v>320</v>
      </c>
      <c r="K2706">
        <f>TEXT(TIMEVALUE(H2706)-TIMEVALUE(I2705)+(TIMEVALUE(H2706)&lt;TIMEVALUE(I2705)),"[h]:mm")</f>
        <v/>
      </c>
      <c r="L2706" s="4" t="inlineStr">
        <is>
          <t>01:40:00</t>
        </is>
      </c>
      <c r="O2706">
        <f>"LIM-"&amp;G2705&amp;"-LIM   LA "&amp;E2705&amp;" ("&amp;LEFT(H2705,5)&amp;"-"&amp;LEFT(I2705,5)&amp;" hrs)  /  LA "&amp;E2706&amp;" ("&amp;LEFT(H2706,5)&amp;"-"&amp;LEFT(I2706,5)&amp;" hrs)"</f>
        <v/>
      </c>
    </row>
    <row r="2707">
      <c r="J2707" s="8" t="inlineStr">
        <is>
          <t>PSV total:</t>
        </is>
      </c>
      <c r="K2707" s="9">
        <f>TEXT(TIMEVALUE(I2706)-TIMEVALUE(H2703)+(I2706&lt;H2703),"[h]:mm")</f>
        <v/>
      </c>
    </row>
    <row r="2709">
      <c r="B2709" s="3" t="inlineStr">
        <is>
          <t>Pairing ID</t>
        </is>
      </c>
      <c r="C2709" s="3" t="inlineStr">
        <is>
          <t>FECHA REAL</t>
        </is>
      </c>
      <c r="D2709" s="3" t="inlineStr">
        <is>
          <t>Day of Week</t>
        </is>
      </c>
      <c r="E2709" s="3" t="inlineStr">
        <is>
          <t>Flight No</t>
        </is>
      </c>
      <c r="F2709" s="3" t="inlineStr">
        <is>
          <t>Dep Stn</t>
        </is>
      </c>
      <c r="G2709" s="3" t="inlineStr">
        <is>
          <t>Arr Stn</t>
        </is>
      </c>
      <c r="H2709" s="3" t="inlineStr">
        <is>
          <t>STD</t>
        </is>
      </c>
      <c r="I2709" s="3" t="inlineStr">
        <is>
          <t>STA</t>
        </is>
      </c>
      <c r="J2709" s="3" t="inlineStr">
        <is>
          <t>subflota</t>
        </is>
      </c>
      <c r="K2709" s="3" t="inlineStr">
        <is>
          <t>Conexion</t>
        </is>
      </c>
      <c r="L2709" s="3" t="inlineStr">
        <is>
          <t>HBT</t>
        </is>
      </c>
    </row>
    <row r="2710">
      <c r="B2710" s="4" t="n">
        <v>2589</v>
      </c>
      <c r="C2710" s="4" t="inlineStr">
        <is>
          <t>30/09/2026</t>
        </is>
      </c>
      <c r="D2710" s="4" t="inlineStr">
        <is>
          <t>miércoles</t>
        </is>
      </c>
      <c r="E2710" s="4" t="n">
        <v>2023</v>
      </c>
      <c r="F2710" s="4" t="inlineStr">
        <is>
          <t>LIM</t>
        </is>
      </c>
      <c r="G2710" s="4" t="inlineStr">
        <is>
          <t>PEM</t>
        </is>
      </c>
      <c r="H2710" s="4" t="inlineStr">
        <is>
          <t>12:15:00</t>
        </is>
      </c>
      <c r="I2710" s="4" t="inlineStr">
        <is>
          <t>13:55:00</t>
        </is>
      </c>
      <c r="J2710" s="4" t="n">
        <v>319</v>
      </c>
      <c r="L2710" s="4" t="inlineStr">
        <is>
          <t>01:40:00</t>
        </is>
      </c>
      <c r="M2710" s="5" t="n"/>
      <c r="N2710" s="6" t="n"/>
      <c r="O2710" s="5" t="n"/>
      <c r="Q2710" s="4">
        <f>B2710</f>
        <v/>
      </c>
      <c r="R2710" s="4">
        <f>C2710</f>
        <v/>
      </c>
      <c r="S2710" s="4">
        <f>D2710</f>
        <v/>
      </c>
      <c r="T2710" s="4">
        <f>E2710&amp;"/"&amp;E2711</f>
        <v/>
      </c>
      <c r="U2710" s="4">
        <f>F2710&amp;"-"&amp;G2710&amp;"-"&amp;F2710</f>
        <v/>
      </c>
      <c r="V2710" s="4">
        <f>IF($M$2710="","",$M$2710)</f>
        <v/>
      </c>
      <c r="W2710" s="4">
        <f>IF($O$2710="","",$O$2710)</f>
        <v/>
      </c>
      <c r="X2710" s="4">
        <f>J2710</f>
        <v/>
      </c>
    </row>
    <row r="2711">
      <c r="B2711" s="4" t="n">
        <v>2589</v>
      </c>
      <c r="C2711" s="4" t="inlineStr">
        <is>
          <t>30/09/2026</t>
        </is>
      </c>
      <c r="D2711" s="4" t="inlineStr">
        <is>
          <t>miércoles</t>
        </is>
      </c>
      <c r="E2711" s="4" t="n">
        <v>2024</v>
      </c>
      <c r="F2711" s="4" t="inlineStr">
        <is>
          <t>PEM</t>
        </is>
      </c>
      <c r="G2711" s="4" t="inlineStr">
        <is>
          <t>LIM</t>
        </is>
      </c>
      <c r="H2711" s="4" t="inlineStr">
        <is>
          <t>14:35:00</t>
        </is>
      </c>
      <c r="I2711" s="4" t="inlineStr">
        <is>
          <t>16:10:00</t>
        </is>
      </c>
      <c r="J2711" s="4" t="n">
        <v>319</v>
      </c>
      <c r="K2711">
        <f>TEXT(TIMEVALUE(H2711)-TIMEVALUE(I2710)+(TIMEVALUE(H2711)&lt;TIMEVALUE(I2710)),"[h]:mm")</f>
        <v/>
      </c>
      <c r="L2711" s="4" t="inlineStr">
        <is>
          <t>01:35:00</t>
        </is>
      </c>
      <c r="O2711">
        <f>"LIM-"&amp;G2710&amp;"-LIM   LA "&amp;E2710&amp;" ("&amp;LEFT(H2710,5)&amp;"-"&amp;LEFT(I2710,5)&amp;" hrs)  /  LA "&amp;E2711&amp;" ("&amp;LEFT(H2711,5)&amp;"-"&amp;LEFT(I2711,5)&amp;" hrs)"</f>
        <v/>
      </c>
    </row>
    <row r="2712">
      <c r="J2712" s="8" t="inlineStr">
        <is>
          <t>PSV total:</t>
        </is>
      </c>
      <c r="K2712" s="9">
        <f>TEXT(TIMEVALUE(I2711)-TIMEVALUE(H2710)+(I2711&lt;H2710),"[h]:mm")</f>
        <v/>
      </c>
    </row>
    <row r="2714">
      <c r="B2714" s="3" t="inlineStr">
        <is>
          <t>Pairing ID</t>
        </is>
      </c>
      <c r="C2714" s="3" t="inlineStr">
        <is>
          <t>FECHA REAL</t>
        </is>
      </c>
      <c r="D2714" s="3" t="inlineStr">
        <is>
          <t>Day of Week</t>
        </is>
      </c>
      <c r="E2714" s="3" t="inlineStr">
        <is>
          <t>Flight No</t>
        </is>
      </c>
      <c r="F2714" s="3" t="inlineStr">
        <is>
          <t>Dep Stn</t>
        </is>
      </c>
      <c r="G2714" s="3" t="inlineStr">
        <is>
          <t>Arr Stn</t>
        </is>
      </c>
      <c r="H2714" s="3" t="inlineStr">
        <is>
          <t>STD</t>
        </is>
      </c>
      <c r="I2714" s="3" t="inlineStr">
        <is>
          <t>STA</t>
        </is>
      </c>
      <c r="J2714" s="3" t="inlineStr">
        <is>
          <t>subflota</t>
        </is>
      </c>
      <c r="K2714" s="3" t="inlineStr">
        <is>
          <t>Conexion</t>
        </is>
      </c>
      <c r="L2714" s="3" t="inlineStr">
        <is>
          <t>HBT</t>
        </is>
      </c>
    </row>
    <row r="2715">
      <c r="B2715" s="4" t="n">
        <v>2594</v>
      </c>
      <c r="C2715" s="4" t="inlineStr">
        <is>
          <t>30/09/2026</t>
        </is>
      </c>
      <c r="D2715" s="4" t="inlineStr">
        <is>
          <t>miércoles</t>
        </is>
      </c>
      <c r="E2715" s="4" t="n">
        <v>2270</v>
      </c>
      <c r="F2715" s="4" t="inlineStr">
        <is>
          <t>LIM</t>
        </is>
      </c>
      <c r="G2715" s="4" t="inlineStr">
        <is>
          <t>CIX</t>
        </is>
      </c>
      <c r="H2715" s="4" t="inlineStr">
        <is>
          <t>13:00:00</t>
        </is>
      </c>
      <c r="I2715" s="4" t="inlineStr">
        <is>
          <t>14:30:00</t>
        </is>
      </c>
      <c r="J2715" s="4" t="n">
        <v>319</v>
      </c>
      <c r="L2715" s="4" t="inlineStr">
        <is>
          <t>01:30:00</t>
        </is>
      </c>
      <c r="M2715" s="5" t="n"/>
      <c r="N2715" s="6" t="n"/>
      <c r="O2715" s="5" t="n"/>
      <c r="Q2715" s="4">
        <f>B2715</f>
        <v/>
      </c>
      <c r="R2715" s="4">
        <f>C2715</f>
        <v/>
      </c>
      <c r="S2715" s="4">
        <f>D2715</f>
        <v/>
      </c>
      <c r="T2715" s="4">
        <f>E2715&amp;"/"&amp;E2716</f>
        <v/>
      </c>
      <c r="U2715" s="4">
        <f>F2715&amp;"-"&amp;G2715&amp;"-"&amp;F2715</f>
        <v/>
      </c>
      <c r="V2715" s="4">
        <f>IF($M$2715="","",$M$2715)</f>
        <v/>
      </c>
      <c r="W2715" s="4">
        <f>IF($O$2715="","",$O$2715)</f>
        <v/>
      </c>
      <c r="X2715" s="4">
        <f>J2715</f>
        <v/>
      </c>
    </row>
    <row r="2716">
      <c r="B2716" s="4" t="n">
        <v>2594</v>
      </c>
      <c r="C2716" s="4" t="inlineStr">
        <is>
          <t>30/09/2026</t>
        </is>
      </c>
      <c r="D2716" s="4" t="inlineStr">
        <is>
          <t>miércoles</t>
        </is>
      </c>
      <c r="E2716" s="4" t="n">
        <v>2271</v>
      </c>
      <c r="F2716" s="4" t="inlineStr">
        <is>
          <t>CIX</t>
        </is>
      </c>
      <c r="G2716" s="4" t="inlineStr">
        <is>
          <t>LIM</t>
        </is>
      </c>
      <c r="H2716" s="4" t="inlineStr">
        <is>
          <t>15:05:00</t>
        </is>
      </c>
      <c r="I2716" s="4" t="inlineStr">
        <is>
          <t>16:20:00</t>
        </is>
      </c>
      <c r="J2716" s="4" t="n">
        <v>319</v>
      </c>
      <c r="K2716">
        <f>TEXT(TIMEVALUE(H2716)-TIMEVALUE(I2715)+(TIMEVALUE(H2716)&lt;TIMEVALUE(I2715)),"[h]:mm")</f>
        <v/>
      </c>
      <c r="L2716" s="4" t="inlineStr">
        <is>
          <t>01:15:00</t>
        </is>
      </c>
      <c r="O2716">
        <f>"LIM-"&amp;G2715&amp;"-LIM   LA "&amp;E2715&amp;" ("&amp;LEFT(H2715,5)&amp;"-"&amp;LEFT(I2715,5)&amp;" hrs)  /  LA "&amp;E2716&amp;" ("&amp;LEFT(H2716,5)&amp;"-"&amp;LEFT(I2716,5)&amp;" hrs)"</f>
        <v/>
      </c>
    </row>
    <row r="2717">
      <c r="J2717" s="8" t="inlineStr">
        <is>
          <t>PSV total:</t>
        </is>
      </c>
      <c r="K2717" s="9">
        <f>TEXT(TIMEVALUE(I2716)-TIMEVALUE(H2715)+(I2716&lt;H2715),"[h]:mm")</f>
        <v/>
      </c>
    </row>
    <row r="2719">
      <c r="B2719" s="3" t="inlineStr">
        <is>
          <t>Pairing ID</t>
        </is>
      </c>
      <c r="C2719" s="3" t="inlineStr">
        <is>
          <t>FECHA REAL</t>
        </is>
      </c>
      <c r="D2719" s="3" t="inlineStr">
        <is>
          <t>Day of Week</t>
        </is>
      </c>
      <c r="E2719" s="3" t="inlineStr">
        <is>
          <t>Flight No</t>
        </is>
      </c>
      <c r="F2719" s="3" t="inlineStr">
        <is>
          <t>Dep Stn</t>
        </is>
      </c>
      <c r="G2719" s="3" t="inlineStr">
        <is>
          <t>Arr Stn</t>
        </is>
      </c>
      <c r="H2719" s="3" t="inlineStr">
        <is>
          <t>STD</t>
        </is>
      </c>
      <c r="I2719" s="3" t="inlineStr">
        <is>
          <t>STA</t>
        </is>
      </c>
      <c r="J2719" s="3" t="inlineStr">
        <is>
          <t>subflota</t>
        </is>
      </c>
      <c r="K2719" s="3" t="inlineStr">
        <is>
          <t>Conexion</t>
        </is>
      </c>
      <c r="L2719" s="3" t="inlineStr">
        <is>
          <t>HBT</t>
        </is>
      </c>
    </row>
    <row r="2720">
      <c r="B2720" s="4" t="n">
        <v>2600</v>
      </c>
      <c r="C2720" s="4" t="inlineStr">
        <is>
          <t>30/09/2026</t>
        </is>
      </c>
      <c r="D2720" s="4" t="inlineStr">
        <is>
          <t>miércoles</t>
        </is>
      </c>
      <c r="E2720" s="4" t="n">
        <v>2022</v>
      </c>
      <c r="F2720" s="4" t="inlineStr">
        <is>
          <t>LIM</t>
        </is>
      </c>
      <c r="G2720" s="4" t="inlineStr">
        <is>
          <t>CUZ</t>
        </is>
      </c>
      <c r="H2720" s="4" t="inlineStr">
        <is>
          <t>14:30:00</t>
        </is>
      </c>
      <c r="I2720" s="4" t="inlineStr">
        <is>
          <t>15:50:00</t>
        </is>
      </c>
      <c r="J2720" s="4" t="n">
        <v>320</v>
      </c>
      <c r="L2720" s="4" t="inlineStr">
        <is>
          <t>01:20:00</t>
        </is>
      </c>
      <c r="M2720" s="5" t="n"/>
      <c r="N2720" s="6" t="n"/>
      <c r="O2720" s="5" t="n"/>
      <c r="Q2720" s="4">
        <f>B2720</f>
        <v/>
      </c>
      <c r="R2720" s="4">
        <f>C2720</f>
        <v/>
      </c>
      <c r="S2720" s="4">
        <f>D2720</f>
        <v/>
      </c>
      <c r="T2720" s="4">
        <f>E2720&amp;"/"&amp;E2721</f>
        <v/>
      </c>
      <c r="U2720" s="4">
        <f>F2720&amp;"-"&amp;G2720&amp;"-"&amp;F2720</f>
        <v/>
      </c>
      <c r="V2720" s="4">
        <f>IF($M$2720="","",$M$2720)</f>
        <v/>
      </c>
      <c r="W2720" s="4">
        <f>IF($O$2720="","",$O$2720)</f>
        <v/>
      </c>
      <c r="X2720" s="4">
        <f>J2720</f>
        <v/>
      </c>
    </row>
    <row r="2721">
      <c r="B2721" s="4" t="n">
        <v>2600</v>
      </c>
      <c r="C2721" s="4" t="inlineStr">
        <is>
          <t>30/09/2026</t>
        </is>
      </c>
      <c r="D2721" s="4" t="inlineStr">
        <is>
          <t>miércoles</t>
        </is>
      </c>
      <c r="E2721" s="4" t="n">
        <v>2025</v>
      </c>
      <c r="F2721" s="4" t="inlineStr">
        <is>
          <t>CUZ</t>
        </is>
      </c>
      <c r="G2721" s="4" t="inlineStr">
        <is>
          <t>LIM</t>
        </is>
      </c>
      <c r="H2721" s="4" t="inlineStr">
        <is>
          <t>16:35:00</t>
        </is>
      </c>
      <c r="I2721" s="4" t="inlineStr">
        <is>
          <t>18:10:00</t>
        </is>
      </c>
      <c r="J2721" s="4" t="n">
        <v>320</v>
      </c>
      <c r="K2721">
        <f>TEXT(TIMEVALUE(H2721)-TIMEVALUE(I2720)+(TIMEVALUE(H2721)&lt;TIMEVALUE(I2720)),"[h]:mm")</f>
        <v/>
      </c>
      <c r="L2721" s="4" t="inlineStr">
        <is>
          <t>01:35:00</t>
        </is>
      </c>
      <c r="O2721">
        <f>"LIM-"&amp;G2720&amp;"-LIM   LA "&amp;E2720&amp;" ("&amp;LEFT(H2720,5)&amp;"-"&amp;LEFT(I2720,5)&amp;" hrs)  /  LA "&amp;E2721&amp;" ("&amp;LEFT(H2721,5)&amp;"-"&amp;LEFT(I2721,5)&amp;" hrs)"</f>
        <v/>
      </c>
    </row>
    <row r="2722">
      <c r="J2722" s="8" t="inlineStr">
        <is>
          <t>PSV total:</t>
        </is>
      </c>
      <c r="K2722" s="9">
        <f>TEXT(TIMEVALUE(I2721)-TIMEVALUE(H2720)+(I2721&lt;H2720),"[h]:mm")</f>
        <v/>
      </c>
    </row>
    <row r="2724">
      <c r="B2724" s="3" t="inlineStr">
        <is>
          <t>Pairing ID</t>
        </is>
      </c>
      <c r="C2724" s="3" t="inlineStr">
        <is>
          <t>FECHA REAL</t>
        </is>
      </c>
      <c r="D2724" s="3" t="inlineStr">
        <is>
          <t>Day of Week</t>
        </is>
      </c>
      <c r="E2724" s="3" t="inlineStr">
        <is>
          <t>Flight No</t>
        </is>
      </c>
      <c r="F2724" s="3" t="inlineStr">
        <is>
          <t>Dep Stn</t>
        </is>
      </c>
      <c r="G2724" s="3" t="inlineStr">
        <is>
          <t>Arr Stn</t>
        </is>
      </c>
      <c r="H2724" s="3" t="inlineStr">
        <is>
          <t>STD</t>
        </is>
      </c>
      <c r="I2724" s="3" t="inlineStr">
        <is>
          <t>STA</t>
        </is>
      </c>
      <c r="J2724" s="3" t="inlineStr">
        <is>
          <t>subflota</t>
        </is>
      </c>
      <c r="K2724" s="3" t="inlineStr">
        <is>
          <t>Conexion</t>
        </is>
      </c>
      <c r="L2724" s="3" t="inlineStr">
        <is>
          <t>HBT</t>
        </is>
      </c>
    </row>
    <row r="2725">
      <c r="B2725" s="4" t="n">
        <v>2601</v>
      </c>
      <c r="C2725" s="4" t="inlineStr">
        <is>
          <t>30/09/2026</t>
        </is>
      </c>
      <c r="D2725" s="4" t="inlineStr">
        <is>
          <t>miércoles</t>
        </is>
      </c>
      <c r="E2725" s="4" t="n">
        <v>2282</v>
      </c>
      <c r="F2725" s="4" t="inlineStr">
        <is>
          <t>LIM</t>
        </is>
      </c>
      <c r="G2725" s="4" t="inlineStr">
        <is>
          <t>CIX</t>
        </is>
      </c>
      <c r="H2725" s="4" t="inlineStr">
        <is>
          <t>14:45:00</t>
        </is>
      </c>
      <c r="I2725" s="4" t="inlineStr">
        <is>
          <t>16:15:00</t>
        </is>
      </c>
      <c r="J2725" s="4" t="n">
        <v>319</v>
      </c>
      <c r="L2725" s="4" t="inlineStr">
        <is>
          <t>01:30:00</t>
        </is>
      </c>
      <c r="M2725" s="5" t="n"/>
      <c r="N2725" s="6" t="n"/>
      <c r="O2725" s="5" t="n"/>
      <c r="Q2725" s="4">
        <f>B2725</f>
        <v/>
      </c>
      <c r="R2725" s="4">
        <f>C2725</f>
        <v/>
      </c>
      <c r="S2725" s="4">
        <f>D2725</f>
        <v/>
      </c>
      <c r="T2725" s="4">
        <f>E2725&amp;"/"&amp;E2726</f>
        <v/>
      </c>
      <c r="U2725" s="4">
        <f>F2725&amp;"-"&amp;G2725&amp;"-"&amp;F2725</f>
        <v/>
      </c>
      <c r="V2725" s="4">
        <f>IF($M$2725="","",$M$2725)</f>
        <v/>
      </c>
      <c r="W2725" s="4">
        <f>IF($O$2725="","",$O$2725)</f>
        <v/>
      </c>
      <c r="X2725" s="4">
        <f>J2725</f>
        <v/>
      </c>
    </row>
    <row r="2726">
      <c r="B2726" s="4" t="n">
        <v>2601</v>
      </c>
      <c r="C2726" s="4" t="inlineStr">
        <is>
          <t>30/09/2026</t>
        </is>
      </c>
      <c r="D2726" s="4" t="inlineStr">
        <is>
          <t>miércoles</t>
        </is>
      </c>
      <c r="E2726" s="4" t="n">
        <v>2283</v>
      </c>
      <c r="F2726" s="4" t="inlineStr">
        <is>
          <t>CIX</t>
        </is>
      </c>
      <c r="G2726" s="4" t="inlineStr">
        <is>
          <t>LIM</t>
        </is>
      </c>
      <c r="H2726" s="4" t="inlineStr">
        <is>
          <t>16:50:00</t>
        </is>
      </c>
      <c r="I2726" s="4" t="inlineStr">
        <is>
          <t>18:10:00</t>
        </is>
      </c>
      <c r="J2726" s="4" t="n">
        <v>319</v>
      </c>
      <c r="K2726">
        <f>TEXT(TIMEVALUE(H2726)-TIMEVALUE(I2725)+(TIMEVALUE(H2726)&lt;TIMEVALUE(I2725)),"[h]:mm")</f>
        <v/>
      </c>
      <c r="L2726" s="4" t="inlineStr">
        <is>
          <t>01:20:00</t>
        </is>
      </c>
      <c r="O2726">
        <f>"LIM-"&amp;G2725&amp;"-LIM   LA "&amp;E2725&amp;" ("&amp;LEFT(H2725,5)&amp;"-"&amp;LEFT(I2725,5)&amp;" hrs)  /  LA "&amp;E2726&amp;" ("&amp;LEFT(H2726,5)&amp;"-"&amp;LEFT(I2726,5)&amp;" hrs)"</f>
        <v/>
      </c>
    </row>
    <row r="2727">
      <c r="J2727" s="8" t="inlineStr">
        <is>
          <t>PSV total:</t>
        </is>
      </c>
      <c r="K2727" s="9">
        <f>TEXT(TIMEVALUE(I2726)-TIMEVALUE(H2725)+(I2726&lt;H2725),"[h]:mm")</f>
        <v/>
      </c>
    </row>
    <row r="2729">
      <c r="B2729" s="3" t="inlineStr">
        <is>
          <t>Pairing ID</t>
        </is>
      </c>
      <c r="C2729" s="3" t="inlineStr">
        <is>
          <t>FECHA REAL</t>
        </is>
      </c>
      <c r="D2729" s="3" t="inlineStr">
        <is>
          <t>Day of Week</t>
        </is>
      </c>
      <c r="E2729" s="3" t="inlineStr">
        <is>
          <t>Flight No</t>
        </is>
      </c>
      <c r="F2729" s="3" t="inlineStr">
        <is>
          <t>Dep Stn</t>
        </is>
      </c>
      <c r="G2729" s="3" t="inlineStr">
        <is>
          <t>Arr Stn</t>
        </is>
      </c>
      <c r="H2729" s="3" t="inlineStr">
        <is>
          <t>STD</t>
        </is>
      </c>
      <c r="I2729" s="3" t="inlineStr">
        <is>
          <t>STA</t>
        </is>
      </c>
      <c r="J2729" s="3" t="inlineStr">
        <is>
          <t>subflota</t>
        </is>
      </c>
      <c r="K2729" s="3" t="inlineStr">
        <is>
          <t>Conexion</t>
        </is>
      </c>
      <c r="L2729" s="3" t="inlineStr">
        <is>
          <t>HBT</t>
        </is>
      </c>
    </row>
    <row r="2730">
      <c r="B2730" s="4" t="n">
        <v>2602</v>
      </c>
      <c r="C2730" s="4" t="inlineStr">
        <is>
          <t>30/09/2026</t>
        </is>
      </c>
      <c r="D2730" s="4" t="inlineStr">
        <is>
          <t>miércoles</t>
        </is>
      </c>
      <c r="E2730" s="4" t="n">
        <v>2338</v>
      </c>
      <c r="F2730" s="4" t="inlineStr">
        <is>
          <t>LIM</t>
        </is>
      </c>
      <c r="G2730" s="4" t="inlineStr">
        <is>
          <t>PIU</t>
        </is>
      </c>
      <c r="H2730" s="4" t="inlineStr">
        <is>
          <t>15:00:00</t>
        </is>
      </c>
      <c r="I2730" s="4" t="inlineStr">
        <is>
          <t>16:45:00</t>
        </is>
      </c>
      <c r="J2730" s="4" t="n">
        <v>320</v>
      </c>
      <c r="L2730" s="4" t="inlineStr">
        <is>
          <t>01:45:00</t>
        </is>
      </c>
      <c r="M2730" s="5" t="n"/>
      <c r="N2730" s="6" t="n"/>
      <c r="O2730" s="5" t="n"/>
      <c r="Q2730" s="4">
        <f>B2730</f>
        <v/>
      </c>
      <c r="R2730" s="4">
        <f>C2730</f>
        <v/>
      </c>
      <c r="S2730" s="4">
        <f>D2730</f>
        <v/>
      </c>
      <c r="T2730" s="4">
        <f>E2730&amp;"/"&amp;E2731</f>
        <v/>
      </c>
      <c r="U2730" s="4">
        <f>F2730&amp;"-"&amp;G2730&amp;"-"&amp;F2730</f>
        <v/>
      </c>
      <c r="V2730" s="4">
        <f>IF($M$2730="","",$M$2730)</f>
        <v/>
      </c>
      <c r="W2730" s="4">
        <f>IF($O$2730="","",$O$2730)</f>
        <v/>
      </c>
      <c r="X2730" s="4">
        <f>J2730</f>
        <v/>
      </c>
    </row>
    <row r="2731">
      <c r="B2731" s="4" t="n">
        <v>2602</v>
      </c>
      <c r="C2731" s="4" t="inlineStr">
        <is>
          <t>30/09/2026</t>
        </is>
      </c>
      <c r="D2731" s="4" t="inlineStr">
        <is>
          <t>miércoles</t>
        </is>
      </c>
      <c r="E2731" s="4" t="n">
        <v>2339</v>
      </c>
      <c r="F2731" s="4" t="inlineStr">
        <is>
          <t>PIU</t>
        </is>
      </c>
      <c r="G2731" s="4" t="inlineStr">
        <is>
          <t>LIM</t>
        </is>
      </c>
      <c r="H2731" s="4" t="inlineStr">
        <is>
          <t>17:20:00</t>
        </is>
      </c>
      <c r="I2731" s="4" t="inlineStr">
        <is>
          <t>18:50:00</t>
        </is>
      </c>
      <c r="J2731" s="4" t="n">
        <v>320</v>
      </c>
      <c r="K2731">
        <f>TEXT(TIMEVALUE(H2731)-TIMEVALUE(I2730)+(TIMEVALUE(H2731)&lt;TIMEVALUE(I2730)),"[h]:mm")</f>
        <v/>
      </c>
      <c r="L2731" s="4" t="inlineStr">
        <is>
          <t>01:30:00</t>
        </is>
      </c>
      <c r="O2731">
        <f>"LIM-"&amp;G2730&amp;"-LIM   LA "&amp;E2730&amp;" ("&amp;LEFT(H2730,5)&amp;"-"&amp;LEFT(I2730,5)&amp;" hrs)  /  LA "&amp;E2731&amp;" ("&amp;LEFT(H2731,5)&amp;"-"&amp;LEFT(I2731,5)&amp;" hrs)"</f>
        <v/>
      </c>
    </row>
    <row r="2732">
      <c r="J2732" s="8" t="inlineStr">
        <is>
          <t>PSV total:</t>
        </is>
      </c>
      <c r="K2732" s="9">
        <f>TEXT(TIMEVALUE(I2731)-TIMEVALUE(H2730)+(I2731&lt;H2730),"[h]:mm")</f>
        <v/>
      </c>
    </row>
    <row r="2734">
      <c r="B2734" s="3" t="inlineStr">
        <is>
          <t>Pairing ID</t>
        </is>
      </c>
      <c r="C2734" s="3" t="inlineStr">
        <is>
          <t>FECHA REAL</t>
        </is>
      </c>
      <c r="D2734" s="3" t="inlineStr">
        <is>
          <t>Day of Week</t>
        </is>
      </c>
      <c r="E2734" s="3" t="inlineStr">
        <is>
          <t>Flight No</t>
        </is>
      </c>
      <c r="F2734" s="3" t="inlineStr">
        <is>
          <t>Dep Stn</t>
        </is>
      </c>
      <c r="G2734" s="3" t="inlineStr">
        <is>
          <t>Arr Stn</t>
        </is>
      </c>
      <c r="H2734" s="3" t="inlineStr">
        <is>
          <t>STD</t>
        </is>
      </c>
      <c r="I2734" s="3" t="inlineStr">
        <is>
          <t>STA</t>
        </is>
      </c>
      <c r="J2734" s="3" t="inlineStr">
        <is>
          <t>subflota</t>
        </is>
      </c>
      <c r="K2734" s="3" t="inlineStr">
        <is>
          <t>Conexion</t>
        </is>
      </c>
      <c r="L2734" s="3" t="inlineStr">
        <is>
          <t>HBT</t>
        </is>
      </c>
    </row>
    <row r="2735">
      <c r="B2735" s="4" t="n">
        <v>2603</v>
      </c>
      <c r="C2735" s="4" t="inlineStr">
        <is>
          <t>30/09/2026</t>
        </is>
      </c>
      <c r="D2735" s="4" t="inlineStr">
        <is>
          <t>miércoles</t>
        </is>
      </c>
      <c r="E2735" s="4" t="n">
        <v>2113</v>
      </c>
      <c r="F2735" s="4" t="inlineStr">
        <is>
          <t>LIM</t>
        </is>
      </c>
      <c r="G2735" s="4" t="inlineStr">
        <is>
          <t>AQP</t>
        </is>
      </c>
      <c r="H2735" s="4" t="inlineStr">
        <is>
          <t>15:05:00</t>
        </is>
      </c>
      <c r="I2735" s="4" t="inlineStr">
        <is>
          <t>16:35:00</t>
        </is>
      </c>
      <c r="J2735" s="4" t="n">
        <v>320</v>
      </c>
      <c r="L2735" s="4" t="inlineStr">
        <is>
          <t>01:30:00</t>
        </is>
      </c>
      <c r="M2735" s="5" t="n"/>
      <c r="N2735" s="6" t="n"/>
      <c r="O2735" s="5" t="n"/>
      <c r="Q2735" s="4">
        <f>B2735</f>
        <v/>
      </c>
      <c r="R2735" s="4">
        <f>C2735</f>
        <v/>
      </c>
      <c r="S2735" s="4">
        <f>D2735</f>
        <v/>
      </c>
      <c r="T2735" s="4">
        <f>E2735&amp;"/"&amp;E2736</f>
        <v/>
      </c>
      <c r="U2735" s="4">
        <f>F2735&amp;"-"&amp;G2735&amp;"-"&amp;F2735</f>
        <v/>
      </c>
      <c r="V2735" s="4">
        <f>IF($M$2735="","",$M$2735)</f>
        <v/>
      </c>
      <c r="W2735" s="4">
        <f>IF($O$2735="","",$O$2735)</f>
        <v/>
      </c>
      <c r="X2735" s="4">
        <f>J2735</f>
        <v/>
      </c>
    </row>
    <row r="2736">
      <c r="B2736" s="4" t="n">
        <v>2603</v>
      </c>
      <c r="C2736" s="4" t="inlineStr">
        <is>
          <t>30/09/2026</t>
        </is>
      </c>
      <c r="D2736" s="4" t="inlineStr">
        <is>
          <t>miércoles</t>
        </is>
      </c>
      <c r="E2736" s="4" t="n">
        <v>2112</v>
      </c>
      <c r="F2736" s="4" t="inlineStr">
        <is>
          <t>AQP</t>
        </is>
      </c>
      <c r="G2736" s="4" t="inlineStr">
        <is>
          <t>LIM</t>
        </is>
      </c>
      <c r="H2736" s="4" t="inlineStr">
        <is>
          <t>17:15:00</t>
        </is>
      </c>
      <c r="I2736" s="4" t="inlineStr">
        <is>
          <t>18:55:00</t>
        </is>
      </c>
      <c r="J2736" s="4" t="n">
        <v>320</v>
      </c>
      <c r="K2736">
        <f>TEXT(TIMEVALUE(H2736)-TIMEVALUE(I2735)+(TIMEVALUE(H2736)&lt;TIMEVALUE(I2735)),"[h]:mm")</f>
        <v/>
      </c>
      <c r="L2736" s="4" t="inlineStr">
        <is>
          <t>01:40:00</t>
        </is>
      </c>
      <c r="O2736">
        <f>"LIM-"&amp;G2735&amp;"-LIM   LA "&amp;E2735&amp;" ("&amp;LEFT(H2735,5)&amp;"-"&amp;LEFT(I2735,5)&amp;" hrs)  /  LA "&amp;E2736&amp;" ("&amp;LEFT(H2736,5)&amp;"-"&amp;LEFT(I2736,5)&amp;" hrs)"</f>
        <v/>
      </c>
    </row>
    <row r="2737">
      <c r="J2737" s="8" t="inlineStr">
        <is>
          <t>PSV total:</t>
        </is>
      </c>
      <c r="K2737" s="9">
        <f>TEXT(TIMEVALUE(I2736)-TIMEVALUE(H2735)+(I2736&lt;H2735),"[h]:mm")</f>
        <v/>
      </c>
    </row>
    <row r="2739">
      <c r="B2739" s="3" t="inlineStr">
        <is>
          <t>Pairing ID</t>
        </is>
      </c>
      <c r="C2739" s="3" t="inlineStr">
        <is>
          <t>FECHA REAL</t>
        </is>
      </c>
      <c r="D2739" s="3" t="inlineStr">
        <is>
          <t>Day of Week</t>
        </is>
      </c>
      <c r="E2739" s="3" t="inlineStr">
        <is>
          <t>Flight No</t>
        </is>
      </c>
      <c r="F2739" s="3" t="inlineStr">
        <is>
          <t>Dep Stn</t>
        </is>
      </c>
      <c r="G2739" s="3" t="inlineStr">
        <is>
          <t>Arr Stn</t>
        </is>
      </c>
      <c r="H2739" s="3" t="inlineStr">
        <is>
          <t>STD</t>
        </is>
      </c>
      <c r="I2739" s="3" t="inlineStr">
        <is>
          <t>STA</t>
        </is>
      </c>
      <c r="J2739" s="3" t="inlineStr">
        <is>
          <t>subflota</t>
        </is>
      </c>
      <c r="K2739" s="3" t="inlineStr">
        <is>
          <t>Conexion</t>
        </is>
      </c>
      <c r="L2739" s="3" t="inlineStr">
        <is>
          <t>HBT</t>
        </is>
      </c>
    </row>
    <row r="2740">
      <c r="B2740" s="4" t="n">
        <v>2605</v>
      </c>
      <c r="C2740" s="4" t="inlineStr">
        <is>
          <t>30/09/2026</t>
        </is>
      </c>
      <c r="D2740" s="4" t="inlineStr">
        <is>
          <t>miércoles</t>
        </is>
      </c>
      <c r="E2740" s="4" t="n">
        <v>2360</v>
      </c>
      <c r="F2740" s="4" t="inlineStr">
        <is>
          <t>LIM</t>
        </is>
      </c>
      <c r="G2740" s="4" t="inlineStr">
        <is>
          <t>PCL</t>
        </is>
      </c>
      <c r="H2740" s="4" t="inlineStr">
        <is>
          <t>15:25:00</t>
        </is>
      </c>
      <c r="I2740" s="4" t="inlineStr">
        <is>
          <t>16:40:00</t>
        </is>
      </c>
      <c r="J2740" s="4" t="n">
        <v>320</v>
      </c>
      <c r="L2740" s="4" t="inlineStr">
        <is>
          <t>01:15:00</t>
        </is>
      </c>
      <c r="M2740" s="5" t="n"/>
      <c r="N2740" s="6" t="n"/>
      <c r="O2740" s="5" t="n"/>
      <c r="Q2740" s="4">
        <f>B2740</f>
        <v/>
      </c>
      <c r="R2740" s="4">
        <f>C2740</f>
        <v/>
      </c>
      <c r="S2740" s="4">
        <f>D2740</f>
        <v/>
      </c>
      <c r="T2740" s="4">
        <f>E2740&amp;"/"&amp;E2741</f>
        <v/>
      </c>
      <c r="U2740" s="4">
        <f>F2740&amp;"-"&amp;G2740&amp;"-"&amp;F2740</f>
        <v/>
      </c>
      <c r="V2740" s="4">
        <f>IF($M$2740="","",$M$2740)</f>
        <v/>
      </c>
      <c r="W2740" s="4">
        <f>IF($O$2740="","",$O$2740)</f>
        <v/>
      </c>
      <c r="X2740" s="4">
        <f>J2740</f>
        <v/>
      </c>
    </row>
    <row r="2741">
      <c r="B2741" s="4" t="n">
        <v>2605</v>
      </c>
      <c r="C2741" s="4" t="inlineStr">
        <is>
          <t>30/09/2026</t>
        </is>
      </c>
      <c r="D2741" s="4" t="inlineStr">
        <is>
          <t>miércoles</t>
        </is>
      </c>
      <c r="E2741" s="4" t="n">
        <v>2361</v>
      </c>
      <c r="F2741" s="4" t="inlineStr">
        <is>
          <t>PCL</t>
        </is>
      </c>
      <c r="G2741" s="4" t="inlineStr">
        <is>
          <t>LIM</t>
        </is>
      </c>
      <c r="H2741" s="4" t="inlineStr">
        <is>
          <t>17:20:00</t>
        </is>
      </c>
      <c r="I2741" s="4" t="inlineStr">
        <is>
          <t>18:35:00</t>
        </is>
      </c>
      <c r="J2741" s="4" t="n">
        <v>320</v>
      </c>
      <c r="K2741">
        <f>TEXT(TIMEVALUE(H2741)-TIMEVALUE(I2740)+(TIMEVALUE(H2741)&lt;TIMEVALUE(I2740)),"[h]:mm")</f>
        <v/>
      </c>
      <c r="L2741" s="4" t="inlineStr">
        <is>
          <t>01:15:00</t>
        </is>
      </c>
      <c r="O2741">
        <f>"LIM-"&amp;G2740&amp;"-LIM   LA "&amp;E2740&amp;" ("&amp;LEFT(H2740,5)&amp;"-"&amp;LEFT(I2740,5)&amp;" hrs)  /  LA "&amp;E2741&amp;" ("&amp;LEFT(H2741,5)&amp;"-"&amp;LEFT(I2741,5)&amp;" hrs)"</f>
        <v/>
      </c>
    </row>
    <row r="2742">
      <c r="J2742" s="8" t="inlineStr">
        <is>
          <t>PSV total:</t>
        </is>
      </c>
      <c r="K2742" s="9">
        <f>TEXT(TIMEVALUE(I2741)-TIMEVALUE(H2740)+(I2741&lt;H2740),"[h]:mm")</f>
        <v/>
      </c>
    </row>
    <row r="2744">
      <c r="B2744" s="3" t="inlineStr">
        <is>
          <t>Pairing ID</t>
        </is>
      </c>
      <c r="C2744" s="3" t="inlineStr">
        <is>
          <t>FECHA REAL</t>
        </is>
      </c>
      <c r="D2744" s="3" t="inlineStr">
        <is>
          <t>Day of Week</t>
        </is>
      </c>
      <c r="E2744" s="3" t="inlineStr">
        <is>
          <t>Flight No</t>
        </is>
      </c>
      <c r="F2744" s="3" t="inlineStr">
        <is>
          <t>Dep Stn</t>
        </is>
      </c>
      <c r="G2744" s="3" t="inlineStr">
        <is>
          <t>Arr Stn</t>
        </is>
      </c>
      <c r="H2744" s="3" t="inlineStr">
        <is>
          <t>STD</t>
        </is>
      </c>
      <c r="I2744" s="3" t="inlineStr">
        <is>
          <t>STA</t>
        </is>
      </c>
      <c r="J2744" s="3" t="inlineStr">
        <is>
          <t>subflota</t>
        </is>
      </c>
      <c r="K2744" s="3" t="inlineStr">
        <is>
          <t>Conexion</t>
        </is>
      </c>
      <c r="L2744" s="3" t="inlineStr">
        <is>
          <t>HBT</t>
        </is>
      </c>
    </row>
    <row r="2745">
      <c r="B2745" s="4" t="n">
        <v>2606</v>
      </c>
      <c r="C2745" s="4" t="inlineStr">
        <is>
          <t>30/09/2026</t>
        </is>
      </c>
      <c r="D2745" s="4" t="inlineStr">
        <is>
          <t>miércoles</t>
        </is>
      </c>
      <c r="E2745" s="4" t="n">
        <v>2312</v>
      </c>
      <c r="F2745" s="4" t="inlineStr">
        <is>
          <t>LIM</t>
        </is>
      </c>
      <c r="G2745" s="4" t="inlineStr">
        <is>
          <t>CIX</t>
        </is>
      </c>
      <c r="H2745" s="4" t="inlineStr">
        <is>
          <t>15:35:00</t>
        </is>
      </c>
      <c r="I2745" s="4" t="inlineStr">
        <is>
          <t>17:05:00</t>
        </is>
      </c>
      <c r="J2745" s="4" t="n">
        <v>320</v>
      </c>
      <c r="L2745" s="4" t="inlineStr">
        <is>
          <t>01:30:00</t>
        </is>
      </c>
      <c r="M2745" s="5" t="n"/>
      <c r="N2745" s="6" t="n"/>
      <c r="O2745" s="5" t="n"/>
      <c r="Q2745" s="4">
        <f>B2745</f>
        <v/>
      </c>
      <c r="R2745" s="4">
        <f>C2745</f>
        <v/>
      </c>
      <c r="S2745" s="4">
        <f>D2745</f>
        <v/>
      </c>
      <c r="T2745" s="4">
        <f>E2745&amp;"/"&amp;E2746</f>
        <v/>
      </c>
      <c r="U2745" s="4">
        <f>F2745&amp;"-"&amp;G2745&amp;"-"&amp;F2745</f>
        <v/>
      </c>
      <c r="V2745" s="4">
        <f>IF($M$2745="","",$M$2745)</f>
        <v/>
      </c>
      <c r="W2745" s="4">
        <f>IF($O$2745="","",$O$2745)</f>
        <v/>
      </c>
      <c r="X2745" s="4">
        <f>J2745</f>
        <v/>
      </c>
    </row>
    <row r="2746">
      <c r="B2746" s="4" t="n">
        <v>2606</v>
      </c>
      <c r="C2746" s="4" t="inlineStr">
        <is>
          <t>30/09/2026</t>
        </is>
      </c>
      <c r="D2746" s="4" t="inlineStr">
        <is>
          <t>miércoles</t>
        </is>
      </c>
      <c r="E2746" s="4" t="n">
        <v>2313</v>
      </c>
      <c r="F2746" s="4" t="inlineStr">
        <is>
          <t>CIX</t>
        </is>
      </c>
      <c r="G2746" s="4" t="inlineStr">
        <is>
          <t>LIM</t>
        </is>
      </c>
      <c r="H2746" s="4" t="inlineStr">
        <is>
          <t>17:50:00</t>
        </is>
      </c>
      <c r="I2746" s="4" t="inlineStr">
        <is>
          <t>19:10:00</t>
        </is>
      </c>
      <c r="J2746" s="4" t="n">
        <v>320</v>
      </c>
      <c r="K2746">
        <f>TEXT(TIMEVALUE(H2746)-TIMEVALUE(I2745)+(TIMEVALUE(H2746)&lt;TIMEVALUE(I2745)),"[h]:mm")</f>
        <v/>
      </c>
      <c r="L2746" s="4" t="inlineStr">
        <is>
          <t>01:20:00</t>
        </is>
      </c>
      <c r="O2746">
        <f>"LIM-"&amp;G2745&amp;"-LIM   LA "&amp;E2745&amp;" ("&amp;LEFT(H2745,5)&amp;"-"&amp;LEFT(I2745,5)&amp;" hrs)  /  LA "&amp;E2746&amp;" ("&amp;LEFT(H2746,5)&amp;"-"&amp;LEFT(I2746,5)&amp;" hrs)"</f>
        <v/>
      </c>
    </row>
    <row r="2747">
      <c r="J2747" s="8" t="inlineStr">
        <is>
          <t>PSV total:</t>
        </is>
      </c>
      <c r="K2747" s="9">
        <f>TEXT(TIMEVALUE(I2746)-TIMEVALUE(H2745)+(I2746&lt;H2745),"[h]:mm")</f>
        <v/>
      </c>
    </row>
    <row r="2749">
      <c r="B2749" s="3" t="inlineStr">
        <is>
          <t>Pairing ID</t>
        </is>
      </c>
      <c r="C2749" s="3" t="inlineStr">
        <is>
          <t>FECHA REAL</t>
        </is>
      </c>
      <c r="D2749" s="3" t="inlineStr">
        <is>
          <t>Day of Week</t>
        </is>
      </c>
      <c r="E2749" s="3" t="inlineStr">
        <is>
          <t>Flight No</t>
        </is>
      </c>
      <c r="F2749" s="3" t="inlineStr">
        <is>
          <t>Dep Stn</t>
        </is>
      </c>
      <c r="G2749" s="3" t="inlineStr">
        <is>
          <t>Arr Stn</t>
        </is>
      </c>
      <c r="H2749" s="3" t="inlineStr">
        <is>
          <t>STD</t>
        </is>
      </c>
      <c r="I2749" s="3" t="inlineStr">
        <is>
          <t>STA</t>
        </is>
      </c>
      <c r="J2749" s="3" t="inlineStr">
        <is>
          <t>subflota</t>
        </is>
      </c>
      <c r="K2749" s="3" t="inlineStr">
        <is>
          <t>Conexion</t>
        </is>
      </c>
      <c r="L2749" s="3" t="inlineStr">
        <is>
          <t>HBT</t>
        </is>
      </c>
    </row>
    <row r="2750">
      <c r="B2750" s="4" t="n">
        <v>2607</v>
      </c>
      <c r="C2750" s="4" t="inlineStr">
        <is>
          <t>30/09/2026</t>
        </is>
      </c>
      <c r="D2750" s="4" t="inlineStr">
        <is>
          <t>miércoles</t>
        </is>
      </c>
      <c r="E2750" s="4" t="n">
        <v>2312</v>
      </c>
      <c r="F2750" s="4" t="inlineStr">
        <is>
          <t>LIM</t>
        </is>
      </c>
      <c r="G2750" s="4" t="inlineStr">
        <is>
          <t>CIX</t>
        </is>
      </c>
      <c r="H2750" s="4" t="inlineStr">
        <is>
          <t>15:35:00</t>
        </is>
      </c>
      <c r="I2750" s="4" t="inlineStr">
        <is>
          <t>17:05:00</t>
        </is>
      </c>
      <c r="J2750" s="4" t="n">
        <v>320</v>
      </c>
      <c r="L2750" s="4" t="inlineStr">
        <is>
          <t>01:30:00</t>
        </is>
      </c>
      <c r="M2750" s="5" t="n"/>
      <c r="N2750" s="6" t="n"/>
      <c r="O2750" s="5" t="n"/>
      <c r="Q2750" s="4">
        <f>B2750</f>
        <v/>
      </c>
      <c r="R2750" s="4">
        <f>C2750</f>
        <v/>
      </c>
      <c r="S2750" s="4">
        <f>D2750</f>
        <v/>
      </c>
      <c r="T2750" s="4">
        <f>E2750&amp;"/"&amp;E2751</f>
        <v/>
      </c>
      <c r="U2750" s="4">
        <f>F2750&amp;"-"&amp;G2750&amp;"-"&amp;F2750</f>
        <v/>
      </c>
      <c r="V2750" s="4">
        <f>IF($M$2750="","",$M$2750)</f>
        <v/>
      </c>
      <c r="W2750" s="4">
        <f>IF($O$2750="","",$O$2750)</f>
        <v/>
      </c>
      <c r="X2750" s="4">
        <f>J2750</f>
        <v/>
      </c>
    </row>
    <row r="2751">
      <c r="B2751" s="4" t="n">
        <v>2607</v>
      </c>
      <c r="C2751" s="4" t="inlineStr">
        <is>
          <t>30/09/2026</t>
        </is>
      </c>
      <c r="D2751" s="4" t="inlineStr">
        <is>
          <t>miércoles</t>
        </is>
      </c>
      <c r="E2751" s="4" t="n">
        <v>2313</v>
      </c>
      <c r="F2751" s="4" t="inlineStr">
        <is>
          <t>CIX</t>
        </is>
      </c>
      <c r="G2751" s="4" t="inlineStr">
        <is>
          <t>LIM</t>
        </is>
      </c>
      <c r="H2751" s="4" t="inlineStr">
        <is>
          <t>17:50:00</t>
        </is>
      </c>
      <c r="I2751" s="4" t="inlineStr">
        <is>
          <t>19:10:00</t>
        </is>
      </c>
      <c r="J2751" s="4" t="n">
        <v>320</v>
      </c>
      <c r="K2751">
        <f>TEXT(TIMEVALUE(H2751)-TIMEVALUE(I2750)+(TIMEVALUE(H2751)&lt;TIMEVALUE(I2750)),"[h]:mm")</f>
        <v/>
      </c>
      <c r="L2751" s="4" t="inlineStr">
        <is>
          <t>01:20:00</t>
        </is>
      </c>
      <c r="O2751">
        <f>"LIM-"&amp;G2750&amp;"-LIM   LA "&amp;E2750&amp;" ("&amp;LEFT(H2750,5)&amp;"-"&amp;LEFT(I2750,5)&amp;" hrs)  /  LA "&amp;E2751&amp;" ("&amp;LEFT(H2751,5)&amp;"-"&amp;LEFT(I2751,5)&amp;" hrs)"</f>
        <v/>
      </c>
    </row>
    <row r="2752">
      <c r="J2752" s="8" t="inlineStr">
        <is>
          <t>PSV total:</t>
        </is>
      </c>
      <c r="K2752" s="9">
        <f>TEXT(TIMEVALUE(I2751)-TIMEVALUE(H2750)+(I2751&lt;H2750),"[h]:mm")</f>
        <v/>
      </c>
    </row>
    <row r="2754">
      <c r="B2754" s="3" t="inlineStr">
        <is>
          <t>Pairing ID</t>
        </is>
      </c>
      <c r="C2754" s="3" t="inlineStr">
        <is>
          <t>FECHA REAL</t>
        </is>
      </c>
      <c r="D2754" s="3" t="inlineStr">
        <is>
          <t>Day of Week</t>
        </is>
      </c>
      <c r="E2754" s="3" t="inlineStr">
        <is>
          <t>Flight No</t>
        </is>
      </c>
      <c r="F2754" s="3" t="inlineStr">
        <is>
          <t>Dep Stn</t>
        </is>
      </c>
      <c r="G2754" s="3" t="inlineStr">
        <is>
          <t>Arr Stn</t>
        </is>
      </c>
      <c r="H2754" s="3" t="inlineStr">
        <is>
          <t>STD</t>
        </is>
      </c>
      <c r="I2754" s="3" t="inlineStr">
        <is>
          <t>STA</t>
        </is>
      </c>
      <c r="J2754" s="3" t="inlineStr">
        <is>
          <t>subflota</t>
        </is>
      </c>
      <c r="K2754" s="3" t="inlineStr">
        <is>
          <t>Conexion</t>
        </is>
      </c>
      <c r="L2754" s="3" t="inlineStr">
        <is>
          <t>HBT</t>
        </is>
      </c>
    </row>
    <row r="2755">
      <c r="B2755" s="4" t="n">
        <v>2608</v>
      </c>
      <c r="C2755" s="4" t="inlineStr">
        <is>
          <t>30/09/2026</t>
        </is>
      </c>
      <c r="D2755" s="4" t="inlineStr">
        <is>
          <t>miércoles</t>
        </is>
      </c>
      <c r="E2755" s="4" t="n">
        <v>2301</v>
      </c>
      <c r="F2755" s="4" t="inlineStr">
        <is>
          <t>LIM</t>
        </is>
      </c>
      <c r="G2755" s="4" t="inlineStr">
        <is>
          <t>TPP</t>
        </is>
      </c>
      <c r="H2755" s="4" t="inlineStr">
        <is>
          <t>15:40:00</t>
        </is>
      </c>
      <c r="I2755" s="4" t="inlineStr">
        <is>
          <t>17:05:00</t>
        </is>
      </c>
      <c r="J2755" s="4" t="n">
        <v>319</v>
      </c>
      <c r="L2755" s="4" t="inlineStr">
        <is>
          <t>01:25:00</t>
        </is>
      </c>
      <c r="M2755" s="5" t="n"/>
      <c r="N2755" s="6" t="n"/>
      <c r="O2755" s="5" t="n"/>
      <c r="Q2755" s="4">
        <f>B2755</f>
        <v/>
      </c>
      <c r="R2755" s="4">
        <f>C2755</f>
        <v/>
      </c>
      <c r="S2755" s="4">
        <f>D2755</f>
        <v/>
      </c>
      <c r="T2755" s="4">
        <f>E2755&amp;"/"&amp;E2756</f>
        <v/>
      </c>
      <c r="U2755" s="4">
        <f>F2755&amp;"-"&amp;G2755&amp;"-"&amp;F2755</f>
        <v/>
      </c>
      <c r="V2755" s="4">
        <f>IF($M$2755="","",$M$2755)</f>
        <v/>
      </c>
      <c r="W2755" s="4">
        <f>IF($O$2755="","",$O$2755)</f>
        <v/>
      </c>
      <c r="X2755" s="4">
        <f>J2755</f>
        <v/>
      </c>
    </row>
    <row r="2756">
      <c r="B2756" s="4" t="n">
        <v>2608</v>
      </c>
      <c r="C2756" s="4" t="inlineStr">
        <is>
          <t>30/09/2026</t>
        </is>
      </c>
      <c r="D2756" s="4" t="inlineStr">
        <is>
          <t>miércoles</t>
        </is>
      </c>
      <c r="E2756" s="4" t="n">
        <v>2300</v>
      </c>
      <c r="F2756" s="4" t="inlineStr">
        <is>
          <t>TPP</t>
        </is>
      </c>
      <c r="G2756" s="4" t="inlineStr">
        <is>
          <t>LIM</t>
        </is>
      </c>
      <c r="H2756" s="4" t="inlineStr">
        <is>
          <t>17:50:00</t>
        </is>
      </c>
      <c r="I2756" s="4" t="inlineStr">
        <is>
          <t>19:20:00</t>
        </is>
      </c>
      <c r="J2756" s="4" t="n">
        <v>319</v>
      </c>
      <c r="K2756">
        <f>TEXT(TIMEVALUE(H2756)-TIMEVALUE(I2755)+(TIMEVALUE(H2756)&lt;TIMEVALUE(I2755)),"[h]:mm")</f>
        <v/>
      </c>
      <c r="L2756" s="4" t="inlineStr">
        <is>
          <t>01:30:00</t>
        </is>
      </c>
      <c r="O2756">
        <f>"LIM-"&amp;G2755&amp;"-LIM   LA "&amp;E2755&amp;" ("&amp;LEFT(H2755,5)&amp;"-"&amp;LEFT(I2755,5)&amp;" hrs)  /  LA "&amp;E2756&amp;" ("&amp;LEFT(H2756,5)&amp;"-"&amp;LEFT(I2756,5)&amp;" hrs)"</f>
        <v/>
      </c>
    </row>
    <row r="2757">
      <c r="J2757" s="8" t="inlineStr">
        <is>
          <t>PSV total:</t>
        </is>
      </c>
      <c r="K2757" s="9">
        <f>TEXT(TIMEVALUE(I2756)-TIMEVALUE(H2755)+(I2756&lt;H2755),"[h]:mm")</f>
        <v/>
      </c>
    </row>
    <row r="2759">
      <c r="B2759" s="3" t="inlineStr">
        <is>
          <t>Pairing ID</t>
        </is>
      </c>
      <c r="C2759" s="3" t="inlineStr">
        <is>
          <t>FECHA REAL</t>
        </is>
      </c>
      <c r="D2759" s="3" t="inlineStr">
        <is>
          <t>Day of Week</t>
        </is>
      </c>
      <c r="E2759" s="3" t="inlineStr">
        <is>
          <t>Flight No</t>
        </is>
      </c>
      <c r="F2759" s="3" t="inlineStr">
        <is>
          <t>Dep Stn</t>
        </is>
      </c>
      <c r="G2759" s="3" t="inlineStr">
        <is>
          <t>Arr Stn</t>
        </is>
      </c>
      <c r="H2759" s="3" t="inlineStr">
        <is>
          <t>STD</t>
        </is>
      </c>
      <c r="I2759" s="3" t="inlineStr">
        <is>
          <t>STA</t>
        </is>
      </c>
      <c r="J2759" s="3" t="inlineStr">
        <is>
          <t>subflota</t>
        </is>
      </c>
      <c r="K2759" s="3" t="inlineStr">
        <is>
          <t>Conexion</t>
        </is>
      </c>
      <c r="L2759" s="3" t="inlineStr">
        <is>
          <t>HBT</t>
        </is>
      </c>
    </row>
    <row r="2760">
      <c r="B2760" s="4" t="n">
        <v>2611</v>
      </c>
      <c r="C2760" s="4" t="inlineStr">
        <is>
          <t>30/09/2026</t>
        </is>
      </c>
      <c r="D2760" s="4" t="inlineStr">
        <is>
          <t>miércoles</t>
        </is>
      </c>
      <c r="E2760" s="4" t="n">
        <v>2127</v>
      </c>
      <c r="F2760" s="4" t="inlineStr">
        <is>
          <t>LIM</t>
        </is>
      </c>
      <c r="G2760" s="4" t="inlineStr">
        <is>
          <t>CUZ</t>
        </is>
      </c>
      <c r="H2760" s="4" t="inlineStr">
        <is>
          <t>16:10:00</t>
        </is>
      </c>
      <c r="I2760" s="4" t="inlineStr">
        <is>
          <t>17:30:00</t>
        </is>
      </c>
      <c r="J2760" s="4" t="n">
        <v>320</v>
      </c>
      <c r="L2760" s="4" t="inlineStr">
        <is>
          <t>01:20:00</t>
        </is>
      </c>
      <c r="M2760" s="5" t="n"/>
      <c r="N2760" s="6" t="n"/>
      <c r="O2760" s="5" t="n"/>
      <c r="Q2760" s="4">
        <f>B2760</f>
        <v/>
      </c>
      <c r="R2760" s="4">
        <f>C2760</f>
        <v/>
      </c>
      <c r="S2760" s="4">
        <f>D2760</f>
        <v/>
      </c>
      <c r="T2760" s="4">
        <f>E2760&amp;"/"&amp;E2761</f>
        <v/>
      </c>
      <c r="U2760" s="4">
        <f>F2760&amp;"-"&amp;G2760&amp;"-"&amp;F2760</f>
        <v/>
      </c>
      <c r="V2760" s="4">
        <f>IF($M$2760="","",$M$2760)</f>
        <v/>
      </c>
      <c r="W2760" s="4">
        <f>IF($O$2760="","",$O$2760)</f>
        <v/>
      </c>
      <c r="X2760" s="4">
        <f>J2760</f>
        <v/>
      </c>
    </row>
    <row r="2761">
      <c r="B2761" s="4" t="n">
        <v>2611</v>
      </c>
      <c r="C2761" s="4" t="inlineStr">
        <is>
          <t>30/09/2026</t>
        </is>
      </c>
      <c r="D2761" s="4" t="inlineStr">
        <is>
          <t>miércoles</t>
        </is>
      </c>
      <c r="E2761" s="4" t="n">
        <v>2026</v>
      </c>
      <c r="F2761" s="4" t="inlineStr">
        <is>
          <t>CUZ</t>
        </is>
      </c>
      <c r="G2761" s="4" t="inlineStr">
        <is>
          <t>LIM</t>
        </is>
      </c>
      <c r="H2761" s="4" t="inlineStr">
        <is>
          <t>18:10:00</t>
        </is>
      </c>
      <c r="I2761" s="4" t="inlineStr">
        <is>
          <t>19:50:00</t>
        </is>
      </c>
      <c r="J2761" s="4" t="n">
        <v>320</v>
      </c>
      <c r="K2761">
        <f>TEXT(TIMEVALUE(H2761)-TIMEVALUE(I2760)+(TIMEVALUE(H2761)&lt;TIMEVALUE(I2760)),"[h]:mm")</f>
        <v/>
      </c>
      <c r="L2761" s="4" t="inlineStr">
        <is>
          <t>01:40:00</t>
        </is>
      </c>
      <c r="O2761">
        <f>"LIM-"&amp;G2760&amp;"-LIM   LA "&amp;E2760&amp;" ("&amp;LEFT(H2760,5)&amp;"-"&amp;LEFT(I2760,5)&amp;" hrs)  /  LA "&amp;E2761&amp;" ("&amp;LEFT(H2761,5)&amp;"-"&amp;LEFT(I2761,5)&amp;" hrs)"</f>
        <v/>
      </c>
    </row>
    <row r="2762">
      <c r="J2762" s="8" t="inlineStr">
        <is>
          <t>PSV total:</t>
        </is>
      </c>
      <c r="K2762" s="9">
        <f>TEXT(TIMEVALUE(I2761)-TIMEVALUE(H2760)+(I2761&lt;H2760),"[h]:mm")</f>
        <v/>
      </c>
    </row>
    <row r="2764">
      <c r="B2764" s="3" t="inlineStr">
        <is>
          <t>Pairing ID</t>
        </is>
      </c>
      <c r="C2764" s="3" t="inlineStr">
        <is>
          <t>FECHA REAL</t>
        </is>
      </c>
      <c r="D2764" s="3" t="inlineStr">
        <is>
          <t>Day of Week</t>
        </is>
      </c>
      <c r="E2764" s="3" t="inlineStr">
        <is>
          <t>Flight No</t>
        </is>
      </c>
      <c r="F2764" s="3" t="inlineStr">
        <is>
          <t>Dep Stn</t>
        </is>
      </c>
      <c r="G2764" s="3" t="inlineStr">
        <is>
          <t>Arr Stn</t>
        </is>
      </c>
      <c r="H2764" s="3" t="inlineStr">
        <is>
          <t>STD</t>
        </is>
      </c>
      <c r="I2764" s="3" t="inlineStr">
        <is>
          <t>STA</t>
        </is>
      </c>
      <c r="J2764" s="3" t="inlineStr">
        <is>
          <t>subflota</t>
        </is>
      </c>
      <c r="K2764" s="3" t="inlineStr">
        <is>
          <t>Conexion</t>
        </is>
      </c>
      <c r="L2764" s="3" t="inlineStr">
        <is>
          <t>HBT</t>
        </is>
      </c>
    </row>
    <row r="2765">
      <c r="B2765" s="4" t="n">
        <v>2613</v>
      </c>
      <c r="C2765" s="4" t="inlineStr">
        <is>
          <t>30/09/2026</t>
        </is>
      </c>
      <c r="D2765" s="4" t="inlineStr">
        <is>
          <t>miércoles</t>
        </is>
      </c>
      <c r="E2765" s="4" t="n">
        <v>2276</v>
      </c>
      <c r="F2765" s="4" t="inlineStr">
        <is>
          <t>LIM</t>
        </is>
      </c>
      <c r="G2765" s="4" t="inlineStr">
        <is>
          <t>CUZ</t>
        </is>
      </c>
      <c r="H2765" s="4" t="inlineStr">
        <is>
          <t>16:35:00</t>
        </is>
      </c>
      <c r="I2765" s="4" t="inlineStr">
        <is>
          <t>17:55:00</t>
        </is>
      </c>
      <c r="J2765" s="4" t="n">
        <v>320</v>
      </c>
      <c r="L2765" s="4" t="inlineStr">
        <is>
          <t>01:20:00</t>
        </is>
      </c>
      <c r="M2765" s="5" t="n"/>
      <c r="N2765" s="6" t="n"/>
      <c r="O2765" s="5" t="n"/>
      <c r="Q2765" s="4">
        <f>B2765</f>
        <v/>
      </c>
      <c r="R2765" s="4">
        <f>C2765</f>
        <v/>
      </c>
      <c r="S2765" s="4">
        <f>D2765</f>
        <v/>
      </c>
      <c r="T2765" s="4">
        <f>E2765&amp;"/"&amp;E2766</f>
        <v/>
      </c>
      <c r="U2765" s="4">
        <f>F2765&amp;"-"&amp;G2765&amp;"-"&amp;F2765</f>
        <v/>
      </c>
      <c r="V2765" s="4">
        <f>IF($M$2765="","",$M$2765)</f>
        <v/>
      </c>
      <c r="W2765" s="4">
        <f>IF($O$2765="","",$O$2765)</f>
        <v/>
      </c>
      <c r="X2765" s="4">
        <f>J2765</f>
        <v/>
      </c>
    </row>
    <row r="2766">
      <c r="B2766" s="4" t="n">
        <v>2613</v>
      </c>
      <c r="C2766" s="4" t="inlineStr">
        <is>
          <t>30/09/2026</t>
        </is>
      </c>
      <c r="D2766" s="4" t="inlineStr">
        <is>
          <t>miércoles</t>
        </is>
      </c>
      <c r="E2766" s="4" t="n">
        <v>2277</v>
      </c>
      <c r="F2766" s="4" t="inlineStr">
        <is>
          <t>CUZ</t>
        </is>
      </c>
      <c r="G2766" s="4" t="inlineStr">
        <is>
          <t>LIM</t>
        </is>
      </c>
      <c r="H2766" s="4" t="inlineStr">
        <is>
          <t>18:50:00</t>
        </is>
      </c>
      <c r="I2766" s="4" t="inlineStr">
        <is>
          <t>20:25:00</t>
        </is>
      </c>
      <c r="J2766" s="4" t="n">
        <v>320</v>
      </c>
      <c r="K2766">
        <f>TEXT(TIMEVALUE(H2766)-TIMEVALUE(I2765)+(TIMEVALUE(H2766)&lt;TIMEVALUE(I2765)),"[h]:mm")</f>
        <v/>
      </c>
      <c r="L2766" s="4" t="inlineStr">
        <is>
          <t>01:35:00</t>
        </is>
      </c>
      <c r="O2766">
        <f>"LIM-"&amp;G2765&amp;"-LIM   LA "&amp;E2765&amp;" ("&amp;LEFT(H2765,5)&amp;"-"&amp;LEFT(I2765,5)&amp;" hrs)  /  LA "&amp;E2766&amp;" ("&amp;LEFT(H2766,5)&amp;"-"&amp;LEFT(I2766,5)&amp;" hrs)"</f>
        <v/>
      </c>
    </row>
    <row r="2767">
      <c r="J2767" s="8" t="inlineStr">
        <is>
          <t>PSV total:</t>
        </is>
      </c>
      <c r="K2767" s="9">
        <f>TEXT(TIMEVALUE(I2766)-TIMEVALUE(H2765)+(I2766&lt;H2765),"[h]:mm")</f>
        <v/>
      </c>
    </row>
    <row r="2769">
      <c r="B2769" s="3" t="inlineStr">
        <is>
          <t>Pairing ID</t>
        </is>
      </c>
      <c r="C2769" s="3" t="inlineStr">
        <is>
          <t>FECHA REAL</t>
        </is>
      </c>
      <c r="D2769" s="3" t="inlineStr">
        <is>
          <t>Day of Week</t>
        </is>
      </c>
      <c r="E2769" s="3" t="inlineStr">
        <is>
          <t>Flight No</t>
        </is>
      </c>
      <c r="F2769" s="3" t="inlineStr">
        <is>
          <t>Dep Stn</t>
        </is>
      </c>
      <c r="G2769" s="3" t="inlineStr">
        <is>
          <t>Arr Stn</t>
        </is>
      </c>
      <c r="H2769" s="3" t="inlineStr">
        <is>
          <t>STD</t>
        </is>
      </c>
      <c r="I2769" s="3" t="inlineStr">
        <is>
          <t>STA</t>
        </is>
      </c>
      <c r="J2769" s="3" t="inlineStr">
        <is>
          <t>subflota</t>
        </is>
      </c>
      <c r="K2769" s="3" t="inlineStr">
        <is>
          <t>Conexion</t>
        </is>
      </c>
      <c r="L2769" s="3" t="inlineStr">
        <is>
          <t>HBT</t>
        </is>
      </c>
    </row>
    <row r="2770">
      <c r="B2770" s="4" t="n">
        <v>2615</v>
      </c>
      <c r="C2770" s="4" t="inlineStr">
        <is>
          <t>30/09/2026</t>
        </is>
      </c>
      <c r="D2770" s="4" t="inlineStr">
        <is>
          <t>miércoles</t>
        </is>
      </c>
      <c r="E2770" s="4" t="n">
        <v>2236</v>
      </c>
      <c r="F2770" s="4" t="inlineStr">
        <is>
          <t>LIM</t>
        </is>
      </c>
      <c r="G2770" s="4" t="inlineStr">
        <is>
          <t>PIU</t>
        </is>
      </c>
      <c r="H2770" s="4" t="inlineStr">
        <is>
          <t>18:00:00</t>
        </is>
      </c>
      <c r="I2770" s="4" t="inlineStr">
        <is>
          <t>19:40:00</t>
        </is>
      </c>
      <c r="J2770" s="4" t="n">
        <v>320</v>
      </c>
      <c r="L2770" s="4" t="inlineStr">
        <is>
          <t>01:40:00</t>
        </is>
      </c>
      <c r="M2770" s="5" t="n"/>
      <c r="N2770" s="6" t="n"/>
      <c r="O2770" s="5" t="n"/>
      <c r="Q2770" s="4">
        <f>B2770</f>
        <v/>
      </c>
      <c r="R2770" s="4">
        <f>C2770</f>
        <v/>
      </c>
      <c r="S2770" s="4">
        <f>D2770</f>
        <v/>
      </c>
      <c r="T2770" s="4">
        <f>E2770&amp;"/"&amp;E2771</f>
        <v/>
      </c>
      <c r="U2770" s="4">
        <f>F2770&amp;"-"&amp;G2770&amp;"-"&amp;F2770</f>
        <v/>
      </c>
      <c r="V2770" s="4">
        <f>IF($M$2770="","",$M$2770)</f>
        <v/>
      </c>
      <c r="W2770" s="4">
        <f>IF($O$2770="","",$O$2770)</f>
        <v/>
      </c>
      <c r="X2770" s="4">
        <f>J2770</f>
        <v/>
      </c>
    </row>
    <row r="2771">
      <c r="B2771" s="4" t="n">
        <v>2615</v>
      </c>
      <c r="C2771" s="4" t="inlineStr">
        <is>
          <t>30/09/2026</t>
        </is>
      </c>
      <c r="D2771" s="4" t="inlineStr">
        <is>
          <t>miércoles</t>
        </is>
      </c>
      <c r="E2771" s="4" t="n">
        <v>2237</v>
      </c>
      <c r="F2771" s="4" t="inlineStr">
        <is>
          <t>PIU</t>
        </is>
      </c>
      <c r="G2771" s="4" t="inlineStr">
        <is>
          <t>LIM</t>
        </is>
      </c>
      <c r="H2771" s="4" t="inlineStr">
        <is>
          <t>20:20:00</t>
        </is>
      </c>
      <c r="I2771" s="4" t="inlineStr">
        <is>
          <t>21:50:00</t>
        </is>
      </c>
      <c r="J2771" s="4" t="n">
        <v>320</v>
      </c>
      <c r="K2771">
        <f>TEXT(TIMEVALUE(H2771)-TIMEVALUE(I2770)+(TIMEVALUE(H2771)&lt;TIMEVALUE(I2770)),"[h]:mm")</f>
        <v/>
      </c>
      <c r="L2771" s="4" t="inlineStr">
        <is>
          <t>01:30:00</t>
        </is>
      </c>
      <c r="O2771">
        <f>"LIM-"&amp;G2770&amp;"-LIM   LA "&amp;E2770&amp;" ("&amp;LEFT(H2770,5)&amp;"-"&amp;LEFT(I2770,5)&amp;" hrs)  /  LA "&amp;E2771&amp;" ("&amp;LEFT(H2771,5)&amp;"-"&amp;LEFT(I2771,5)&amp;" hrs)"</f>
        <v/>
      </c>
    </row>
    <row r="2772">
      <c r="J2772" s="8" t="inlineStr">
        <is>
          <t>PSV total:</t>
        </is>
      </c>
      <c r="K2772" s="9">
        <f>TEXT(TIMEVALUE(I2771)-TIMEVALUE(H2770)+(I2771&lt;H2770),"[h]:mm")</f>
        <v/>
      </c>
    </row>
    <row r="2774">
      <c r="B2774" s="3" t="inlineStr">
        <is>
          <t>Pairing ID</t>
        </is>
      </c>
      <c r="C2774" s="3" t="inlineStr">
        <is>
          <t>FECHA REAL</t>
        </is>
      </c>
      <c r="D2774" s="3" t="inlineStr">
        <is>
          <t>Day of Week</t>
        </is>
      </c>
      <c r="E2774" s="3" t="inlineStr">
        <is>
          <t>Flight No</t>
        </is>
      </c>
      <c r="F2774" s="3" t="inlineStr">
        <is>
          <t>Dep Stn</t>
        </is>
      </c>
      <c r="G2774" s="3" t="inlineStr">
        <is>
          <t>Arr Stn</t>
        </is>
      </c>
      <c r="H2774" s="3" t="inlineStr">
        <is>
          <t>STD</t>
        </is>
      </c>
      <c r="I2774" s="3" t="inlineStr">
        <is>
          <t>STA</t>
        </is>
      </c>
      <c r="J2774" s="3" t="inlineStr">
        <is>
          <t>subflota</t>
        </is>
      </c>
      <c r="K2774" s="3" t="inlineStr">
        <is>
          <t>Conexion</t>
        </is>
      </c>
      <c r="L2774" s="3" t="inlineStr">
        <is>
          <t>HBT</t>
        </is>
      </c>
    </row>
    <row r="2775">
      <c r="B2775" s="4" t="n">
        <v>2617</v>
      </c>
      <c r="C2775" s="4" t="inlineStr">
        <is>
          <t>30/09/2026</t>
        </is>
      </c>
      <c r="D2775" s="4" t="inlineStr">
        <is>
          <t>miércoles</t>
        </is>
      </c>
      <c r="E2775" s="4" t="n">
        <v>2039</v>
      </c>
      <c r="F2775" s="4" t="inlineStr">
        <is>
          <t>LIM</t>
        </is>
      </c>
      <c r="G2775" s="4" t="inlineStr">
        <is>
          <t>PCL</t>
        </is>
      </c>
      <c r="H2775" s="4" t="inlineStr">
        <is>
          <t>18:15:00</t>
        </is>
      </c>
      <c r="I2775" s="4" t="inlineStr">
        <is>
          <t>19:30:00</t>
        </is>
      </c>
      <c r="J2775" s="4" t="n">
        <v>319</v>
      </c>
      <c r="L2775" s="4" t="inlineStr">
        <is>
          <t>01:15:00</t>
        </is>
      </c>
      <c r="M2775" s="5" t="n"/>
      <c r="N2775" s="6" t="n"/>
      <c r="O2775" s="5" t="n"/>
      <c r="Q2775" s="4">
        <f>B2775</f>
        <v/>
      </c>
      <c r="R2775" s="4">
        <f>C2775</f>
        <v/>
      </c>
      <c r="S2775" s="4">
        <f>D2775</f>
        <v/>
      </c>
      <c r="T2775" s="4">
        <f>E2775&amp;"/"&amp;E2776</f>
        <v/>
      </c>
      <c r="U2775" s="4">
        <f>F2775&amp;"-"&amp;G2775&amp;"-"&amp;F2775</f>
        <v/>
      </c>
      <c r="V2775" s="4">
        <f>IF($M$2775="","",$M$2775)</f>
        <v/>
      </c>
      <c r="W2775" s="4">
        <f>IF($O$2775="","",$O$2775)</f>
        <v/>
      </c>
      <c r="X2775" s="4">
        <f>J2775</f>
        <v/>
      </c>
    </row>
    <row r="2776">
      <c r="B2776" s="4" t="n">
        <v>2617</v>
      </c>
      <c r="C2776" s="4" t="inlineStr">
        <is>
          <t>30/09/2026</t>
        </is>
      </c>
      <c r="D2776" s="4" t="inlineStr">
        <is>
          <t>miércoles</t>
        </is>
      </c>
      <c r="E2776" s="4" t="n">
        <v>2040</v>
      </c>
      <c r="F2776" s="4" t="inlineStr">
        <is>
          <t>PCL</t>
        </is>
      </c>
      <c r="G2776" s="4" t="inlineStr">
        <is>
          <t>LIM</t>
        </is>
      </c>
      <c r="H2776" s="4" t="inlineStr">
        <is>
          <t>20:15:00</t>
        </is>
      </c>
      <c r="I2776" s="4" t="inlineStr">
        <is>
          <t>21:30:00</t>
        </is>
      </c>
      <c r="J2776" s="4" t="n">
        <v>319</v>
      </c>
      <c r="K2776">
        <f>TEXT(TIMEVALUE(H2776)-TIMEVALUE(I2775)+(TIMEVALUE(H2776)&lt;TIMEVALUE(I2775)),"[h]:mm")</f>
        <v/>
      </c>
      <c r="L2776" s="4" t="inlineStr">
        <is>
          <t>01:15:00</t>
        </is>
      </c>
      <c r="O2776">
        <f>"LIM-"&amp;G2775&amp;"-LIM   LA "&amp;E2775&amp;" ("&amp;LEFT(H2775,5)&amp;"-"&amp;LEFT(I2775,5)&amp;" hrs)  /  LA "&amp;E2776&amp;" ("&amp;LEFT(H2776,5)&amp;"-"&amp;LEFT(I2776,5)&amp;" hrs)"</f>
        <v/>
      </c>
    </row>
    <row r="2777">
      <c r="J2777" s="8" t="inlineStr">
        <is>
          <t>PSV total:</t>
        </is>
      </c>
      <c r="K2777" s="9">
        <f>TEXT(TIMEVALUE(I2776)-TIMEVALUE(H2775)+(I2776&lt;H2775),"[h]:mm")</f>
        <v/>
      </c>
    </row>
    <row r="2779">
      <c r="B2779" s="3" t="inlineStr">
        <is>
          <t>Pairing ID</t>
        </is>
      </c>
      <c r="C2779" s="3" t="inlineStr">
        <is>
          <t>FECHA REAL</t>
        </is>
      </c>
      <c r="D2779" s="3" t="inlineStr">
        <is>
          <t>Day of Week</t>
        </is>
      </c>
      <c r="E2779" s="3" t="inlineStr">
        <is>
          <t>Flight No</t>
        </is>
      </c>
      <c r="F2779" s="3" t="inlineStr">
        <is>
          <t>Dep Stn</t>
        </is>
      </c>
      <c r="G2779" s="3" t="inlineStr">
        <is>
          <t>Arr Stn</t>
        </is>
      </c>
      <c r="H2779" s="3" t="inlineStr">
        <is>
          <t>STD</t>
        </is>
      </c>
      <c r="I2779" s="3" t="inlineStr">
        <is>
          <t>STA</t>
        </is>
      </c>
      <c r="J2779" s="3" t="inlineStr">
        <is>
          <t>subflota</t>
        </is>
      </c>
      <c r="K2779" s="3" t="inlineStr">
        <is>
          <t>Conexion</t>
        </is>
      </c>
      <c r="L2779" s="3" t="inlineStr">
        <is>
          <t>HBT</t>
        </is>
      </c>
    </row>
    <row r="2780">
      <c r="B2780" s="4" t="n">
        <v>2618</v>
      </c>
      <c r="C2780" s="4" t="inlineStr">
        <is>
          <t>30/09/2026</t>
        </is>
      </c>
      <c r="D2780" s="4" t="inlineStr">
        <is>
          <t>miércoles</t>
        </is>
      </c>
      <c r="E2780" s="4" t="n">
        <v>2310</v>
      </c>
      <c r="F2780" s="4" t="inlineStr">
        <is>
          <t>LIM</t>
        </is>
      </c>
      <c r="G2780" s="4" t="inlineStr">
        <is>
          <t>CIX</t>
        </is>
      </c>
      <c r="H2780" s="4" t="inlineStr">
        <is>
          <t>18:20:00</t>
        </is>
      </c>
      <c r="I2780" s="4" t="inlineStr">
        <is>
          <t>19:45:00</t>
        </is>
      </c>
      <c r="J2780" s="4" t="n">
        <v>319</v>
      </c>
      <c r="L2780" s="4" t="inlineStr">
        <is>
          <t>01:25:00</t>
        </is>
      </c>
      <c r="M2780" s="5" t="n"/>
      <c r="N2780" s="6" t="n"/>
      <c r="O2780" s="5" t="n"/>
      <c r="Q2780" s="4">
        <f>B2780</f>
        <v/>
      </c>
      <c r="R2780" s="4">
        <f>C2780</f>
        <v/>
      </c>
      <c r="S2780" s="4">
        <f>D2780</f>
        <v/>
      </c>
      <c r="T2780" s="4">
        <f>E2780&amp;"/"&amp;E2781</f>
        <v/>
      </c>
      <c r="U2780" s="4">
        <f>F2780&amp;"-"&amp;G2780&amp;"-"&amp;F2780</f>
        <v/>
      </c>
      <c r="V2780" s="4">
        <f>IF($M$2780="","",$M$2780)</f>
        <v/>
      </c>
      <c r="W2780" s="4">
        <f>IF($O$2780="","",$O$2780)</f>
        <v/>
      </c>
      <c r="X2780" s="4">
        <f>J2780</f>
        <v/>
      </c>
    </row>
    <row r="2781">
      <c r="B2781" s="4" t="n">
        <v>2618</v>
      </c>
      <c r="C2781" s="4" t="inlineStr">
        <is>
          <t>30/09/2026</t>
        </is>
      </c>
      <c r="D2781" s="4" t="inlineStr">
        <is>
          <t>miércoles</t>
        </is>
      </c>
      <c r="E2781" s="4" t="n">
        <v>2311</v>
      </c>
      <c r="F2781" s="4" t="inlineStr">
        <is>
          <t>CIX</t>
        </is>
      </c>
      <c r="G2781" s="4" t="inlineStr">
        <is>
          <t>LIM</t>
        </is>
      </c>
      <c r="H2781" s="4" t="inlineStr">
        <is>
          <t>20:20:00</t>
        </is>
      </c>
      <c r="I2781" s="4" t="inlineStr">
        <is>
          <t>21:35:00</t>
        </is>
      </c>
      <c r="J2781" s="4" t="n">
        <v>319</v>
      </c>
      <c r="K2781">
        <f>TEXT(TIMEVALUE(H2781)-TIMEVALUE(I2780)+(TIMEVALUE(H2781)&lt;TIMEVALUE(I2780)),"[h]:mm")</f>
        <v/>
      </c>
      <c r="L2781" s="4" t="inlineStr">
        <is>
          <t>01:15:00</t>
        </is>
      </c>
      <c r="O2781">
        <f>"LIM-"&amp;G2780&amp;"-LIM   LA "&amp;E2780&amp;" ("&amp;LEFT(H2780,5)&amp;"-"&amp;LEFT(I2780,5)&amp;" hrs)  /  LA "&amp;E2781&amp;" ("&amp;LEFT(H2781,5)&amp;"-"&amp;LEFT(I2781,5)&amp;" hrs)"</f>
        <v/>
      </c>
    </row>
    <row r="2782">
      <c r="J2782" s="8" t="inlineStr">
        <is>
          <t>PSV total:</t>
        </is>
      </c>
      <c r="K2782" s="9">
        <f>TEXT(TIMEVALUE(I2781)-TIMEVALUE(H2780)+(I2781&lt;H2780),"[h]:mm")</f>
        <v/>
      </c>
    </row>
    <row r="2784">
      <c r="B2784" s="3" t="inlineStr">
        <is>
          <t>Pairing ID</t>
        </is>
      </c>
      <c r="C2784" s="3" t="inlineStr">
        <is>
          <t>FECHA REAL</t>
        </is>
      </c>
      <c r="D2784" s="3" t="inlineStr">
        <is>
          <t>Day of Week</t>
        </is>
      </c>
      <c r="E2784" s="3" t="inlineStr">
        <is>
          <t>Flight No</t>
        </is>
      </c>
      <c r="F2784" s="3" t="inlineStr">
        <is>
          <t>Dep Stn</t>
        </is>
      </c>
      <c r="G2784" s="3" t="inlineStr">
        <is>
          <t>Arr Stn</t>
        </is>
      </c>
      <c r="H2784" s="3" t="inlineStr">
        <is>
          <t>STD</t>
        </is>
      </c>
      <c r="I2784" s="3" t="inlineStr">
        <is>
          <t>STA</t>
        </is>
      </c>
      <c r="J2784" s="3" t="inlineStr">
        <is>
          <t>subflota</t>
        </is>
      </c>
      <c r="K2784" s="3" t="inlineStr">
        <is>
          <t>Conexion</t>
        </is>
      </c>
      <c r="L2784" s="3" t="inlineStr">
        <is>
          <t>HBT</t>
        </is>
      </c>
    </row>
    <row r="2785">
      <c r="B2785" s="4" t="n">
        <v>2619</v>
      </c>
      <c r="C2785" s="4" t="inlineStr">
        <is>
          <t>30/09/2026</t>
        </is>
      </c>
      <c r="D2785" s="4" t="inlineStr">
        <is>
          <t>miércoles</t>
        </is>
      </c>
      <c r="E2785" s="4" t="n">
        <v>2091</v>
      </c>
      <c r="F2785" s="4" t="inlineStr">
        <is>
          <t>LIM</t>
        </is>
      </c>
      <c r="G2785" s="4" t="inlineStr">
        <is>
          <t>TPP</t>
        </is>
      </c>
      <c r="H2785" s="4" t="inlineStr">
        <is>
          <t>18:30:00</t>
        </is>
      </c>
      <c r="I2785" s="4" t="inlineStr">
        <is>
          <t>19:55:00</t>
        </is>
      </c>
      <c r="J2785" s="4" t="n">
        <v>320</v>
      </c>
      <c r="L2785" s="4" t="inlineStr">
        <is>
          <t>01:25:00</t>
        </is>
      </c>
      <c r="M2785" s="5" t="n"/>
      <c r="N2785" s="6" t="n"/>
      <c r="O2785" s="5" t="n"/>
      <c r="Q2785" s="4">
        <f>B2785</f>
        <v/>
      </c>
      <c r="R2785" s="4">
        <f>C2785</f>
        <v/>
      </c>
      <c r="S2785" s="4">
        <f>D2785</f>
        <v/>
      </c>
      <c r="T2785" s="4">
        <f>E2785&amp;"/"&amp;E2786</f>
        <v/>
      </c>
      <c r="U2785" s="4">
        <f>F2785&amp;"-"&amp;G2785&amp;"-"&amp;F2785</f>
        <v/>
      </c>
      <c r="V2785" s="4">
        <f>IF($M$2785="","",$M$2785)</f>
        <v/>
      </c>
      <c r="W2785" s="4">
        <f>IF($O$2785="","",$O$2785)</f>
        <v/>
      </c>
      <c r="X2785" s="4">
        <f>J2785</f>
        <v/>
      </c>
    </row>
    <row r="2786">
      <c r="B2786" s="4" t="n">
        <v>2619</v>
      </c>
      <c r="C2786" s="4" t="inlineStr">
        <is>
          <t>30/09/2026</t>
        </is>
      </c>
      <c r="D2786" s="4" t="inlineStr">
        <is>
          <t>miércoles</t>
        </is>
      </c>
      <c r="E2786" s="4" t="n">
        <v>2092</v>
      </c>
      <c r="F2786" s="4" t="inlineStr">
        <is>
          <t>TPP</t>
        </is>
      </c>
      <c r="G2786" s="4" t="inlineStr">
        <is>
          <t>LIM</t>
        </is>
      </c>
      <c r="H2786" s="4" t="inlineStr">
        <is>
          <t>20:30:00</t>
        </is>
      </c>
      <c r="I2786" s="4" t="inlineStr">
        <is>
          <t>21:55:00</t>
        </is>
      </c>
      <c r="J2786" s="4" t="n">
        <v>320</v>
      </c>
      <c r="K2786">
        <f>TEXT(TIMEVALUE(H2786)-TIMEVALUE(I2785)+(TIMEVALUE(H2786)&lt;TIMEVALUE(I2785)),"[h]:mm")</f>
        <v/>
      </c>
      <c r="L2786" s="4" t="inlineStr">
        <is>
          <t>01:25:00</t>
        </is>
      </c>
      <c r="O2786">
        <f>"LIM-"&amp;G2785&amp;"-LIM   LA "&amp;E2785&amp;" ("&amp;LEFT(H2785,5)&amp;"-"&amp;LEFT(I2785,5)&amp;" hrs)  /  LA "&amp;E2786&amp;" ("&amp;LEFT(H2786,5)&amp;"-"&amp;LEFT(I2786,5)&amp;" hrs)"</f>
        <v/>
      </c>
    </row>
    <row r="2787">
      <c r="J2787" s="8" t="inlineStr">
        <is>
          <t>PSV total:</t>
        </is>
      </c>
      <c r="K2787" s="9">
        <f>TEXT(TIMEVALUE(I2786)-TIMEVALUE(H2785)+(I2786&lt;H2785),"[h]:mm")</f>
        <v/>
      </c>
    </row>
    <row r="2789">
      <c r="B2789" s="3" t="inlineStr">
        <is>
          <t>Pairing ID</t>
        </is>
      </c>
      <c r="C2789" s="3" t="inlineStr">
        <is>
          <t>FECHA REAL</t>
        </is>
      </c>
      <c r="D2789" s="3" t="inlineStr">
        <is>
          <t>Day of Week</t>
        </is>
      </c>
      <c r="E2789" s="3" t="inlineStr">
        <is>
          <t>Flight No</t>
        </is>
      </c>
      <c r="F2789" s="3" t="inlineStr">
        <is>
          <t>Dep Stn</t>
        </is>
      </c>
      <c r="G2789" s="3" t="inlineStr">
        <is>
          <t>Arr Stn</t>
        </is>
      </c>
      <c r="H2789" s="3" t="inlineStr">
        <is>
          <t>STD</t>
        </is>
      </c>
      <c r="I2789" s="3" t="inlineStr">
        <is>
          <t>STA</t>
        </is>
      </c>
      <c r="J2789" s="3" t="inlineStr">
        <is>
          <t>subflota</t>
        </is>
      </c>
      <c r="K2789" s="3" t="inlineStr">
        <is>
          <t>Conexion</t>
        </is>
      </c>
      <c r="L2789" s="3" t="inlineStr">
        <is>
          <t>HBT</t>
        </is>
      </c>
    </row>
    <row r="2790">
      <c r="B2790" s="4" t="n">
        <v>2620</v>
      </c>
      <c r="C2790" s="4" t="inlineStr">
        <is>
          <t>30/09/2026</t>
        </is>
      </c>
      <c r="D2790" s="4" t="inlineStr">
        <is>
          <t>miércoles</t>
        </is>
      </c>
      <c r="E2790" s="4" t="n">
        <v>2091</v>
      </c>
      <c r="F2790" s="4" t="inlineStr">
        <is>
          <t>LIM</t>
        </is>
      </c>
      <c r="G2790" s="4" t="inlineStr">
        <is>
          <t>TPP</t>
        </is>
      </c>
      <c r="H2790" s="4" t="inlineStr">
        <is>
          <t>18:30:00</t>
        </is>
      </c>
      <c r="I2790" s="4" t="inlineStr">
        <is>
          <t>19:55:00</t>
        </is>
      </c>
      <c r="J2790" s="4" t="n">
        <v>320</v>
      </c>
      <c r="L2790" s="4" t="inlineStr">
        <is>
          <t>01:25:00</t>
        </is>
      </c>
      <c r="M2790" s="5" t="n"/>
      <c r="N2790" s="6" t="n"/>
      <c r="O2790" s="5" t="n"/>
      <c r="Q2790" s="4">
        <f>B2790</f>
        <v/>
      </c>
      <c r="R2790" s="4">
        <f>C2790</f>
        <v/>
      </c>
      <c r="S2790" s="4">
        <f>D2790</f>
        <v/>
      </c>
      <c r="T2790" s="4">
        <f>E2790&amp;"/"&amp;E2791</f>
        <v/>
      </c>
      <c r="U2790" s="4">
        <f>F2790&amp;"-"&amp;G2790&amp;"-"&amp;F2790</f>
        <v/>
      </c>
      <c r="V2790" s="4">
        <f>IF($M$2790="","",$M$2790)</f>
        <v/>
      </c>
      <c r="W2790" s="4">
        <f>IF($O$2790="","",$O$2790)</f>
        <v/>
      </c>
      <c r="X2790" s="4">
        <f>J2790</f>
        <v/>
      </c>
    </row>
    <row r="2791">
      <c r="B2791" s="4" t="n">
        <v>2620</v>
      </c>
      <c r="C2791" s="4" t="inlineStr">
        <is>
          <t>30/09/2026</t>
        </is>
      </c>
      <c r="D2791" s="4" t="inlineStr">
        <is>
          <t>miércoles</t>
        </is>
      </c>
      <c r="E2791" s="4" t="n">
        <v>2092</v>
      </c>
      <c r="F2791" s="4" t="inlineStr">
        <is>
          <t>TPP</t>
        </is>
      </c>
      <c r="G2791" s="4" t="inlineStr">
        <is>
          <t>LIM</t>
        </is>
      </c>
      <c r="H2791" s="4" t="inlineStr">
        <is>
          <t>20:30:00</t>
        </is>
      </c>
      <c r="I2791" s="4" t="inlineStr">
        <is>
          <t>21:55:00</t>
        </is>
      </c>
      <c r="J2791" s="4" t="n">
        <v>320</v>
      </c>
      <c r="K2791">
        <f>TEXT(TIMEVALUE(H2791)-TIMEVALUE(I2790)+(TIMEVALUE(H2791)&lt;TIMEVALUE(I2790)),"[h]:mm")</f>
        <v/>
      </c>
      <c r="L2791" s="4" t="inlineStr">
        <is>
          <t>01:25:00</t>
        </is>
      </c>
      <c r="O2791">
        <f>"LIM-"&amp;G2790&amp;"-LIM   LA "&amp;E2790&amp;" ("&amp;LEFT(H2790,5)&amp;"-"&amp;LEFT(I2790,5)&amp;" hrs)  /  LA "&amp;E2791&amp;" ("&amp;LEFT(H2791,5)&amp;"-"&amp;LEFT(I2791,5)&amp;" hrs)"</f>
        <v/>
      </c>
    </row>
    <row r="2792">
      <c r="J2792" s="8" t="inlineStr">
        <is>
          <t>PSV total:</t>
        </is>
      </c>
      <c r="K2792" s="9">
        <f>TEXT(TIMEVALUE(I2791)-TIMEVALUE(H2790)+(I2791&lt;H2790),"[h]:mm")</f>
        <v/>
      </c>
    </row>
    <row r="2794">
      <c r="B2794" s="3" t="inlineStr">
        <is>
          <t>Pairing ID</t>
        </is>
      </c>
      <c r="C2794" s="3" t="inlineStr">
        <is>
          <t>FECHA REAL</t>
        </is>
      </c>
      <c r="D2794" s="3" t="inlineStr">
        <is>
          <t>Day of Week</t>
        </is>
      </c>
      <c r="E2794" s="3" t="inlineStr">
        <is>
          <t>Flight No</t>
        </is>
      </c>
      <c r="F2794" s="3" t="inlineStr">
        <is>
          <t>Dep Stn</t>
        </is>
      </c>
      <c r="G2794" s="3" t="inlineStr">
        <is>
          <t>Arr Stn</t>
        </is>
      </c>
      <c r="H2794" s="3" t="inlineStr">
        <is>
          <t>STD</t>
        </is>
      </c>
      <c r="I2794" s="3" t="inlineStr">
        <is>
          <t>STA</t>
        </is>
      </c>
      <c r="J2794" s="3" t="inlineStr">
        <is>
          <t>subflota</t>
        </is>
      </c>
      <c r="K2794" s="3" t="inlineStr">
        <is>
          <t>Conexion</t>
        </is>
      </c>
      <c r="L2794" s="3" t="inlineStr">
        <is>
          <t>HBT</t>
        </is>
      </c>
    </row>
    <row r="2795">
      <c r="B2795" s="4" t="n">
        <v>2621</v>
      </c>
      <c r="C2795" s="4" t="inlineStr">
        <is>
          <t>30/09/2026</t>
        </is>
      </c>
      <c r="D2795" s="4" t="inlineStr">
        <is>
          <t>miércoles</t>
        </is>
      </c>
      <c r="E2795" s="4" t="n">
        <v>2117</v>
      </c>
      <c r="F2795" s="4" t="inlineStr">
        <is>
          <t>LIM</t>
        </is>
      </c>
      <c r="G2795" s="4" t="inlineStr">
        <is>
          <t>AQP</t>
        </is>
      </c>
      <c r="H2795" s="4" t="inlineStr">
        <is>
          <t>18:35:00</t>
        </is>
      </c>
      <c r="I2795" s="4" t="inlineStr">
        <is>
          <t>20:05:00</t>
        </is>
      </c>
      <c r="J2795" s="4" t="n">
        <v>320</v>
      </c>
      <c r="L2795" s="4" t="inlineStr">
        <is>
          <t>01:30:00</t>
        </is>
      </c>
      <c r="M2795" s="5" t="n"/>
      <c r="N2795" s="6" t="n"/>
      <c r="O2795" s="5" t="n"/>
      <c r="Q2795" s="4">
        <f>B2795</f>
        <v/>
      </c>
      <c r="R2795" s="4">
        <f>C2795</f>
        <v/>
      </c>
      <c r="S2795" s="4">
        <f>D2795</f>
        <v/>
      </c>
      <c r="T2795" s="4">
        <f>E2795&amp;"/"&amp;E2796</f>
        <v/>
      </c>
      <c r="U2795" s="4">
        <f>F2795&amp;"-"&amp;G2795&amp;"-"&amp;F2795</f>
        <v/>
      </c>
      <c r="V2795" s="4">
        <f>IF($M$2795="","",$M$2795)</f>
        <v/>
      </c>
      <c r="W2795" s="4">
        <f>IF($O$2795="","",$O$2795)</f>
        <v/>
      </c>
      <c r="X2795" s="4">
        <f>J2795</f>
        <v/>
      </c>
    </row>
    <row r="2796">
      <c r="B2796" s="4" t="n">
        <v>2621</v>
      </c>
      <c r="C2796" s="4" t="inlineStr">
        <is>
          <t>30/09/2026</t>
        </is>
      </c>
      <c r="D2796" s="4" t="inlineStr">
        <is>
          <t>miércoles</t>
        </is>
      </c>
      <c r="E2796" s="4" t="n">
        <v>2116</v>
      </c>
      <c r="F2796" s="4" t="inlineStr">
        <is>
          <t>AQP</t>
        </is>
      </c>
      <c r="G2796" s="4" t="inlineStr">
        <is>
          <t>LIM</t>
        </is>
      </c>
      <c r="H2796" s="4" t="inlineStr">
        <is>
          <t>20:40:00</t>
        </is>
      </c>
      <c r="I2796" s="4" t="inlineStr">
        <is>
          <t>22:20:00</t>
        </is>
      </c>
      <c r="J2796" s="4" t="n">
        <v>320</v>
      </c>
      <c r="K2796">
        <f>TEXT(TIMEVALUE(H2796)-TIMEVALUE(I2795)+(TIMEVALUE(H2796)&lt;TIMEVALUE(I2795)),"[h]:mm")</f>
        <v/>
      </c>
      <c r="L2796" s="4" t="inlineStr">
        <is>
          <t>01:40:00</t>
        </is>
      </c>
      <c r="O2796">
        <f>"LIM-"&amp;G2795&amp;"-LIM   LA "&amp;E2795&amp;" ("&amp;LEFT(H2795,5)&amp;"-"&amp;LEFT(I2795,5)&amp;" hrs)  /  LA "&amp;E2796&amp;" ("&amp;LEFT(H2796,5)&amp;"-"&amp;LEFT(I2796,5)&amp;" hrs)"</f>
        <v/>
      </c>
    </row>
    <row r="2797">
      <c r="J2797" s="8" t="inlineStr">
        <is>
          <t>PSV total:</t>
        </is>
      </c>
      <c r="K2797" s="9">
        <f>TEXT(TIMEVALUE(I2796)-TIMEVALUE(H2795)+(I2796&lt;H2795),"[h]:mm")</f>
        <v/>
      </c>
    </row>
  </sheetData>
  <dataValidations count="2">
    <dataValidation sqref="M9 M16 M23 M30 M35 M42 M49 M54 M59 M64 M69 M74 M79 M84 M89 M94 M99 M106 M111 M116 M123 M130 M137 M142 M147 M154 M159 M164 M169 M174 M179 M184 M189 M194 M199 M204 M209 M216 M223 M228 M235 M240 M245 M250 M255 M260 M265 M270 M275 M280 M285 M290 M295 M302 M307 M314 M319 M326 M331 M336 M343 M348 M353 M358 M363 M368 M373 M378 M383 M388 M393 M400 M405 M410 M415 M420 M425 M430 M435 M440 M445 M450 M455 M460 M465 M472 M479 M486 M491 M498 M505 M512 M517 M522 M527 M532 M537 M542 M547 M552 M557 M562 M567 M572 M579 M584 M589 M594 M599 M606 M611 M616 M621 M626 M631 M636 M641 M646 M653 M658 M665 M672 M677 M684 M689 M694 M699 M704 M709 M714 M719 M724 M729 M734 M741 M746 M751 M756 M761 M766 M771 M778 M783 M788 M793 M798 M803 M808 M813 M818 M823 M828 M833 M838 M845 M850 M857 M862 M869 M874 M879 M884 M889 M894 M899 M904 M909 M914 M919 M924 M931 M936 M943 M950 M957 M964 M971 M976 M981 M986 M991 M996 M1001 M1006 M1011 M1016 M1021 M1026 M1031 M1036 M1043 M1050 M1057 M1064 M1069 M1074 M1079 M1084 M1089 M1094 M1099 M1104 M1111 M1118 M1125 M1130 M1137 M1144 M1151 M1158 M1163 M1168 M1173 M1178 M1183 M1188 M1193 M1198 M1203 M1208 M1213 M1218 M1225 M1232 M1237 M1242 M1247 M1254 M1259 M1264 M1269 M1274 M1279 M1284 M1289 M1294 M1299 M1304 M1309 M1314 M1321 M1328 M1335 M1340 M1347 M1352 M1357 M1362 M1367 M1372 M1377 M1382 M1387 M1392 M1397 M1402 M1409 M1416 M1423 M1430 M1435 M1440 M1445 M1452 M1457 M1462 M1469 M1474 M1479 M1484 M1489 M1494 M1499 M1504 M1511 M1516 M1521 M1526 M1531 M1536 M1541 M1546 M1551 M1556 M1561 M1566 M1571 M1576 M1583 M1588 M1595 M1602 M1609 M1614 M1619 M1624 M1629 M1634 M1639 M1644 M1649 M1654 M1659 M1664 M1669 M1674 M1681 M1686 M1691 M1696 M1701 M1708 M1715 M1720 M1725 M1730 M1735 M1740 M1745 M1750 M1755 M1760 M1767 M1774 M1779 M1786 M1791 M1796 M1803 M1808 M1813 M1818 M1823 M1828 M1833 M1838 M1843 M1848 M1853 M1858 M1865 M1870 M1875 M1882 M1887 M1894 M1899 M1904 M1909 M1914 M1919 M1924 M1929 M1934 M1939 M1944 M1949 M1954 M1961 M1968 M1975 M1980 M1985 M1990 M1995 M2000 M2005 M2010 M2015 M2020 M2025 M2032 M2039 M2046 M2053 M2060 M2065 M2072 M2079 M2086 M2091 M2096 M2103 M2108 M2113 M2118 M2123 M2128 M2133 M2138 M2145 M2150 M2157 M2164 M2169 M2174 M2179 M2184 M2189 M2194 M2199 M2204 M2209 M2214 M2219 M2226 M2231 M2238 M2245 M2250 M2255 M2262 M2267 M2272 M2277 M2282 M2287 M2292 M2297 M2302 M2307 M2312 M2317 M2324 M2331 M2336 M2341 M2348 M2353 M2358 M2363 M2368 M2373 M2378 M2383 M2388 M2395 M2402 M2409 M2416 M2421 M2426 M2431 M2436 M2441 M2446 M2451 M2456 M2461 M2466 M2471 M2476 M2481 M2486 M2491 M2498 M2503 M2508 M2515 M2520 M2525 M2530 M2535 M2542 M2547 M2554 M2559 M2564 M2569 M2574 M2579 M2584 M2591 M2598 M2603 M2608 M2615 M2620 M2625 M2630 M2637 M2642 M2647 M2652 M2657 M2662 M2667 M2672 M2677 M2682 M2689 M2696 M2703 M2710 M2715 M2720 M2725 M2730 M2735 M2740 M2745 M2750 M2755 M2760 M2765 M2770 M2775 M2780 M2785 M2790 M2795" showDropDown="0" showInputMessage="0" showErrorMessage="0" allowBlank="1" type="list">
      <formula1>=Instructores!$A$2:$A$23</formula1>
    </dataValidation>
    <dataValidation sqref="O9 O16 O23 O30 O35 O42 O49 O54 O59 O64 O69 O74 O79 O84 O89 O94 O99 O106 O111 O116 O123 O130 O137 O142 O147 O154 O159 O164 O169 O174 O179 O184 O189 O194 O199 O204 O209 O216 O223 O228 O235 O240 O245 O250 O255 O260 O265 O270 O275 O280 O285 O290 O295 O302 O307 O314 O319 O326 O331 O336 O343 O348 O353 O358 O363 O368 O373 O378 O383 O388 O393 O400 O405 O410 O415 O420 O425 O430 O435 O440 O445 O450 O455 O460 O465 O472 O479 O486 O491 O498 O505 O512 O517 O522 O527 O532 O537 O542 O547 O552 O557 O562 O567 O572 O579 O584 O589 O594 O599 O606 O611 O616 O621 O626 O631 O636 O641 O646 O653 O658 O665 O672 O677 O684 O689 O694 O699 O704 O709 O714 O719 O724 O729 O734 O741 O746 O751 O756 O761 O766 O771 O778 O783 O788 O793 O798 O803 O808 O813 O818 O823 O828 O833 O838 O845 O850 O857 O862 O869 O874 O879 O884 O889 O894 O899 O904 O909 O914 O919 O924 O931 O936 O943 O950 O957 O964 O971 O976 O981 O986 O991 O996 O1001 O1006 O1011 O1016 O1021 O1026 O1031 O1036 O1043 O1050 O1057 O1064 O1069 O1074 O1079 O1084 O1089 O1094 O1099 O1104 O1111 O1118 O1125 O1130 O1137 O1144 O1151 O1158 O1163 O1168 O1173 O1178 O1183 O1188 O1193 O1198 O1203 O1208 O1213 O1218 O1225 O1232 O1237 O1242 O1247 O1254 O1259 O1264 O1269 O1274 O1279 O1284 O1289 O1294 O1299 O1304 O1309 O1314 O1321 O1328 O1335 O1340 O1347 O1352 O1357 O1362 O1367 O1372 O1377 O1382 O1387 O1392 O1397 O1402 O1409 O1416 O1423 O1430 O1435 O1440 O1445 O1452 O1457 O1462 O1469 O1474 O1479 O1484 O1489 O1494 O1499 O1504 O1511 O1516 O1521 O1526 O1531 O1536 O1541 O1546 O1551 O1556 O1561 O1566 O1571 O1576 O1583 O1588 O1595 O1602 O1609 O1614 O1619 O1624 O1629 O1634 O1639 O1644 O1649 O1654 O1659 O1664 O1669 O1674 O1681 O1686 O1691 O1696 O1701 O1708 O1715 O1720 O1725 O1730 O1735 O1740 O1745 O1750 O1755 O1760 O1767 O1774 O1779 O1786 O1791 O1796 O1803 O1808 O1813 O1818 O1823 O1828 O1833 O1838 O1843 O1848 O1853 O1858 O1865 O1870 O1875 O1882 O1887 O1894 O1899 O1904 O1909 O1914 O1919 O1924 O1929 O1934 O1939 O1944 O1949 O1954 O1961 O1968 O1975 O1980 O1985 O1990 O1995 O2000 O2005 O2010 O2015 O2020 O2025 O2032 O2039 O2046 O2053 O2060 O2065 O2072 O2079 O2086 O2091 O2096 O2103 O2108 O2113 O2118 O2123 O2128 O2133 O2138 O2145 O2150 O2157 O2164 O2169 O2174 O2179 O2184 O2189 O2194 O2199 O2204 O2209 O2214 O2219 O2226 O2231 O2238 O2245 O2250 O2255 O2262 O2267 O2272 O2277 O2282 O2287 O2292 O2297 O2302 O2307 O2312 O2317 O2324 O2331 O2336 O2341 O2348 O2353 O2358 O2363 O2368 O2373 O2378 O2383 O2388 O2395 O2402 O2409 O2416 O2421 O2426 O2431 O2436 O2441 O2446 O2451 O2456 O2461 O2466 O2471 O2476 O2481 O2486 O2491 O2498 O2503 O2508 O2515 O2520 O2525 O2530 O2535 O2542 O2547 O2554 O2559 O2564 O2569 O2574 O2579 O2584 O2591 O2598 O2603 O2608 O2615 O2620 O2625 O2630 O2637 O2642 O2647 O2652 O2657 O2662 O2667 O2672 O2677 O2682 O2689 O2696 O2703 O2710 O2715 O2720 O2725 O2730 O2735 O2740 O2745 O2750 O2755 O2760 O2765 O2770 O2775 O2780 O2785 O2790 O2795" showDropDown="0" showInputMessage="0" showErrorMessage="0" allowBlank="1" type="list">
      <formula1>"LCK A320F,Reentrenamiento A320F,LCK A320F + Habilitación A320F,LCK A320 ALUMNO,Auditoria CAB Vuelo,BIANUAL IDE - HAB IDE,EXP RECIENTE A320,CHEQUEO LATAM A320F,CHEQUEO DGAC A320F"</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8" customWidth="1" min="1" max="1"/>
    <col width="12" customWidth="1" min="2" max="2"/>
    <col width="40" customWidth="1" min="3" max="3"/>
    <col width="10" customWidth="1" min="4" max="4"/>
  </cols>
  <sheetData>
    <row r="1">
      <c r="A1" s="10" t="inlineStr">
        <is>
          <t>Instructor</t>
        </is>
      </c>
      <c r="B1" s="10" t="inlineStr">
        <is>
          <t>BP</t>
        </is>
      </c>
      <c r="C1" s="10" t="inlineStr">
        <is>
          <t>Nombre</t>
        </is>
      </c>
      <c r="D1" s="10" t="inlineStr">
        <is>
          <t>Grupo</t>
        </is>
      </c>
    </row>
    <row r="2">
      <c r="A2" s="11" t="inlineStr">
        <is>
          <t>Christian Rondon</t>
        </is>
      </c>
      <c r="B2" s="11" t="inlineStr">
        <is>
          <t>1271571</t>
        </is>
      </c>
      <c r="C2" s="11" t="inlineStr">
        <is>
          <t xml:space="preserve"> RONDON BARRUTIA CHRISTIAN ERIC </t>
        </is>
      </c>
      <c r="D2" s="11" t="inlineStr">
        <is>
          <t>Grupo 1</t>
        </is>
      </c>
    </row>
    <row r="3">
      <c r="A3" s="11" t="inlineStr">
        <is>
          <t>Erika Davila</t>
        </is>
      </c>
      <c r="B3" s="11" t="inlineStr">
        <is>
          <t>967092</t>
        </is>
      </c>
      <c r="C3" s="11" t="inlineStr">
        <is>
          <t>DAVILA BELLO MARIA ERIKA</t>
        </is>
      </c>
      <c r="D3" s="11" t="inlineStr"/>
    </row>
    <row r="4">
      <c r="A4" s="11" t="inlineStr">
        <is>
          <t>Sebastian Correa</t>
        </is>
      </c>
      <c r="B4" s="11" t="inlineStr">
        <is>
          <t>2396710</t>
        </is>
      </c>
      <c r="C4" s="11" t="inlineStr">
        <is>
          <t xml:space="preserve"> CORREA GARCIA JUAN SEBASTIAN </t>
        </is>
      </c>
      <c r="D4" s="11" t="inlineStr">
        <is>
          <t>Grupo 1</t>
        </is>
      </c>
    </row>
    <row r="5">
      <c r="A5" s="11" t="inlineStr">
        <is>
          <t>Fiorella Ruiz</t>
        </is>
      </c>
      <c r="B5" s="11" t="inlineStr">
        <is>
          <t>2713993</t>
        </is>
      </c>
      <c r="C5" s="11" t="inlineStr">
        <is>
          <t>RUIZ RIOJA FIORELLA DEL PILAR</t>
        </is>
      </c>
      <c r="D5" s="11" t="inlineStr">
        <is>
          <t>Grupo 1</t>
        </is>
      </c>
    </row>
    <row r="6">
      <c r="A6" s="11" t="inlineStr">
        <is>
          <t>Jazmin Guerra</t>
        </is>
      </c>
      <c r="B6" s="11" t="inlineStr">
        <is>
          <t>29530</t>
        </is>
      </c>
      <c r="C6" s="11" t="inlineStr">
        <is>
          <t>GUERRA SUAREZ JAZMIN</t>
        </is>
      </c>
      <c r="D6" s="11" t="inlineStr">
        <is>
          <t>Grupo 2</t>
        </is>
      </c>
    </row>
    <row r="7">
      <c r="A7" s="11" t="inlineStr">
        <is>
          <t>Jennifert Acurio</t>
        </is>
      </c>
      <c r="B7" s="11" t="inlineStr">
        <is>
          <t>3779550</t>
        </is>
      </c>
      <c r="C7" s="11" t="inlineStr">
        <is>
          <t>ACURIO DARGENT JENNIFERT MILAGROS</t>
        </is>
      </c>
      <c r="D7" s="11" t="inlineStr">
        <is>
          <t>Grupo 2</t>
        </is>
      </c>
    </row>
    <row r="8">
      <c r="A8" s="11" t="inlineStr">
        <is>
          <t>Karen Santa Cruz</t>
        </is>
      </c>
      <c r="B8" s="11" t="inlineStr">
        <is>
          <t>2843319</t>
        </is>
      </c>
      <c r="C8" s="11" t="inlineStr">
        <is>
          <t>SANTA CRUZ HUAMAN KAREN</t>
        </is>
      </c>
      <c r="D8" s="11" t="inlineStr">
        <is>
          <t>Grupo 3</t>
        </is>
      </c>
    </row>
    <row r="9">
      <c r="A9" s="11" t="inlineStr">
        <is>
          <t>Luis Bacigalupo</t>
        </is>
      </c>
      <c r="B9" s="11" t="inlineStr">
        <is>
          <t>2963161</t>
        </is>
      </c>
      <c r="C9" s="11" t="inlineStr">
        <is>
          <t>BACIGALUPO FLORES LUIS ENRIQUE</t>
        </is>
      </c>
      <c r="D9" s="11" t="inlineStr"/>
    </row>
    <row r="10">
      <c r="A10" s="11" t="inlineStr">
        <is>
          <t>Claudia Flores</t>
        </is>
      </c>
      <c r="B10" s="11" t="inlineStr">
        <is>
          <t>3217561</t>
        </is>
      </c>
      <c r="C10" s="11" t="inlineStr">
        <is>
          <t xml:space="preserve"> FLORES FUENTES DAVILA CLAUDIA ALEXANDRA </t>
        </is>
      </c>
      <c r="D10" s="11" t="inlineStr">
        <is>
          <t>Grupo 2</t>
        </is>
      </c>
    </row>
    <row r="11">
      <c r="A11" s="11" t="inlineStr">
        <is>
          <t>Karla Moz</t>
        </is>
      </c>
      <c r="B11" s="11" t="inlineStr">
        <is>
          <t>71348</t>
        </is>
      </c>
      <c r="C11" s="11" t="inlineStr">
        <is>
          <t>MOZ MONTES KARLA LISSETTE</t>
        </is>
      </c>
      <c r="D11" s="11" t="inlineStr"/>
    </row>
    <row r="12">
      <c r="A12" s="11" t="inlineStr">
        <is>
          <t>Elizabeth Torres</t>
        </is>
      </c>
      <c r="B12" s="11" t="inlineStr">
        <is>
          <t>2369641</t>
        </is>
      </c>
      <c r="C12" s="11" t="inlineStr">
        <is>
          <t>TORRES POLO ELIZABETH DEL PILAR</t>
        </is>
      </c>
      <c r="D12" s="11" t="inlineStr"/>
    </row>
    <row r="13">
      <c r="A13" s="11" t="inlineStr">
        <is>
          <t>Patricia Najar</t>
        </is>
      </c>
      <c r="B13" s="11" t="inlineStr">
        <is>
          <t>2369624</t>
        </is>
      </c>
      <c r="C13" s="11" t="inlineStr">
        <is>
          <t>NAJAR CRUZ PATRICIA DEL PILAR</t>
        </is>
      </c>
      <c r="D13" s="11" t="inlineStr">
        <is>
          <t>Grupo 3</t>
        </is>
      </c>
    </row>
    <row r="14">
      <c r="A14" s="11" t="inlineStr">
        <is>
          <t>Javier Zapata</t>
        </is>
      </c>
      <c r="B14" s="11" t="inlineStr">
        <is>
          <t>3134911</t>
        </is>
      </c>
      <c r="C14" s="11" t="inlineStr">
        <is>
          <t>ZAPATA GARAYAR JAVIER RICARDO SALVADOR</t>
        </is>
      </c>
      <c r="D14" s="11" t="inlineStr">
        <is>
          <t>Grupo 2</t>
        </is>
      </c>
    </row>
    <row r="15">
      <c r="A15" s="11" t="inlineStr">
        <is>
          <t>Jefferson Mendez</t>
        </is>
      </c>
      <c r="B15" s="11" t="inlineStr">
        <is>
          <t>3750335</t>
        </is>
      </c>
      <c r="C15" s="11" t="inlineStr">
        <is>
          <t xml:space="preserve"> MENDEZ RUCOBA JEFFERSON </t>
        </is>
      </c>
      <c r="D15" s="11" t="inlineStr">
        <is>
          <t>Grupo 1</t>
        </is>
      </c>
    </row>
    <row r="16">
      <c r="A16" s="11" t="inlineStr">
        <is>
          <t>Gabriela Ungaro</t>
        </is>
      </c>
      <c r="B16" s="11" t="inlineStr">
        <is>
          <t>3852423</t>
        </is>
      </c>
      <c r="C16" s="11" t="inlineStr">
        <is>
          <t>UNGARO GUTIERREZ GABRIELA</t>
        </is>
      </c>
      <c r="D16" s="11" t="inlineStr">
        <is>
          <t>Grupo 3</t>
        </is>
      </c>
    </row>
    <row r="17">
      <c r="A17" s="11" t="inlineStr">
        <is>
          <t>Mariella Carrasco</t>
        </is>
      </c>
      <c r="B17" s="11" t="inlineStr">
        <is>
          <t>2604360</t>
        </is>
      </c>
      <c r="C17" s="11" t="inlineStr">
        <is>
          <t>CARRASCO BENAVIDES ROSA MARIELLA</t>
        </is>
      </c>
      <c r="D17" s="11" t="inlineStr"/>
    </row>
    <row r="18">
      <c r="A18" s="11" t="inlineStr">
        <is>
          <t>Cesar Campos</t>
        </is>
      </c>
      <c r="B18" s="11" t="inlineStr">
        <is>
          <t>2823133</t>
        </is>
      </c>
      <c r="C18" s="11" t="inlineStr">
        <is>
          <t xml:space="preserve"> CAMPOS CONCHE CESAR AUGUSTO </t>
        </is>
      </c>
      <c r="D18" s="11" t="inlineStr"/>
    </row>
    <row r="19">
      <c r="A19" s="11" t="inlineStr">
        <is>
          <t>Kevin Segovia</t>
        </is>
      </c>
      <c r="B19" s="11" t="inlineStr">
        <is>
          <t>3189967</t>
        </is>
      </c>
      <c r="C19" s="11" t="inlineStr">
        <is>
          <t>SEGOVIA TAPIA RAY KEVIN</t>
        </is>
      </c>
      <c r="D19" s="11" t="inlineStr"/>
    </row>
    <row r="20">
      <c r="A20" s="11" t="inlineStr">
        <is>
          <t>Milagros Salas</t>
        </is>
      </c>
      <c r="B20" s="11" t="inlineStr">
        <is>
          <t>2415373</t>
        </is>
      </c>
      <c r="C20" s="11" t="inlineStr">
        <is>
          <t>SALAS COSIO MILAGROS PATRICIA</t>
        </is>
      </c>
      <c r="D20" s="11" t="inlineStr"/>
    </row>
    <row r="21">
      <c r="A21" s="11" t="inlineStr">
        <is>
          <t>Judith Fernandez</t>
        </is>
      </c>
      <c r="B21" s="11" t="inlineStr">
        <is>
          <t>2440915</t>
        </is>
      </c>
      <c r="C21" s="11" t="inlineStr">
        <is>
          <t>FERNANDEZ GARCIA JUDITH JULIET</t>
        </is>
      </c>
      <c r="D21" s="11" t="inlineStr"/>
    </row>
    <row r="22">
      <c r="A22" s="11" t="inlineStr">
        <is>
          <t>Rafael Nieto</t>
        </is>
      </c>
      <c r="B22" s="11" t="inlineStr">
        <is>
          <t>3796947</t>
        </is>
      </c>
      <c r="C22" s="11" t="inlineStr">
        <is>
          <t xml:space="preserve"> NIETO SAENZ RAFAEL ANTONIO </t>
        </is>
      </c>
      <c r="D22" s="11" t="inlineStr"/>
    </row>
    <row r="23">
      <c r="A23" s="11" t="inlineStr">
        <is>
          <t>Gianfranco Celiz</t>
        </is>
      </c>
      <c r="B23" s="11" t="inlineStr">
        <is>
          <t>3841387</t>
        </is>
      </c>
      <c r="C23" s="11" t="inlineStr">
        <is>
          <t xml:space="preserve"> CELIZ ROSSI GIANFRANCO PAOLO </t>
        </is>
      </c>
      <c r="D23"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0" customWidth="1" min="3" max="3"/>
    <col width="12" customWidth="1" min="4" max="4"/>
    <col width="16" customWidth="1" min="5" max="5"/>
    <col width="10" customWidth="1" min="6" max="6"/>
    <col width="18" customWidth="1" min="7" max="7"/>
    <col width="10" customWidth="1" min="8" max="8"/>
    <col width="26" customWidth="1" min="9" max="9"/>
    <col width="8" customWidth="1" min="10" max="10"/>
    <col width="40" customWidth="1" min="11" max="11"/>
    <col width="8" customWidth="1" min="12" max="12"/>
    <col width="40" customWidth="1" min="13" max="13"/>
  </cols>
  <sheetData>
    <row r="1">
      <c r="A1" s="10" t="inlineStr">
        <is>
          <t>TRIP</t>
        </is>
      </c>
      <c r="B1" s="10" t="inlineStr">
        <is>
          <t>Fecha</t>
        </is>
      </c>
      <c r="C1" s="10" t="inlineStr">
        <is>
          <t>DíaSEM</t>
        </is>
      </c>
      <c r="D1" s="10" t="inlineStr">
        <is>
          <t>Vuelo</t>
        </is>
      </c>
      <c r="E1" s="10" t="inlineStr">
        <is>
          <t>Ruta</t>
        </is>
      </c>
      <c r="F1" s="10" t="inlineStr">
        <is>
          <t>BP INS</t>
        </is>
      </c>
      <c r="G1" s="10" t="inlineStr">
        <is>
          <t>INS</t>
        </is>
      </c>
      <c r="H1" s="10" t="inlineStr">
        <is>
          <t>GRUPO INS</t>
        </is>
      </c>
      <c r="I1" s="10" t="inlineStr">
        <is>
          <t>ACTIVIDAD</t>
        </is>
      </c>
      <c r="J1" s="10" t="inlineStr">
        <is>
          <t>FLOTA</t>
        </is>
      </c>
      <c r="K1" s="10" t="inlineStr">
        <is>
          <t>Nombre INS</t>
        </is>
      </c>
      <c r="L1" s="10" t="inlineStr">
        <is>
          <t>CUPOS</t>
        </is>
      </c>
      <c r="M1" s="10" t="inlineStr">
        <is>
          <t>TRIPULANTES (cupo, SIMULADO)</t>
        </is>
      </c>
    </row>
    <row r="2">
      <c r="A2" s="11">
        <f>'Pairings NB'!B9</f>
        <v/>
      </c>
      <c r="B2" s="11">
        <f>'Pairings NB'!C9</f>
        <v/>
      </c>
      <c r="C2" s="11">
        <f>'Pairings NB'!D9</f>
        <v/>
      </c>
      <c r="D2" s="11">
        <f>'Pairings NB'!E9&amp;"/"&amp;'Pairings NB'!E10</f>
        <v/>
      </c>
      <c r="E2" s="11">
        <f>'Pairings NB'!F9&amp;"-"&amp;'Pairings NB'!G9&amp;"-"&amp;'Pairings NB'!F9</f>
        <v/>
      </c>
      <c r="F2" s="11">
        <f>IFERROR(VLOOKUP('Pairings NB'!$M$9,Instructores!$A:$D,2,FALSE),"")</f>
        <v/>
      </c>
      <c r="G2" s="11">
        <f>'Pairings NB'!$M$9</f>
        <v/>
      </c>
      <c r="H2" s="11">
        <f>IFERROR(VLOOKUP('Pairings NB'!$M$9,Instructores!$A:$D,4,FALSE),"")</f>
        <v/>
      </c>
      <c r="I2" s="11">
        <f>'Pairings NB'!$O$9</f>
        <v/>
      </c>
      <c r="J2" s="11">
        <f>'Pairings NB'!J9</f>
        <v/>
      </c>
      <c r="K2" s="11">
        <f>IFERROR(VLOOKUP('Pairings NB'!$M$9,Instructores!$A:$D,3,FALSE),"")</f>
        <v/>
      </c>
      <c r="L2" s="11">
        <f>IF('Pairings NB'!J9=320,4,3)</f>
        <v/>
      </c>
      <c r="M2" s="11">
        <f>'Pairings NB'!$N$9</f>
        <v/>
      </c>
    </row>
    <row r="3">
      <c r="A3" s="11">
        <f>'Pairings NB'!B11</f>
        <v/>
      </c>
      <c r="B3" s="11">
        <f>'Pairings NB'!C11</f>
        <v/>
      </c>
      <c r="C3" s="11">
        <f>'Pairings NB'!D11</f>
        <v/>
      </c>
      <c r="D3" s="11">
        <f>'Pairings NB'!E11&amp;"/"&amp;'Pairings NB'!E12</f>
        <v/>
      </c>
      <c r="E3" s="11">
        <f>'Pairings NB'!F11&amp;"-"&amp;'Pairings NB'!G11&amp;"-"&amp;'Pairings NB'!F11</f>
        <v/>
      </c>
      <c r="F3" s="11">
        <f>IFERROR(VLOOKUP('Pairings NB'!$M$9,Instructores!$A:$D,2,FALSE),"")</f>
        <v/>
      </c>
      <c r="G3" s="11">
        <f>'Pairings NB'!$M$9</f>
        <v/>
      </c>
      <c r="H3" s="11">
        <f>IFERROR(VLOOKUP('Pairings NB'!$M$9,Instructores!$A:$D,4,FALSE),"")</f>
        <v/>
      </c>
      <c r="I3" s="11">
        <f>'Pairings NB'!$O$9</f>
        <v/>
      </c>
      <c r="J3" s="11">
        <f>'Pairings NB'!J11</f>
        <v/>
      </c>
      <c r="K3" s="11">
        <f>IFERROR(VLOOKUP('Pairings NB'!$M$9,Instructores!$A:$D,3,FALSE),"")</f>
        <v/>
      </c>
      <c r="L3" s="11">
        <f>IF('Pairings NB'!J11=320,4,3)</f>
        <v/>
      </c>
      <c r="M3" s="11">
        <f>'Pairings NB'!$N$9</f>
        <v/>
      </c>
    </row>
    <row r="4">
      <c r="A4" s="11">
        <f>'Pairings NB'!B16</f>
        <v/>
      </c>
      <c r="B4" s="11">
        <f>'Pairings NB'!C16</f>
        <v/>
      </c>
      <c r="C4" s="11">
        <f>'Pairings NB'!D16</f>
        <v/>
      </c>
      <c r="D4" s="11">
        <f>'Pairings NB'!E16&amp;"/"&amp;'Pairings NB'!E17</f>
        <v/>
      </c>
      <c r="E4" s="11">
        <f>'Pairings NB'!F16&amp;"-"&amp;'Pairings NB'!G16&amp;"-"&amp;'Pairings NB'!F16</f>
        <v/>
      </c>
      <c r="F4" s="11">
        <f>IFERROR(VLOOKUP('Pairings NB'!$M$16,Instructores!$A:$D,2,FALSE),"")</f>
        <v/>
      </c>
      <c r="G4" s="11">
        <f>'Pairings NB'!$M$16</f>
        <v/>
      </c>
      <c r="H4" s="11">
        <f>IFERROR(VLOOKUP('Pairings NB'!$M$16,Instructores!$A:$D,4,FALSE),"")</f>
        <v/>
      </c>
      <c r="I4" s="11">
        <f>'Pairings NB'!$O$16</f>
        <v/>
      </c>
      <c r="J4" s="11">
        <f>'Pairings NB'!J16</f>
        <v/>
      </c>
      <c r="K4" s="11">
        <f>IFERROR(VLOOKUP('Pairings NB'!$M$16,Instructores!$A:$D,3,FALSE),"")</f>
        <v/>
      </c>
      <c r="L4" s="11">
        <f>IF('Pairings NB'!J16=320,4,3)</f>
        <v/>
      </c>
      <c r="M4" s="11">
        <f>'Pairings NB'!$N$16</f>
        <v/>
      </c>
    </row>
    <row r="5">
      <c r="A5" s="11">
        <f>'Pairings NB'!B18</f>
        <v/>
      </c>
      <c r="B5" s="11">
        <f>'Pairings NB'!C18</f>
        <v/>
      </c>
      <c r="C5" s="11">
        <f>'Pairings NB'!D18</f>
        <v/>
      </c>
      <c r="D5" s="11">
        <f>'Pairings NB'!E18&amp;"/"&amp;'Pairings NB'!E19</f>
        <v/>
      </c>
      <c r="E5" s="11">
        <f>'Pairings NB'!F18&amp;"-"&amp;'Pairings NB'!G18&amp;"-"&amp;'Pairings NB'!F18</f>
        <v/>
      </c>
      <c r="F5" s="11">
        <f>IFERROR(VLOOKUP('Pairings NB'!$M$16,Instructores!$A:$D,2,FALSE),"")</f>
        <v/>
      </c>
      <c r="G5" s="11">
        <f>'Pairings NB'!$M$16</f>
        <v/>
      </c>
      <c r="H5" s="11">
        <f>IFERROR(VLOOKUP('Pairings NB'!$M$16,Instructores!$A:$D,4,FALSE),"")</f>
        <v/>
      </c>
      <c r="I5" s="11">
        <f>'Pairings NB'!$O$16</f>
        <v/>
      </c>
      <c r="J5" s="11">
        <f>'Pairings NB'!J18</f>
        <v/>
      </c>
      <c r="K5" s="11">
        <f>IFERROR(VLOOKUP('Pairings NB'!$M$16,Instructores!$A:$D,3,FALSE),"")</f>
        <v/>
      </c>
      <c r="L5" s="11">
        <f>IF('Pairings NB'!J18=320,4,3)</f>
        <v/>
      </c>
      <c r="M5" s="11">
        <f>'Pairings NB'!$N$16</f>
        <v/>
      </c>
    </row>
    <row r="6">
      <c r="A6" s="11">
        <f>'Pairings NB'!B23</f>
        <v/>
      </c>
      <c r="B6" s="11">
        <f>'Pairings NB'!C23</f>
        <v/>
      </c>
      <c r="C6" s="11">
        <f>'Pairings NB'!D23</f>
        <v/>
      </c>
      <c r="D6" s="11">
        <f>'Pairings NB'!E23&amp;"/"&amp;'Pairings NB'!E24</f>
        <v/>
      </c>
      <c r="E6" s="11">
        <f>'Pairings NB'!F23&amp;"-"&amp;'Pairings NB'!G23&amp;"-"&amp;'Pairings NB'!F23</f>
        <v/>
      </c>
      <c r="F6" s="11">
        <f>IFERROR(VLOOKUP('Pairings NB'!$M$23,Instructores!$A:$D,2,FALSE),"")</f>
        <v/>
      </c>
      <c r="G6" s="11">
        <f>'Pairings NB'!$M$23</f>
        <v/>
      </c>
      <c r="H6" s="11">
        <f>IFERROR(VLOOKUP('Pairings NB'!$M$23,Instructores!$A:$D,4,FALSE),"")</f>
        <v/>
      </c>
      <c r="I6" s="11">
        <f>'Pairings NB'!$O$23</f>
        <v/>
      </c>
      <c r="J6" s="11">
        <f>'Pairings NB'!J23</f>
        <v/>
      </c>
      <c r="K6" s="11">
        <f>IFERROR(VLOOKUP('Pairings NB'!$M$23,Instructores!$A:$D,3,FALSE),"")</f>
        <v/>
      </c>
      <c r="L6" s="11">
        <f>IF('Pairings NB'!J23=320,4,3)</f>
        <v/>
      </c>
      <c r="M6" s="11">
        <f>'Pairings NB'!$N$23</f>
        <v/>
      </c>
    </row>
    <row r="7">
      <c r="A7" s="11">
        <f>'Pairings NB'!B25</f>
        <v/>
      </c>
      <c r="B7" s="11">
        <f>'Pairings NB'!C25</f>
        <v/>
      </c>
      <c r="C7" s="11">
        <f>'Pairings NB'!D25</f>
        <v/>
      </c>
      <c r="D7" s="11">
        <f>'Pairings NB'!E25&amp;"/"&amp;'Pairings NB'!E26</f>
        <v/>
      </c>
      <c r="E7" s="11">
        <f>'Pairings NB'!F25&amp;"-"&amp;'Pairings NB'!G25&amp;"-"&amp;'Pairings NB'!F25</f>
        <v/>
      </c>
      <c r="F7" s="11">
        <f>IFERROR(VLOOKUP('Pairings NB'!$M$23,Instructores!$A:$D,2,FALSE),"")</f>
        <v/>
      </c>
      <c r="G7" s="11">
        <f>'Pairings NB'!$M$23</f>
        <v/>
      </c>
      <c r="H7" s="11">
        <f>IFERROR(VLOOKUP('Pairings NB'!$M$23,Instructores!$A:$D,4,FALSE),"")</f>
        <v/>
      </c>
      <c r="I7" s="11">
        <f>'Pairings NB'!$O$23</f>
        <v/>
      </c>
      <c r="J7" s="11">
        <f>'Pairings NB'!J25</f>
        <v/>
      </c>
      <c r="K7" s="11">
        <f>IFERROR(VLOOKUP('Pairings NB'!$M$23,Instructores!$A:$D,3,FALSE),"")</f>
        <v/>
      </c>
      <c r="L7" s="11">
        <f>IF('Pairings NB'!J25=320,4,3)</f>
        <v/>
      </c>
      <c r="M7" s="11">
        <f>'Pairings NB'!$N$23</f>
        <v/>
      </c>
    </row>
    <row r="8">
      <c r="A8" s="11">
        <f>'Pairings NB'!B30</f>
        <v/>
      </c>
      <c r="B8" s="11">
        <f>'Pairings NB'!C30</f>
        <v/>
      </c>
      <c r="C8" s="11">
        <f>'Pairings NB'!D30</f>
        <v/>
      </c>
      <c r="D8" s="11">
        <f>'Pairings NB'!E30&amp;"/"&amp;'Pairings NB'!E31</f>
        <v/>
      </c>
      <c r="E8" s="11">
        <f>'Pairings NB'!F30&amp;"-"&amp;'Pairings NB'!G30&amp;"-"&amp;'Pairings NB'!F30</f>
        <v/>
      </c>
      <c r="F8" s="11">
        <f>IFERROR(VLOOKUP('Pairings NB'!$M$30,Instructores!$A:$D,2,FALSE),"")</f>
        <v/>
      </c>
      <c r="G8" s="11">
        <f>'Pairings NB'!$M$30</f>
        <v/>
      </c>
      <c r="H8" s="11">
        <f>IFERROR(VLOOKUP('Pairings NB'!$M$30,Instructores!$A:$D,4,FALSE),"")</f>
        <v/>
      </c>
      <c r="I8" s="11">
        <f>'Pairings NB'!$O$30</f>
        <v/>
      </c>
      <c r="J8" s="11">
        <f>'Pairings NB'!J30</f>
        <v/>
      </c>
      <c r="K8" s="11">
        <f>IFERROR(VLOOKUP('Pairings NB'!$M$30,Instructores!$A:$D,3,FALSE),"")</f>
        <v/>
      </c>
      <c r="L8" s="11">
        <f>IF('Pairings NB'!J30=320,4,3)</f>
        <v/>
      </c>
      <c r="M8" s="11">
        <f>'Pairings NB'!$N$30</f>
        <v/>
      </c>
    </row>
    <row r="9">
      <c r="A9" s="11">
        <f>'Pairings NB'!B35</f>
        <v/>
      </c>
      <c r="B9" s="11">
        <f>'Pairings NB'!C35</f>
        <v/>
      </c>
      <c r="C9" s="11">
        <f>'Pairings NB'!D35</f>
        <v/>
      </c>
      <c r="D9" s="11">
        <f>'Pairings NB'!E35&amp;"/"&amp;'Pairings NB'!E36</f>
        <v/>
      </c>
      <c r="E9" s="11">
        <f>'Pairings NB'!F35&amp;"-"&amp;'Pairings NB'!G35&amp;"-"&amp;'Pairings NB'!F35</f>
        <v/>
      </c>
      <c r="F9" s="11">
        <f>IFERROR(VLOOKUP('Pairings NB'!$M$35,Instructores!$A:$D,2,FALSE),"")</f>
        <v/>
      </c>
      <c r="G9" s="11">
        <f>'Pairings NB'!$M$35</f>
        <v/>
      </c>
      <c r="H9" s="11">
        <f>IFERROR(VLOOKUP('Pairings NB'!$M$35,Instructores!$A:$D,4,FALSE),"")</f>
        <v/>
      </c>
      <c r="I9" s="11">
        <f>'Pairings NB'!$O$35</f>
        <v/>
      </c>
      <c r="J9" s="11">
        <f>'Pairings NB'!J35</f>
        <v/>
      </c>
      <c r="K9" s="11">
        <f>IFERROR(VLOOKUP('Pairings NB'!$M$35,Instructores!$A:$D,3,FALSE),"")</f>
        <v/>
      </c>
      <c r="L9" s="11">
        <f>IF('Pairings NB'!J35=320,4,3)</f>
        <v/>
      </c>
      <c r="M9" s="11">
        <f>'Pairings NB'!$N$35</f>
        <v/>
      </c>
    </row>
    <row r="10">
      <c r="A10" s="11">
        <f>'Pairings NB'!B37</f>
        <v/>
      </c>
      <c r="B10" s="11">
        <f>'Pairings NB'!C37</f>
        <v/>
      </c>
      <c r="C10" s="11">
        <f>'Pairings NB'!D37</f>
        <v/>
      </c>
      <c r="D10" s="11">
        <f>'Pairings NB'!E37&amp;"/"&amp;'Pairings NB'!E38</f>
        <v/>
      </c>
      <c r="E10" s="11">
        <f>'Pairings NB'!F37&amp;"-"&amp;'Pairings NB'!G37&amp;"-"&amp;'Pairings NB'!F37</f>
        <v/>
      </c>
      <c r="F10" s="11">
        <f>IFERROR(VLOOKUP('Pairings NB'!$M$35,Instructores!$A:$D,2,FALSE),"")</f>
        <v/>
      </c>
      <c r="G10" s="11">
        <f>'Pairings NB'!$M$35</f>
        <v/>
      </c>
      <c r="H10" s="11">
        <f>IFERROR(VLOOKUP('Pairings NB'!$M$35,Instructores!$A:$D,4,FALSE),"")</f>
        <v/>
      </c>
      <c r="I10" s="11">
        <f>'Pairings NB'!$O$35</f>
        <v/>
      </c>
      <c r="J10" s="11">
        <f>'Pairings NB'!J37</f>
        <v/>
      </c>
      <c r="K10" s="11">
        <f>IFERROR(VLOOKUP('Pairings NB'!$M$35,Instructores!$A:$D,3,FALSE),"")</f>
        <v/>
      </c>
      <c r="L10" s="11">
        <f>IF('Pairings NB'!J37=320,4,3)</f>
        <v/>
      </c>
      <c r="M10" s="11">
        <f>'Pairings NB'!$N$35</f>
        <v/>
      </c>
    </row>
    <row r="11">
      <c r="A11" s="11">
        <f>'Pairings NB'!B42</f>
        <v/>
      </c>
      <c r="B11" s="11">
        <f>'Pairings NB'!C42</f>
        <v/>
      </c>
      <c r="C11" s="11">
        <f>'Pairings NB'!D42</f>
        <v/>
      </c>
      <c r="D11" s="11">
        <f>'Pairings NB'!E42&amp;"/"&amp;'Pairings NB'!E43</f>
        <v/>
      </c>
      <c r="E11" s="11">
        <f>'Pairings NB'!F42&amp;"-"&amp;'Pairings NB'!G42&amp;"-"&amp;'Pairings NB'!F42</f>
        <v/>
      </c>
      <c r="F11" s="11">
        <f>IFERROR(VLOOKUP('Pairings NB'!$M$42,Instructores!$A:$D,2,FALSE),"")</f>
        <v/>
      </c>
      <c r="G11" s="11">
        <f>'Pairings NB'!$M$42</f>
        <v/>
      </c>
      <c r="H11" s="11">
        <f>IFERROR(VLOOKUP('Pairings NB'!$M$42,Instructores!$A:$D,4,FALSE),"")</f>
        <v/>
      </c>
      <c r="I11" s="11">
        <f>'Pairings NB'!$O$42</f>
        <v/>
      </c>
      <c r="J11" s="11">
        <f>'Pairings NB'!J42</f>
        <v/>
      </c>
      <c r="K11" s="11">
        <f>IFERROR(VLOOKUP('Pairings NB'!$M$42,Instructores!$A:$D,3,FALSE),"")</f>
        <v/>
      </c>
      <c r="L11" s="11">
        <f>IF('Pairings NB'!J42=320,4,3)</f>
        <v/>
      </c>
      <c r="M11" s="11">
        <f>'Pairings NB'!$N$42</f>
        <v/>
      </c>
    </row>
    <row r="12">
      <c r="A12" s="11">
        <f>'Pairings NB'!B44</f>
        <v/>
      </c>
      <c r="B12" s="11">
        <f>'Pairings NB'!C44</f>
        <v/>
      </c>
      <c r="C12" s="11">
        <f>'Pairings NB'!D44</f>
        <v/>
      </c>
      <c r="D12" s="11">
        <f>'Pairings NB'!E44&amp;"/"&amp;'Pairings NB'!E45</f>
        <v/>
      </c>
      <c r="E12" s="11">
        <f>'Pairings NB'!F44&amp;"-"&amp;'Pairings NB'!G44&amp;"-"&amp;'Pairings NB'!F44</f>
        <v/>
      </c>
      <c r="F12" s="11">
        <f>IFERROR(VLOOKUP('Pairings NB'!$M$42,Instructores!$A:$D,2,FALSE),"")</f>
        <v/>
      </c>
      <c r="G12" s="11">
        <f>'Pairings NB'!$M$42</f>
        <v/>
      </c>
      <c r="H12" s="11">
        <f>IFERROR(VLOOKUP('Pairings NB'!$M$42,Instructores!$A:$D,4,FALSE),"")</f>
        <v/>
      </c>
      <c r="I12" s="11">
        <f>'Pairings NB'!$O$42</f>
        <v/>
      </c>
      <c r="J12" s="11">
        <f>'Pairings NB'!J44</f>
        <v/>
      </c>
      <c r="K12" s="11">
        <f>IFERROR(VLOOKUP('Pairings NB'!$M$42,Instructores!$A:$D,3,FALSE),"")</f>
        <v/>
      </c>
      <c r="L12" s="11">
        <f>IF('Pairings NB'!J44=320,4,3)</f>
        <v/>
      </c>
      <c r="M12" s="11">
        <f>'Pairings NB'!$N$42</f>
        <v/>
      </c>
    </row>
    <row r="13">
      <c r="A13" s="11">
        <f>'Pairings NB'!B49</f>
        <v/>
      </c>
      <c r="B13" s="11">
        <f>'Pairings NB'!C49</f>
        <v/>
      </c>
      <c r="C13" s="11">
        <f>'Pairings NB'!D49</f>
        <v/>
      </c>
      <c r="D13" s="11">
        <f>'Pairings NB'!E49&amp;"/"&amp;'Pairings NB'!E50</f>
        <v/>
      </c>
      <c r="E13" s="11">
        <f>'Pairings NB'!F49&amp;"-"&amp;'Pairings NB'!G49&amp;"-"&amp;'Pairings NB'!F49</f>
        <v/>
      </c>
      <c r="F13" s="11">
        <f>IFERROR(VLOOKUP('Pairings NB'!$M$49,Instructores!$A:$D,2,FALSE),"")</f>
        <v/>
      </c>
      <c r="G13" s="11">
        <f>'Pairings NB'!$M$49</f>
        <v/>
      </c>
      <c r="H13" s="11">
        <f>IFERROR(VLOOKUP('Pairings NB'!$M$49,Instructores!$A:$D,4,FALSE),"")</f>
        <v/>
      </c>
      <c r="I13" s="11">
        <f>'Pairings NB'!$O$49</f>
        <v/>
      </c>
      <c r="J13" s="11">
        <f>'Pairings NB'!J49</f>
        <v/>
      </c>
      <c r="K13" s="11">
        <f>IFERROR(VLOOKUP('Pairings NB'!$M$49,Instructores!$A:$D,3,FALSE),"")</f>
        <v/>
      </c>
      <c r="L13" s="11">
        <f>IF('Pairings NB'!J49=320,4,3)</f>
        <v/>
      </c>
      <c r="M13" s="11">
        <f>'Pairings NB'!$N$49</f>
        <v/>
      </c>
    </row>
    <row r="14">
      <c r="A14" s="11">
        <f>'Pairings NB'!B54</f>
        <v/>
      </c>
      <c r="B14" s="11">
        <f>'Pairings NB'!C54</f>
        <v/>
      </c>
      <c r="C14" s="11">
        <f>'Pairings NB'!D54</f>
        <v/>
      </c>
      <c r="D14" s="11">
        <f>'Pairings NB'!E54&amp;"/"&amp;'Pairings NB'!E55</f>
        <v/>
      </c>
      <c r="E14" s="11">
        <f>'Pairings NB'!F54&amp;"-"&amp;'Pairings NB'!G54&amp;"-"&amp;'Pairings NB'!F54</f>
        <v/>
      </c>
      <c r="F14" s="11">
        <f>IFERROR(VLOOKUP('Pairings NB'!$M$54,Instructores!$A:$D,2,FALSE),"")</f>
        <v/>
      </c>
      <c r="G14" s="11">
        <f>'Pairings NB'!$M$54</f>
        <v/>
      </c>
      <c r="H14" s="11">
        <f>IFERROR(VLOOKUP('Pairings NB'!$M$54,Instructores!$A:$D,4,FALSE),"")</f>
        <v/>
      </c>
      <c r="I14" s="11">
        <f>'Pairings NB'!$O$54</f>
        <v/>
      </c>
      <c r="J14" s="11">
        <f>'Pairings NB'!J54</f>
        <v/>
      </c>
      <c r="K14" s="11">
        <f>IFERROR(VLOOKUP('Pairings NB'!$M$54,Instructores!$A:$D,3,FALSE),"")</f>
        <v/>
      </c>
      <c r="L14" s="11">
        <f>IF('Pairings NB'!J54=320,4,3)</f>
        <v/>
      </c>
      <c r="M14" s="11">
        <f>'Pairings NB'!$N$54</f>
        <v/>
      </c>
    </row>
    <row r="15">
      <c r="A15" s="11">
        <f>'Pairings NB'!B59</f>
        <v/>
      </c>
      <c r="B15" s="11">
        <f>'Pairings NB'!C59</f>
        <v/>
      </c>
      <c r="C15" s="11">
        <f>'Pairings NB'!D59</f>
        <v/>
      </c>
      <c r="D15" s="11">
        <f>'Pairings NB'!E59&amp;"/"&amp;'Pairings NB'!E60</f>
        <v/>
      </c>
      <c r="E15" s="11">
        <f>'Pairings NB'!F59&amp;"-"&amp;'Pairings NB'!G59&amp;"-"&amp;'Pairings NB'!F59</f>
        <v/>
      </c>
      <c r="F15" s="11">
        <f>IFERROR(VLOOKUP('Pairings NB'!$M$59,Instructores!$A:$D,2,FALSE),"")</f>
        <v/>
      </c>
      <c r="G15" s="11">
        <f>'Pairings NB'!$M$59</f>
        <v/>
      </c>
      <c r="H15" s="11">
        <f>IFERROR(VLOOKUP('Pairings NB'!$M$59,Instructores!$A:$D,4,FALSE),"")</f>
        <v/>
      </c>
      <c r="I15" s="11">
        <f>'Pairings NB'!$O$59</f>
        <v/>
      </c>
      <c r="J15" s="11">
        <f>'Pairings NB'!J59</f>
        <v/>
      </c>
      <c r="K15" s="11">
        <f>IFERROR(VLOOKUP('Pairings NB'!$M$59,Instructores!$A:$D,3,FALSE),"")</f>
        <v/>
      </c>
      <c r="L15" s="11">
        <f>IF('Pairings NB'!J59=320,4,3)</f>
        <v/>
      </c>
      <c r="M15" s="11">
        <f>'Pairings NB'!$N$59</f>
        <v/>
      </c>
    </row>
    <row r="16">
      <c r="A16" s="11">
        <f>'Pairings NB'!B64</f>
        <v/>
      </c>
      <c r="B16" s="11">
        <f>'Pairings NB'!C64</f>
        <v/>
      </c>
      <c r="C16" s="11">
        <f>'Pairings NB'!D64</f>
        <v/>
      </c>
      <c r="D16" s="11">
        <f>'Pairings NB'!E64&amp;"/"&amp;'Pairings NB'!E65</f>
        <v/>
      </c>
      <c r="E16" s="11">
        <f>'Pairings NB'!F64&amp;"-"&amp;'Pairings NB'!G64&amp;"-"&amp;'Pairings NB'!F64</f>
        <v/>
      </c>
      <c r="F16" s="11">
        <f>IFERROR(VLOOKUP('Pairings NB'!$M$64,Instructores!$A:$D,2,FALSE),"")</f>
        <v/>
      </c>
      <c r="G16" s="11">
        <f>'Pairings NB'!$M$64</f>
        <v/>
      </c>
      <c r="H16" s="11">
        <f>IFERROR(VLOOKUP('Pairings NB'!$M$64,Instructores!$A:$D,4,FALSE),"")</f>
        <v/>
      </c>
      <c r="I16" s="11">
        <f>'Pairings NB'!$O$64</f>
        <v/>
      </c>
      <c r="J16" s="11">
        <f>'Pairings NB'!J64</f>
        <v/>
      </c>
      <c r="K16" s="11">
        <f>IFERROR(VLOOKUP('Pairings NB'!$M$64,Instructores!$A:$D,3,FALSE),"")</f>
        <v/>
      </c>
      <c r="L16" s="11">
        <f>IF('Pairings NB'!J64=320,4,3)</f>
        <v/>
      </c>
      <c r="M16" s="11">
        <f>'Pairings NB'!$N$64</f>
        <v/>
      </c>
    </row>
    <row r="17">
      <c r="A17" s="11">
        <f>'Pairings NB'!B69</f>
        <v/>
      </c>
      <c r="B17" s="11">
        <f>'Pairings NB'!C69</f>
        <v/>
      </c>
      <c r="C17" s="11">
        <f>'Pairings NB'!D69</f>
        <v/>
      </c>
      <c r="D17" s="11">
        <f>'Pairings NB'!E69&amp;"/"&amp;'Pairings NB'!E70</f>
        <v/>
      </c>
      <c r="E17" s="11">
        <f>'Pairings NB'!F69&amp;"-"&amp;'Pairings NB'!G69&amp;"-"&amp;'Pairings NB'!F69</f>
        <v/>
      </c>
      <c r="F17" s="11">
        <f>IFERROR(VLOOKUP('Pairings NB'!$M$69,Instructores!$A:$D,2,FALSE),"")</f>
        <v/>
      </c>
      <c r="G17" s="11">
        <f>'Pairings NB'!$M$69</f>
        <v/>
      </c>
      <c r="H17" s="11">
        <f>IFERROR(VLOOKUP('Pairings NB'!$M$69,Instructores!$A:$D,4,FALSE),"")</f>
        <v/>
      </c>
      <c r="I17" s="11">
        <f>'Pairings NB'!$O$69</f>
        <v/>
      </c>
      <c r="J17" s="11">
        <f>'Pairings NB'!J69</f>
        <v/>
      </c>
      <c r="K17" s="11">
        <f>IFERROR(VLOOKUP('Pairings NB'!$M$69,Instructores!$A:$D,3,FALSE),"")</f>
        <v/>
      </c>
      <c r="L17" s="11">
        <f>IF('Pairings NB'!J69=320,4,3)</f>
        <v/>
      </c>
      <c r="M17" s="11">
        <f>'Pairings NB'!$N$69</f>
        <v/>
      </c>
    </row>
    <row r="18">
      <c r="A18" s="11">
        <f>'Pairings NB'!B74</f>
        <v/>
      </c>
      <c r="B18" s="11">
        <f>'Pairings NB'!C74</f>
        <v/>
      </c>
      <c r="C18" s="11">
        <f>'Pairings NB'!D74</f>
        <v/>
      </c>
      <c r="D18" s="11">
        <f>'Pairings NB'!E74&amp;"/"&amp;'Pairings NB'!E75</f>
        <v/>
      </c>
      <c r="E18" s="11">
        <f>'Pairings NB'!F74&amp;"-"&amp;'Pairings NB'!G74&amp;"-"&amp;'Pairings NB'!F74</f>
        <v/>
      </c>
      <c r="F18" s="11">
        <f>IFERROR(VLOOKUP('Pairings NB'!$M$74,Instructores!$A:$D,2,FALSE),"")</f>
        <v/>
      </c>
      <c r="G18" s="11">
        <f>'Pairings NB'!$M$74</f>
        <v/>
      </c>
      <c r="H18" s="11">
        <f>IFERROR(VLOOKUP('Pairings NB'!$M$74,Instructores!$A:$D,4,FALSE),"")</f>
        <v/>
      </c>
      <c r="I18" s="11">
        <f>'Pairings NB'!$O$74</f>
        <v/>
      </c>
      <c r="J18" s="11">
        <f>'Pairings NB'!J74</f>
        <v/>
      </c>
      <c r="K18" s="11">
        <f>IFERROR(VLOOKUP('Pairings NB'!$M$74,Instructores!$A:$D,3,FALSE),"")</f>
        <v/>
      </c>
      <c r="L18" s="11">
        <f>IF('Pairings NB'!J74=320,4,3)</f>
        <v/>
      </c>
      <c r="M18" s="11">
        <f>'Pairings NB'!$N$74</f>
        <v/>
      </c>
    </row>
    <row r="19">
      <c r="A19" s="11">
        <f>'Pairings NB'!B79</f>
        <v/>
      </c>
      <c r="B19" s="11">
        <f>'Pairings NB'!C79</f>
        <v/>
      </c>
      <c r="C19" s="11">
        <f>'Pairings NB'!D79</f>
        <v/>
      </c>
      <c r="D19" s="11">
        <f>'Pairings NB'!E79&amp;"/"&amp;'Pairings NB'!E80</f>
        <v/>
      </c>
      <c r="E19" s="11">
        <f>'Pairings NB'!F79&amp;"-"&amp;'Pairings NB'!G79&amp;"-"&amp;'Pairings NB'!F79</f>
        <v/>
      </c>
      <c r="F19" s="11">
        <f>IFERROR(VLOOKUP('Pairings NB'!$M$79,Instructores!$A:$D,2,FALSE),"")</f>
        <v/>
      </c>
      <c r="G19" s="11">
        <f>'Pairings NB'!$M$79</f>
        <v/>
      </c>
      <c r="H19" s="11">
        <f>IFERROR(VLOOKUP('Pairings NB'!$M$79,Instructores!$A:$D,4,FALSE),"")</f>
        <v/>
      </c>
      <c r="I19" s="11">
        <f>'Pairings NB'!$O$79</f>
        <v/>
      </c>
      <c r="J19" s="11">
        <f>'Pairings NB'!J79</f>
        <v/>
      </c>
      <c r="K19" s="11">
        <f>IFERROR(VLOOKUP('Pairings NB'!$M$79,Instructores!$A:$D,3,FALSE),"")</f>
        <v/>
      </c>
      <c r="L19" s="11">
        <f>IF('Pairings NB'!J79=320,4,3)</f>
        <v/>
      </c>
      <c r="M19" s="11">
        <f>'Pairings NB'!$N$79</f>
        <v/>
      </c>
    </row>
    <row r="20">
      <c r="A20" s="11">
        <f>'Pairings NB'!B84</f>
        <v/>
      </c>
      <c r="B20" s="11">
        <f>'Pairings NB'!C84</f>
        <v/>
      </c>
      <c r="C20" s="11">
        <f>'Pairings NB'!D84</f>
        <v/>
      </c>
      <c r="D20" s="11">
        <f>'Pairings NB'!E84&amp;"/"&amp;'Pairings NB'!E85</f>
        <v/>
      </c>
      <c r="E20" s="11">
        <f>'Pairings NB'!F84&amp;"-"&amp;'Pairings NB'!G84&amp;"-"&amp;'Pairings NB'!F84</f>
        <v/>
      </c>
      <c r="F20" s="11">
        <f>IFERROR(VLOOKUP('Pairings NB'!$M$84,Instructores!$A:$D,2,FALSE),"")</f>
        <v/>
      </c>
      <c r="G20" s="11">
        <f>'Pairings NB'!$M$84</f>
        <v/>
      </c>
      <c r="H20" s="11">
        <f>IFERROR(VLOOKUP('Pairings NB'!$M$84,Instructores!$A:$D,4,FALSE),"")</f>
        <v/>
      </c>
      <c r="I20" s="11">
        <f>'Pairings NB'!$O$84</f>
        <v/>
      </c>
      <c r="J20" s="11">
        <f>'Pairings NB'!J84</f>
        <v/>
      </c>
      <c r="K20" s="11">
        <f>IFERROR(VLOOKUP('Pairings NB'!$M$84,Instructores!$A:$D,3,FALSE),"")</f>
        <v/>
      </c>
      <c r="L20" s="11">
        <f>IF('Pairings NB'!J84=320,4,3)</f>
        <v/>
      </c>
      <c r="M20" s="11">
        <f>'Pairings NB'!$N$84</f>
        <v/>
      </c>
    </row>
    <row r="21">
      <c r="A21" s="11">
        <f>'Pairings NB'!B89</f>
        <v/>
      </c>
      <c r="B21" s="11">
        <f>'Pairings NB'!C89</f>
        <v/>
      </c>
      <c r="C21" s="11">
        <f>'Pairings NB'!D89</f>
        <v/>
      </c>
      <c r="D21" s="11">
        <f>'Pairings NB'!E89&amp;"/"&amp;'Pairings NB'!E90</f>
        <v/>
      </c>
      <c r="E21" s="11">
        <f>'Pairings NB'!F89&amp;"-"&amp;'Pairings NB'!G89&amp;"-"&amp;'Pairings NB'!F89</f>
        <v/>
      </c>
      <c r="F21" s="11">
        <f>IFERROR(VLOOKUP('Pairings NB'!$M$89,Instructores!$A:$D,2,FALSE),"")</f>
        <v/>
      </c>
      <c r="G21" s="11">
        <f>'Pairings NB'!$M$89</f>
        <v/>
      </c>
      <c r="H21" s="11">
        <f>IFERROR(VLOOKUP('Pairings NB'!$M$89,Instructores!$A:$D,4,FALSE),"")</f>
        <v/>
      </c>
      <c r="I21" s="11">
        <f>'Pairings NB'!$O$89</f>
        <v/>
      </c>
      <c r="J21" s="11">
        <f>'Pairings NB'!J89</f>
        <v/>
      </c>
      <c r="K21" s="11">
        <f>IFERROR(VLOOKUP('Pairings NB'!$M$89,Instructores!$A:$D,3,FALSE),"")</f>
        <v/>
      </c>
      <c r="L21" s="11">
        <f>IF('Pairings NB'!J89=320,4,3)</f>
        <v/>
      </c>
      <c r="M21" s="11">
        <f>'Pairings NB'!$N$89</f>
        <v/>
      </c>
    </row>
    <row r="22">
      <c r="A22" s="11">
        <f>'Pairings NB'!B94</f>
        <v/>
      </c>
      <c r="B22" s="11">
        <f>'Pairings NB'!C94</f>
        <v/>
      </c>
      <c r="C22" s="11">
        <f>'Pairings NB'!D94</f>
        <v/>
      </c>
      <c r="D22" s="11">
        <f>'Pairings NB'!E94&amp;"/"&amp;'Pairings NB'!E95</f>
        <v/>
      </c>
      <c r="E22" s="11">
        <f>'Pairings NB'!F94&amp;"-"&amp;'Pairings NB'!G94&amp;"-"&amp;'Pairings NB'!F94</f>
        <v/>
      </c>
      <c r="F22" s="11">
        <f>IFERROR(VLOOKUP('Pairings NB'!$M$94,Instructores!$A:$D,2,FALSE),"")</f>
        <v/>
      </c>
      <c r="G22" s="11">
        <f>'Pairings NB'!$M$94</f>
        <v/>
      </c>
      <c r="H22" s="11">
        <f>IFERROR(VLOOKUP('Pairings NB'!$M$94,Instructores!$A:$D,4,FALSE),"")</f>
        <v/>
      </c>
      <c r="I22" s="11">
        <f>'Pairings NB'!$O$94</f>
        <v/>
      </c>
      <c r="J22" s="11">
        <f>'Pairings NB'!J94</f>
        <v/>
      </c>
      <c r="K22" s="11">
        <f>IFERROR(VLOOKUP('Pairings NB'!$M$94,Instructores!$A:$D,3,FALSE),"")</f>
        <v/>
      </c>
      <c r="L22" s="11">
        <f>IF('Pairings NB'!J94=320,4,3)</f>
        <v/>
      </c>
      <c r="M22" s="11">
        <f>'Pairings NB'!$N$94</f>
        <v/>
      </c>
    </row>
    <row r="23">
      <c r="A23" s="11">
        <f>'Pairings NB'!B99</f>
        <v/>
      </c>
      <c r="B23" s="11">
        <f>'Pairings NB'!C99</f>
        <v/>
      </c>
      <c r="C23" s="11">
        <f>'Pairings NB'!D99</f>
        <v/>
      </c>
      <c r="D23" s="11">
        <f>'Pairings NB'!E99&amp;"/"&amp;'Pairings NB'!E100</f>
        <v/>
      </c>
      <c r="E23" s="11">
        <f>'Pairings NB'!F99&amp;"-"&amp;'Pairings NB'!G99&amp;"-"&amp;'Pairings NB'!F99</f>
        <v/>
      </c>
      <c r="F23" s="11">
        <f>IFERROR(VLOOKUP('Pairings NB'!$M$99,Instructores!$A:$D,2,FALSE),"")</f>
        <v/>
      </c>
      <c r="G23" s="11">
        <f>'Pairings NB'!$M$99</f>
        <v/>
      </c>
      <c r="H23" s="11">
        <f>IFERROR(VLOOKUP('Pairings NB'!$M$99,Instructores!$A:$D,4,FALSE),"")</f>
        <v/>
      </c>
      <c r="I23" s="11">
        <f>'Pairings NB'!$O$99</f>
        <v/>
      </c>
      <c r="J23" s="11">
        <f>'Pairings NB'!J99</f>
        <v/>
      </c>
      <c r="K23" s="11">
        <f>IFERROR(VLOOKUP('Pairings NB'!$M$99,Instructores!$A:$D,3,FALSE),"")</f>
        <v/>
      </c>
      <c r="L23" s="11">
        <f>IF('Pairings NB'!J99=320,4,3)</f>
        <v/>
      </c>
      <c r="M23" s="11">
        <f>'Pairings NB'!$N$99</f>
        <v/>
      </c>
    </row>
    <row r="24">
      <c r="A24" s="11">
        <f>'Pairings NB'!B101</f>
        <v/>
      </c>
      <c r="B24" s="11">
        <f>'Pairings NB'!C101</f>
        <v/>
      </c>
      <c r="C24" s="11">
        <f>'Pairings NB'!D101</f>
        <v/>
      </c>
      <c r="D24" s="11">
        <f>'Pairings NB'!E101&amp;"/"&amp;'Pairings NB'!E102</f>
        <v/>
      </c>
      <c r="E24" s="11">
        <f>'Pairings NB'!F101&amp;"-"&amp;'Pairings NB'!G101&amp;"-"&amp;'Pairings NB'!F101</f>
        <v/>
      </c>
      <c r="F24" s="11">
        <f>IFERROR(VLOOKUP('Pairings NB'!$M$99,Instructores!$A:$D,2,FALSE),"")</f>
        <v/>
      </c>
      <c r="G24" s="11">
        <f>'Pairings NB'!$M$99</f>
        <v/>
      </c>
      <c r="H24" s="11">
        <f>IFERROR(VLOOKUP('Pairings NB'!$M$99,Instructores!$A:$D,4,FALSE),"")</f>
        <v/>
      </c>
      <c r="I24" s="11">
        <f>'Pairings NB'!$O$99</f>
        <v/>
      </c>
      <c r="J24" s="11">
        <f>'Pairings NB'!J101</f>
        <v/>
      </c>
      <c r="K24" s="11">
        <f>IFERROR(VLOOKUP('Pairings NB'!$M$99,Instructores!$A:$D,3,FALSE),"")</f>
        <v/>
      </c>
      <c r="L24" s="11">
        <f>IF('Pairings NB'!J101=320,4,3)</f>
        <v/>
      </c>
      <c r="M24" s="11">
        <f>'Pairings NB'!$N$99</f>
        <v/>
      </c>
    </row>
    <row r="25">
      <c r="A25" s="11">
        <f>'Pairings NB'!B106</f>
        <v/>
      </c>
      <c r="B25" s="11">
        <f>'Pairings NB'!C106</f>
        <v/>
      </c>
      <c r="C25" s="11">
        <f>'Pairings NB'!D106</f>
        <v/>
      </c>
      <c r="D25" s="11">
        <f>'Pairings NB'!E106&amp;"/"&amp;'Pairings NB'!E107</f>
        <v/>
      </c>
      <c r="E25" s="11">
        <f>'Pairings NB'!F106&amp;"-"&amp;'Pairings NB'!G106&amp;"-"&amp;'Pairings NB'!F106</f>
        <v/>
      </c>
      <c r="F25" s="11">
        <f>IFERROR(VLOOKUP('Pairings NB'!$M$106,Instructores!$A:$D,2,FALSE),"")</f>
        <v/>
      </c>
      <c r="G25" s="11">
        <f>'Pairings NB'!$M$106</f>
        <v/>
      </c>
      <c r="H25" s="11">
        <f>IFERROR(VLOOKUP('Pairings NB'!$M$106,Instructores!$A:$D,4,FALSE),"")</f>
        <v/>
      </c>
      <c r="I25" s="11">
        <f>'Pairings NB'!$O$106</f>
        <v/>
      </c>
      <c r="J25" s="11">
        <f>'Pairings NB'!J106</f>
        <v/>
      </c>
      <c r="K25" s="11">
        <f>IFERROR(VLOOKUP('Pairings NB'!$M$106,Instructores!$A:$D,3,FALSE),"")</f>
        <v/>
      </c>
      <c r="L25" s="11">
        <f>IF('Pairings NB'!J106=320,4,3)</f>
        <v/>
      </c>
      <c r="M25" s="11">
        <f>'Pairings NB'!$N$106</f>
        <v/>
      </c>
    </row>
    <row r="26">
      <c r="A26" s="11">
        <f>'Pairings NB'!B111</f>
        <v/>
      </c>
      <c r="B26" s="11">
        <f>'Pairings NB'!C111</f>
        <v/>
      </c>
      <c r="C26" s="11">
        <f>'Pairings NB'!D111</f>
        <v/>
      </c>
      <c r="D26" s="11">
        <f>'Pairings NB'!E111&amp;"/"&amp;'Pairings NB'!E112</f>
        <v/>
      </c>
      <c r="E26" s="11">
        <f>'Pairings NB'!F111&amp;"-"&amp;'Pairings NB'!G111&amp;"-"&amp;'Pairings NB'!F111</f>
        <v/>
      </c>
      <c r="F26" s="11">
        <f>IFERROR(VLOOKUP('Pairings NB'!$M$111,Instructores!$A:$D,2,FALSE),"")</f>
        <v/>
      </c>
      <c r="G26" s="11">
        <f>'Pairings NB'!$M$111</f>
        <v/>
      </c>
      <c r="H26" s="11">
        <f>IFERROR(VLOOKUP('Pairings NB'!$M$111,Instructores!$A:$D,4,FALSE),"")</f>
        <v/>
      </c>
      <c r="I26" s="11">
        <f>'Pairings NB'!$O$111</f>
        <v/>
      </c>
      <c r="J26" s="11">
        <f>'Pairings NB'!J111</f>
        <v/>
      </c>
      <c r="K26" s="11">
        <f>IFERROR(VLOOKUP('Pairings NB'!$M$111,Instructores!$A:$D,3,FALSE),"")</f>
        <v/>
      </c>
      <c r="L26" s="11">
        <f>IF('Pairings NB'!J111=320,4,3)</f>
        <v/>
      </c>
      <c r="M26" s="11">
        <f>'Pairings NB'!$N$111</f>
        <v/>
      </c>
    </row>
    <row r="27">
      <c r="A27" s="11">
        <f>'Pairings NB'!B116</f>
        <v/>
      </c>
      <c r="B27" s="11">
        <f>'Pairings NB'!C116</f>
        <v/>
      </c>
      <c r="C27" s="11">
        <f>'Pairings NB'!D116</f>
        <v/>
      </c>
      <c r="D27" s="11">
        <f>'Pairings NB'!E116&amp;"/"&amp;'Pairings NB'!E117</f>
        <v/>
      </c>
      <c r="E27" s="11">
        <f>'Pairings NB'!F116&amp;"-"&amp;'Pairings NB'!G116&amp;"-"&amp;'Pairings NB'!F116</f>
        <v/>
      </c>
      <c r="F27" s="11">
        <f>IFERROR(VLOOKUP('Pairings NB'!$M$116,Instructores!$A:$D,2,FALSE),"")</f>
        <v/>
      </c>
      <c r="G27" s="11">
        <f>'Pairings NB'!$M$116</f>
        <v/>
      </c>
      <c r="H27" s="11">
        <f>IFERROR(VLOOKUP('Pairings NB'!$M$116,Instructores!$A:$D,4,FALSE),"")</f>
        <v/>
      </c>
      <c r="I27" s="11">
        <f>'Pairings NB'!$O$116</f>
        <v/>
      </c>
      <c r="J27" s="11">
        <f>'Pairings NB'!J116</f>
        <v/>
      </c>
      <c r="K27" s="11">
        <f>IFERROR(VLOOKUP('Pairings NB'!$M$116,Instructores!$A:$D,3,FALSE),"")</f>
        <v/>
      </c>
      <c r="L27" s="11">
        <f>IF('Pairings NB'!J116=320,4,3)</f>
        <v/>
      </c>
      <c r="M27" s="11">
        <f>'Pairings NB'!$N$116</f>
        <v/>
      </c>
    </row>
    <row r="28">
      <c r="A28" s="11">
        <f>'Pairings NB'!B118</f>
        <v/>
      </c>
      <c r="B28" s="11">
        <f>'Pairings NB'!C118</f>
        <v/>
      </c>
      <c r="C28" s="11">
        <f>'Pairings NB'!D118</f>
        <v/>
      </c>
      <c r="D28" s="11">
        <f>'Pairings NB'!E118&amp;"/"&amp;'Pairings NB'!E119</f>
        <v/>
      </c>
      <c r="E28" s="11">
        <f>'Pairings NB'!F118&amp;"-"&amp;'Pairings NB'!G118&amp;"-"&amp;'Pairings NB'!F118</f>
        <v/>
      </c>
      <c r="F28" s="11">
        <f>IFERROR(VLOOKUP('Pairings NB'!$M$116,Instructores!$A:$D,2,FALSE),"")</f>
        <v/>
      </c>
      <c r="G28" s="11">
        <f>'Pairings NB'!$M$116</f>
        <v/>
      </c>
      <c r="H28" s="11">
        <f>IFERROR(VLOOKUP('Pairings NB'!$M$116,Instructores!$A:$D,4,FALSE),"")</f>
        <v/>
      </c>
      <c r="I28" s="11">
        <f>'Pairings NB'!$O$116</f>
        <v/>
      </c>
      <c r="J28" s="11">
        <f>'Pairings NB'!J118</f>
        <v/>
      </c>
      <c r="K28" s="11">
        <f>IFERROR(VLOOKUP('Pairings NB'!$M$116,Instructores!$A:$D,3,FALSE),"")</f>
        <v/>
      </c>
      <c r="L28" s="11">
        <f>IF('Pairings NB'!J118=320,4,3)</f>
        <v/>
      </c>
      <c r="M28" s="11">
        <f>'Pairings NB'!$N$116</f>
        <v/>
      </c>
    </row>
    <row r="29">
      <c r="A29" s="11">
        <f>'Pairings NB'!B123</f>
        <v/>
      </c>
      <c r="B29" s="11">
        <f>'Pairings NB'!C123</f>
        <v/>
      </c>
      <c r="C29" s="11">
        <f>'Pairings NB'!D123</f>
        <v/>
      </c>
      <c r="D29" s="11">
        <f>'Pairings NB'!E123&amp;"/"&amp;'Pairings NB'!E124</f>
        <v/>
      </c>
      <c r="E29" s="11">
        <f>'Pairings NB'!F123&amp;"-"&amp;'Pairings NB'!G123&amp;"-"&amp;'Pairings NB'!F123</f>
        <v/>
      </c>
      <c r="F29" s="11">
        <f>IFERROR(VLOOKUP('Pairings NB'!$M$123,Instructores!$A:$D,2,FALSE),"")</f>
        <v/>
      </c>
      <c r="G29" s="11">
        <f>'Pairings NB'!$M$123</f>
        <v/>
      </c>
      <c r="H29" s="11">
        <f>IFERROR(VLOOKUP('Pairings NB'!$M$123,Instructores!$A:$D,4,FALSE),"")</f>
        <v/>
      </c>
      <c r="I29" s="11">
        <f>'Pairings NB'!$O$123</f>
        <v/>
      </c>
      <c r="J29" s="11">
        <f>'Pairings NB'!J123</f>
        <v/>
      </c>
      <c r="K29" s="11">
        <f>IFERROR(VLOOKUP('Pairings NB'!$M$123,Instructores!$A:$D,3,FALSE),"")</f>
        <v/>
      </c>
      <c r="L29" s="11">
        <f>IF('Pairings NB'!J123=320,4,3)</f>
        <v/>
      </c>
      <c r="M29" s="11">
        <f>'Pairings NB'!$N$123</f>
        <v/>
      </c>
    </row>
    <row r="30">
      <c r="A30" s="11">
        <f>'Pairings NB'!B125</f>
        <v/>
      </c>
      <c r="B30" s="11">
        <f>'Pairings NB'!C125</f>
        <v/>
      </c>
      <c r="C30" s="11">
        <f>'Pairings NB'!D125</f>
        <v/>
      </c>
      <c r="D30" s="11">
        <f>'Pairings NB'!E125&amp;"/"&amp;'Pairings NB'!E126</f>
        <v/>
      </c>
      <c r="E30" s="11">
        <f>'Pairings NB'!F125&amp;"-"&amp;'Pairings NB'!G125&amp;"-"&amp;'Pairings NB'!F125</f>
        <v/>
      </c>
      <c r="F30" s="11">
        <f>IFERROR(VLOOKUP('Pairings NB'!$M$123,Instructores!$A:$D,2,FALSE),"")</f>
        <v/>
      </c>
      <c r="G30" s="11">
        <f>'Pairings NB'!$M$123</f>
        <v/>
      </c>
      <c r="H30" s="11">
        <f>IFERROR(VLOOKUP('Pairings NB'!$M$123,Instructores!$A:$D,4,FALSE),"")</f>
        <v/>
      </c>
      <c r="I30" s="11">
        <f>'Pairings NB'!$O$123</f>
        <v/>
      </c>
      <c r="J30" s="11">
        <f>'Pairings NB'!J125</f>
        <v/>
      </c>
      <c r="K30" s="11">
        <f>IFERROR(VLOOKUP('Pairings NB'!$M$123,Instructores!$A:$D,3,FALSE),"")</f>
        <v/>
      </c>
      <c r="L30" s="11">
        <f>IF('Pairings NB'!J125=320,4,3)</f>
        <v/>
      </c>
      <c r="M30" s="11">
        <f>'Pairings NB'!$N$123</f>
        <v/>
      </c>
    </row>
    <row r="31">
      <c r="A31" s="11">
        <f>'Pairings NB'!B130</f>
        <v/>
      </c>
      <c r="B31" s="11">
        <f>'Pairings NB'!C130</f>
        <v/>
      </c>
      <c r="C31" s="11">
        <f>'Pairings NB'!D130</f>
        <v/>
      </c>
      <c r="D31" s="11">
        <f>'Pairings NB'!E130&amp;"/"&amp;'Pairings NB'!E131</f>
        <v/>
      </c>
      <c r="E31" s="11">
        <f>'Pairings NB'!F130&amp;"-"&amp;'Pairings NB'!G130&amp;"-"&amp;'Pairings NB'!F130</f>
        <v/>
      </c>
      <c r="F31" s="11">
        <f>IFERROR(VLOOKUP('Pairings NB'!$M$130,Instructores!$A:$D,2,FALSE),"")</f>
        <v/>
      </c>
      <c r="G31" s="11">
        <f>'Pairings NB'!$M$130</f>
        <v/>
      </c>
      <c r="H31" s="11">
        <f>IFERROR(VLOOKUP('Pairings NB'!$M$130,Instructores!$A:$D,4,FALSE),"")</f>
        <v/>
      </c>
      <c r="I31" s="11">
        <f>'Pairings NB'!$O$130</f>
        <v/>
      </c>
      <c r="J31" s="11">
        <f>'Pairings NB'!J130</f>
        <v/>
      </c>
      <c r="K31" s="11">
        <f>IFERROR(VLOOKUP('Pairings NB'!$M$130,Instructores!$A:$D,3,FALSE),"")</f>
        <v/>
      </c>
      <c r="L31" s="11">
        <f>IF('Pairings NB'!J130=320,4,3)</f>
        <v/>
      </c>
      <c r="M31" s="11">
        <f>'Pairings NB'!$N$130</f>
        <v/>
      </c>
    </row>
    <row r="32">
      <c r="A32" s="11">
        <f>'Pairings NB'!B132</f>
        <v/>
      </c>
      <c r="B32" s="11">
        <f>'Pairings NB'!C132</f>
        <v/>
      </c>
      <c r="C32" s="11">
        <f>'Pairings NB'!D132</f>
        <v/>
      </c>
      <c r="D32" s="11">
        <f>'Pairings NB'!E132&amp;"/"&amp;'Pairings NB'!E133</f>
        <v/>
      </c>
      <c r="E32" s="11">
        <f>'Pairings NB'!F132&amp;"-"&amp;'Pairings NB'!G132&amp;"-"&amp;'Pairings NB'!F132</f>
        <v/>
      </c>
      <c r="F32" s="11">
        <f>IFERROR(VLOOKUP('Pairings NB'!$M$130,Instructores!$A:$D,2,FALSE),"")</f>
        <v/>
      </c>
      <c r="G32" s="11">
        <f>'Pairings NB'!$M$130</f>
        <v/>
      </c>
      <c r="H32" s="11">
        <f>IFERROR(VLOOKUP('Pairings NB'!$M$130,Instructores!$A:$D,4,FALSE),"")</f>
        <v/>
      </c>
      <c r="I32" s="11">
        <f>'Pairings NB'!$O$130</f>
        <v/>
      </c>
      <c r="J32" s="11">
        <f>'Pairings NB'!J132</f>
        <v/>
      </c>
      <c r="K32" s="11">
        <f>IFERROR(VLOOKUP('Pairings NB'!$M$130,Instructores!$A:$D,3,FALSE),"")</f>
        <v/>
      </c>
      <c r="L32" s="11">
        <f>IF('Pairings NB'!J132=320,4,3)</f>
        <v/>
      </c>
      <c r="M32" s="11">
        <f>'Pairings NB'!$N$130</f>
        <v/>
      </c>
    </row>
    <row r="33">
      <c r="A33" s="11">
        <f>'Pairings NB'!B137</f>
        <v/>
      </c>
      <c r="B33" s="11">
        <f>'Pairings NB'!C137</f>
        <v/>
      </c>
      <c r="C33" s="11">
        <f>'Pairings NB'!D137</f>
        <v/>
      </c>
      <c r="D33" s="11">
        <f>'Pairings NB'!E137&amp;"/"&amp;'Pairings NB'!E138</f>
        <v/>
      </c>
      <c r="E33" s="11">
        <f>'Pairings NB'!F137&amp;"-"&amp;'Pairings NB'!G137&amp;"-"&amp;'Pairings NB'!F137</f>
        <v/>
      </c>
      <c r="F33" s="11">
        <f>IFERROR(VLOOKUP('Pairings NB'!$M$137,Instructores!$A:$D,2,FALSE),"")</f>
        <v/>
      </c>
      <c r="G33" s="11">
        <f>'Pairings NB'!$M$137</f>
        <v/>
      </c>
      <c r="H33" s="11">
        <f>IFERROR(VLOOKUP('Pairings NB'!$M$137,Instructores!$A:$D,4,FALSE),"")</f>
        <v/>
      </c>
      <c r="I33" s="11">
        <f>'Pairings NB'!$O$137</f>
        <v/>
      </c>
      <c r="J33" s="11">
        <f>'Pairings NB'!J137</f>
        <v/>
      </c>
      <c r="K33" s="11">
        <f>IFERROR(VLOOKUP('Pairings NB'!$M$137,Instructores!$A:$D,3,FALSE),"")</f>
        <v/>
      </c>
      <c r="L33" s="11">
        <f>IF('Pairings NB'!J137=320,4,3)</f>
        <v/>
      </c>
      <c r="M33" s="11">
        <f>'Pairings NB'!$N$137</f>
        <v/>
      </c>
    </row>
    <row r="34">
      <c r="A34" s="11">
        <f>'Pairings NB'!B142</f>
        <v/>
      </c>
      <c r="B34" s="11">
        <f>'Pairings NB'!C142</f>
        <v/>
      </c>
      <c r="C34" s="11">
        <f>'Pairings NB'!D142</f>
        <v/>
      </c>
      <c r="D34" s="11">
        <f>'Pairings NB'!E142&amp;"/"&amp;'Pairings NB'!E143</f>
        <v/>
      </c>
      <c r="E34" s="11">
        <f>'Pairings NB'!F142&amp;"-"&amp;'Pairings NB'!G142&amp;"-"&amp;'Pairings NB'!F142</f>
        <v/>
      </c>
      <c r="F34" s="11">
        <f>IFERROR(VLOOKUP('Pairings NB'!$M$142,Instructores!$A:$D,2,FALSE),"")</f>
        <v/>
      </c>
      <c r="G34" s="11">
        <f>'Pairings NB'!$M$142</f>
        <v/>
      </c>
      <c r="H34" s="11">
        <f>IFERROR(VLOOKUP('Pairings NB'!$M$142,Instructores!$A:$D,4,FALSE),"")</f>
        <v/>
      </c>
      <c r="I34" s="11">
        <f>'Pairings NB'!$O$142</f>
        <v/>
      </c>
      <c r="J34" s="11">
        <f>'Pairings NB'!J142</f>
        <v/>
      </c>
      <c r="K34" s="11">
        <f>IFERROR(VLOOKUP('Pairings NB'!$M$142,Instructores!$A:$D,3,FALSE),"")</f>
        <v/>
      </c>
      <c r="L34" s="11">
        <f>IF('Pairings NB'!J142=320,4,3)</f>
        <v/>
      </c>
      <c r="M34" s="11">
        <f>'Pairings NB'!$N$142</f>
        <v/>
      </c>
    </row>
    <row r="35">
      <c r="A35" s="11">
        <f>'Pairings NB'!B147</f>
        <v/>
      </c>
      <c r="B35" s="11">
        <f>'Pairings NB'!C147</f>
        <v/>
      </c>
      <c r="C35" s="11">
        <f>'Pairings NB'!D147</f>
        <v/>
      </c>
      <c r="D35" s="11">
        <f>'Pairings NB'!E147&amp;"/"&amp;'Pairings NB'!E148</f>
        <v/>
      </c>
      <c r="E35" s="11">
        <f>'Pairings NB'!F147&amp;"-"&amp;'Pairings NB'!G147&amp;"-"&amp;'Pairings NB'!F147</f>
        <v/>
      </c>
      <c r="F35" s="11">
        <f>IFERROR(VLOOKUP('Pairings NB'!$M$147,Instructores!$A:$D,2,FALSE),"")</f>
        <v/>
      </c>
      <c r="G35" s="11">
        <f>'Pairings NB'!$M$147</f>
        <v/>
      </c>
      <c r="H35" s="11">
        <f>IFERROR(VLOOKUP('Pairings NB'!$M$147,Instructores!$A:$D,4,FALSE),"")</f>
        <v/>
      </c>
      <c r="I35" s="11">
        <f>'Pairings NB'!$O$147</f>
        <v/>
      </c>
      <c r="J35" s="11">
        <f>'Pairings NB'!J147</f>
        <v/>
      </c>
      <c r="K35" s="11">
        <f>IFERROR(VLOOKUP('Pairings NB'!$M$147,Instructores!$A:$D,3,FALSE),"")</f>
        <v/>
      </c>
      <c r="L35" s="11">
        <f>IF('Pairings NB'!J147=320,4,3)</f>
        <v/>
      </c>
      <c r="M35" s="11">
        <f>'Pairings NB'!$N$147</f>
        <v/>
      </c>
    </row>
    <row r="36">
      <c r="A36" s="11">
        <f>'Pairings NB'!B149</f>
        <v/>
      </c>
      <c r="B36" s="11">
        <f>'Pairings NB'!C149</f>
        <v/>
      </c>
      <c r="C36" s="11">
        <f>'Pairings NB'!D149</f>
        <v/>
      </c>
      <c r="D36" s="11">
        <f>'Pairings NB'!E149&amp;"/"&amp;'Pairings NB'!E150</f>
        <v/>
      </c>
      <c r="E36" s="11">
        <f>'Pairings NB'!F149&amp;"-"&amp;'Pairings NB'!G149&amp;"-"&amp;'Pairings NB'!F149</f>
        <v/>
      </c>
      <c r="F36" s="11">
        <f>IFERROR(VLOOKUP('Pairings NB'!$M$147,Instructores!$A:$D,2,FALSE),"")</f>
        <v/>
      </c>
      <c r="G36" s="11">
        <f>'Pairings NB'!$M$147</f>
        <v/>
      </c>
      <c r="H36" s="11">
        <f>IFERROR(VLOOKUP('Pairings NB'!$M$147,Instructores!$A:$D,4,FALSE),"")</f>
        <v/>
      </c>
      <c r="I36" s="11">
        <f>'Pairings NB'!$O$147</f>
        <v/>
      </c>
      <c r="J36" s="11">
        <f>'Pairings NB'!J149</f>
        <v/>
      </c>
      <c r="K36" s="11">
        <f>IFERROR(VLOOKUP('Pairings NB'!$M$147,Instructores!$A:$D,3,FALSE),"")</f>
        <v/>
      </c>
      <c r="L36" s="11">
        <f>IF('Pairings NB'!J149=320,4,3)</f>
        <v/>
      </c>
      <c r="M36" s="11">
        <f>'Pairings NB'!$N$147</f>
        <v/>
      </c>
    </row>
    <row r="37">
      <c r="A37" s="11">
        <f>'Pairings NB'!B154</f>
        <v/>
      </c>
      <c r="B37" s="11">
        <f>'Pairings NB'!C154</f>
        <v/>
      </c>
      <c r="C37" s="11">
        <f>'Pairings NB'!D154</f>
        <v/>
      </c>
      <c r="D37" s="11">
        <f>'Pairings NB'!E154&amp;"/"&amp;'Pairings NB'!E155</f>
        <v/>
      </c>
      <c r="E37" s="11">
        <f>'Pairings NB'!F154&amp;"-"&amp;'Pairings NB'!G154&amp;"-"&amp;'Pairings NB'!F154</f>
        <v/>
      </c>
      <c r="F37" s="11">
        <f>IFERROR(VLOOKUP('Pairings NB'!$M$154,Instructores!$A:$D,2,FALSE),"")</f>
        <v/>
      </c>
      <c r="G37" s="11">
        <f>'Pairings NB'!$M$154</f>
        <v/>
      </c>
      <c r="H37" s="11">
        <f>IFERROR(VLOOKUP('Pairings NB'!$M$154,Instructores!$A:$D,4,FALSE),"")</f>
        <v/>
      </c>
      <c r="I37" s="11">
        <f>'Pairings NB'!$O$154</f>
        <v/>
      </c>
      <c r="J37" s="11">
        <f>'Pairings NB'!J154</f>
        <v/>
      </c>
      <c r="K37" s="11">
        <f>IFERROR(VLOOKUP('Pairings NB'!$M$154,Instructores!$A:$D,3,FALSE),"")</f>
        <v/>
      </c>
      <c r="L37" s="11">
        <f>IF('Pairings NB'!J154=320,4,3)</f>
        <v/>
      </c>
      <c r="M37" s="11">
        <f>'Pairings NB'!$N$154</f>
        <v/>
      </c>
    </row>
    <row r="38">
      <c r="A38" s="11">
        <f>'Pairings NB'!B159</f>
        <v/>
      </c>
      <c r="B38" s="11">
        <f>'Pairings NB'!C159</f>
        <v/>
      </c>
      <c r="C38" s="11">
        <f>'Pairings NB'!D159</f>
        <v/>
      </c>
      <c r="D38" s="11">
        <f>'Pairings NB'!E159&amp;"/"&amp;'Pairings NB'!E160</f>
        <v/>
      </c>
      <c r="E38" s="11">
        <f>'Pairings NB'!F159&amp;"-"&amp;'Pairings NB'!G159&amp;"-"&amp;'Pairings NB'!F159</f>
        <v/>
      </c>
      <c r="F38" s="11">
        <f>IFERROR(VLOOKUP('Pairings NB'!$M$159,Instructores!$A:$D,2,FALSE),"")</f>
        <v/>
      </c>
      <c r="G38" s="11">
        <f>'Pairings NB'!$M$159</f>
        <v/>
      </c>
      <c r="H38" s="11">
        <f>IFERROR(VLOOKUP('Pairings NB'!$M$159,Instructores!$A:$D,4,FALSE),"")</f>
        <v/>
      </c>
      <c r="I38" s="11">
        <f>'Pairings NB'!$O$159</f>
        <v/>
      </c>
      <c r="J38" s="11">
        <f>'Pairings NB'!J159</f>
        <v/>
      </c>
      <c r="K38" s="11">
        <f>IFERROR(VLOOKUP('Pairings NB'!$M$159,Instructores!$A:$D,3,FALSE),"")</f>
        <v/>
      </c>
      <c r="L38" s="11">
        <f>IF('Pairings NB'!J159=320,4,3)</f>
        <v/>
      </c>
      <c r="M38" s="11">
        <f>'Pairings NB'!$N$159</f>
        <v/>
      </c>
    </row>
    <row r="39">
      <c r="A39" s="11">
        <f>'Pairings NB'!B164</f>
        <v/>
      </c>
      <c r="B39" s="11">
        <f>'Pairings NB'!C164</f>
        <v/>
      </c>
      <c r="C39" s="11">
        <f>'Pairings NB'!D164</f>
        <v/>
      </c>
      <c r="D39" s="11">
        <f>'Pairings NB'!E164&amp;"/"&amp;'Pairings NB'!E165</f>
        <v/>
      </c>
      <c r="E39" s="11">
        <f>'Pairings NB'!F164&amp;"-"&amp;'Pairings NB'!G164&amp;"-"&amp;'Pairings NB'!F164</f>
        <v/>
      </c>
      <c r="F39" s="11">
        <f>IFERROR(VLOOKUP('Pairings NB'!$M$164,Instructores!$A:$D,2,FALSE),"")</f>
        <v/>
      </c>
      <c r="G39" s="11">
        <f>'Pairings NB'!$M$164</f>
        <v/>
      </c>
      <c r="H39" s="11">
        <f>IFERROR(VLOOKUP('Pairings NB'!$M$164,Instructores!$A:$D,4,FALSE),"")</f>
        <v/>
      </c>
      <c r="I39" s="11">
        <f>'Pairings NB'!$O$164</f>
        <v/>
      </c>
      <c r="J39" s="11">
        <f>'Pairings NB'!J164</f>
        <v/>
      </c>
      <c r="K39" s="11">
        <f>IFERROR(VLOOKUP('Pairings NB'!$M$164,Instructores!$A:$D,3,FALSE),"")</f>
        <v/>
      </c>
      <c r="L39" s="11">
        <f>IF('Pairings NB'!J164=320,4,3)</f>
        <v/>
      </c>
      <c r="M39" s="11">
        <f>'Pairings NB'!$N$164</f>
        <v/>
      </c>
    </row>
    <row r="40">
      <c r="A40" s="11">
        <f>'Pairings NB'!B169</f>
        <v/>
      </c>
      <c r="B40" s="11">
        <f>'Pairings NB'!C169</f>
        <v/>
      </c>
      <c r="C40" s="11">
        <f>'Pairings NB'!D169</f>
        <v/>
      </c>
      <c r="D40" s="11">
        <f>'Pairings NB'!E169&amp;"/"&amp;'Pairings NB'!E170</f>
        <v/>
      </c>
      <c r="E40" s="11">
        <f>'Pairings NB'!F169&amp;"-"&amp;'Pairings NB'!G169&amp;"-"&amp;'Pairings NB'!F169</f>
        <v/>
      </c>
      <c r="F40" s="11">
        <f>IFERROR(VLOOKUP('Pairings NB'!$M$169,Instructores!$A:$D,2,FALSE),"")</f>
        <v/>
      </c>
      <c r="G40" s="11">
        <f>'Pairings NB'!$M$169</f>
        <v/>
      </c>
      <c r="H40" s="11">
        <f>IFERROR(VLOOKUP('Pairings NB'!$M$169,Instructores!$A:$D,4,FALSE),"")</f>
        <v/>
      </c>
      <c r="I40" s="11">
        <f>'Pairings NB'!$O$169</f>
        <v/>
      </c>
      <c r="J40" s="11">
        <f>'Pairings NB'!J169</f>
        <v/>
      </c>
      <c r="K40" s="11">
        <f>IFERROR(VLOOKUP('Pairings NB'!$M$169,Instructores!$A:$D,3,FALSE),"")</f>
        <v/>
      </c>
      <c r="L40" s="11">
        <f>IF('Pairings NB'!J169=320,4,3)</f>
        <v/>
      </c>
      <c r="M40" s="11">
        <f>'Pairings NB'!$N$169</f>
        <v/>
      </c>
    </row>
    <row r="41">
      <c r="A41" s="11">
        <f>'Pairings NB'!B174</f>
        <v/>
      </c>
      <c r="B41" s="11">
        <f>'Pairings NB'!C174</f>
        <v/>
      </c>
      <c r="C41" s="11">
        <f>'Pairings NB'!D174</f>
        <v/>
      </c>
      <c r="D41" s="11">
        <f>'Pairings NB'!E174&amp;"/"&amp;'Pairings NB'!E175</f>
        <v/>
      </c>
      <c r="E41" s="11">
        <f>'Pairings NB'!F174&amp;"-"&amp;'Pairings NB'!G174&amp;"-"&amp;'Pairings NB'!F174</f>
        <v/>
      </c>
      <c r="F41" s="11">
        <f>IFERROR(VLOOKUP('Pairings NB'!$M$174,Instructores!$A:$D,2,FALSE),"")</f>
        <v/>
      </c>
      <c r="G41" s="11">
        <f>'Pairings NB'!$M$174</f>
        <v/>
      </c>
      <c r="H41" s="11">
        <f>IFERROR(VLOOKUP('Pairings NB'!$M$174,Instructores!$A:$D,4,FALSE),"")</f>
        <v/>
      </c>
      <c r="I41" s="11">
        <f>'Pairings NB'!$O$174</f>
        <v/>
      </c>
      <c r="J41" s="11">
        <f>'Pairings NB'!J174</f>
        <v/>
      </c>
      <c r="K41" s="11">
        <f>IFERROR(VLOOKUP('Pairings NB'!$M$174,Instructores!$A:$D,3,FALSE),"")</f>
        <v/>
      </c>
      <c r="L41" s="11">
        <f>IF('Pairings NB'!J174=320,4,3)</f>
        <v/>
      </c>
      <c r="M41" s="11">
        <f>'Pairings NB'!$N$174</f>
        <v/>
      </c>
    </row>
    <row r="42">
      <c r="A42" s="11">
        <f>'Pairings NB'!B179</f>
        <v/>
      </c>
      <c r="B42" s="11">
        <f>'Pairings NB'!C179</f>
        <v/>
      </c>
      <c r="C42" s="11">
        <f>'Pairings NB'!D179</f>
        <v/>
      </c>
      <c r="D42" s="11">
        <f>'Pairings NB'!E179&amp;"/"&amp;'Pairings NB'!E180</f>
        <v/>
      </c>
      <c r="E42" s="11">
        <f>'Pairings NB'!F179&amp;"-"&amp;'Pairings NB'!G179&amp;"-"&amp;'Pairings NB'!F179</f>
        <v/>
      </c>
      <c r="F42" s="11">
        <f>IFERROR(VLOOKUP('Pairings NB'!$M$179,Instructores!$A:$D,2,FALSE),"")</f>
        <v/>
      </c>
      <c r="G42" s="11">
        <f>'Pairings NB'!$M$179</f>
        <v/>
      </c>
      <c r="H42" s="11">
        <f>IFERROR(VLOOKUP('Pairings NB'!$M$179,Instructores!$A:$D,4,FALSE),"")</f>
        <v/>
      </c>
      <c r="I42" s="11">
        <f>'Pairings NB'!$O$179</f>
        <v/>
      </c>
      <c r="J42" s="11">
        <f>'Pairings NB'!J179</f>
        <v/>
      </c>
      <c r="K42" s="11">
        <f>IFERROR(VLOOKUP('Pairings NB'!$M$179,Instructores!$A:$D,3,FALSE),"")</f>
        <v/>
      </c>
      <c r="L42" s="11">
        <f>IF('Pairings NB'!J179=320,4,3)</f>
        <v/>
      </c>
      <c r="M42" s="11">
        <f>'Pairings NB'!$N$179</f>
        <v/>
      </c>
    </row>
    <row r="43">
      <c r="A43" s="11">
        <f>'Pairings NB'!B184</f>
        <v/>
      </c>
      <c r="B43" s="11">
        <f>'Pairings NB'!C184</f>
        <v/>
      </c>
      <c r="C43" s="11">
        <f>'Pairings NB'!D184</f>
        <v/>
      </c>
      <c r="D43" s="11">
        <f>'Pairings NB'!E184&amp;"/"&amp;'Pairings NB'!E185</f>
        <v/>
      </c>
      <c r="E43" s="11">
        <f>'Pairings NB'!F184&amp;"-"&amp;'Pairings NB'!G184&amp;"-"&amp;'Pairings NB'!F184</f>
        <v/>
      </c>
      <c r="F43" s="11">
        <f>IFERROR(VLOOKUP('Pairings NB'!$M$184,Instructores!$A:$D,2,FALSE),"")</f>
        <v/>
      </c>
      <c r="G43" s="11">
        <f>'Pairings NB'!$M$184</f>
        <v/>
      </c>
      <c r="H43" s="11">
        <f>IFERROR(VLOOKUP('Pairings NB'!$M$184,Instructores!$A:$D,4,FALSE),"")</f>
        <v/>
      </c>
      <c r="I43" s="11">
        <f>'Pairings NB'!$O$184</f>
        <v/>
      </c>
      <c r="J43" s="11">
        <f>'Pairings NB'!J184</f>
        <v/>
      </c>
      <c r="K43" s="11">
        <f>IFERROR(VLOOKUP('Pairings NB'!$M$184,Instructores!$A:$D,3,FALSE),"")</f>
        <v/>
      </c>
      <c r="L43" s="11">
        <f>IF('Pairings NB'!J184=320,4,3)</f>
        <v/>
      </c>
      <c r="M43" s="11">
        <f>'Pairings NB'!$N$184</f>
        <v/>
      </c>
    </row>
    <row r="44">
      <c r="A44" s="11">
        <f>'Pairings NB'!B189</f>
        <v/>
      </c>
      <c r="B44" s="11">
        <f>'Pairings NB'!C189</f>
        <v/>
      </c>
      <c r="C44" s="11">
        <f>'Pairings NB'!D189</f>
        <v/>
      </c>
      <c r="D44" s="11">
        <f>'Pairings NB'!E189&amp;"/"&amp;'Pairings NB'!E190</f>
        <v/>
      </c>
      <c r="E44" s="11">
        <f>'Pairings NB'!F189&amp;"-"&amp;'Pairings NB'!G189&amp;"-"&amp;'Pairings NB'!F189</f>
        <v/>
      </c>
      <c r="F44" s="11">
        <f>IFERROR(VLOOKUP('Pairings NB'!$M$189,Instructores!$A:$D,2,FALSE),"")</f>
        <v/>
      </c>
      <c r="G44" s="11">
        <f>'Pairings NB'!$M$189</f>
        <v/>
      </c>
      <c r="H44" s="11">
        <f>IFERROR(VLOOKUP('Pairings NB'!$M$189,Instructores!$A:$D,4,FALSE),"")</f>
        <v/>
      </c>
      <c r="I44" s="11">
        <f>'Pairings NB'!$O$189</f>
        <v/>
      </c>
      <c r="J44" s="11">
        <f>'Pairings NB'!J189</f>
        <v/>
      </c>
      <c r="K44" s="11">
        <f>IFERROR(VLOOKUP('Pairings NB'!$M$189,Instructores!$A:$D,3,FALSE),"")</f>
        <v/>
      </c>
      <c r="L44" s="11">
        <f>IF('Pairings NB'!J189=320,4,3)</f>
        <v/>
      </c>
      <c r="M44" s="11">
        <f>'Pairings NB'!$N$189</f>
        <v/>
      </c>
    </row>
    <row r="45">
      <c r="A45" s="11">
        <f>'Pairings NB'!B194</f>
        <v/>
      </c>
      <c r="B45" s="11">
        <f>'Pairings NB'!C194</f>
        <v/>
      </c>
      <c r="C45" s="11">
        <f>'Pairings NB'!D194</f>
        <v/>
      </c>
      <c r="D45" s="11">
        <f>'Pairings NB'!E194&amp;"/"&amp;'Pairings NB'!E195</f>
        <v/>
      </c>
      <c r="E45" s="11">
        <f>'Pairings NB'!F194&amp;"-"&amp;'Pairings NB'!G194&amp;"-"&amp;'Pairings NB'!F194</f>
        <v/>
      </c>
      <c r="F45" s="11">
        <f>IFERROR(VLOOKUP('Pairings NB'!$M$194,Instructores!$A:$D,2,FALSE),"")</f>
        <v/>
      </c>
      <c r="G45" s="11">
        <f>'Pairings NB'!$M$194</f>
        <v/>
      </c>
      <c r="H45" s="11">
        <f>IFERROR(VLOOKUP('Pairings NB'!$M$194,Instructores!$A:$D,4,FALSE),"")</f>
        <v/>
      </c>
      <c r="I45" s="11">
        <f>'Pairings NB'!$O$194</f>
        <v/>
      </c>
      <c r="J45" s="11">
        <f>'Pairings NB'!J194</f>
        <v/>
      </c>
      <c r="K45" s="11">
        <f>IFERROR(VLOOKUP('Pairings NB'!$M$194,Instructores!$A:$D,3,FALSE),"")</f>
        <v/>
      </c>
      <c r="L45" s="11">
        <f>IF('Pairings NB'!J194=320,4,3)</f>
        <v/>
      </c>
      <c r="M45" s="11">
        <f>'Pairings NB'!$N$194</f>
        <v/>
      </c>
    </row>
    <row r="46">
      <c r="A46" s="11">
        <f>'Pairings NB'!B199</f>
        <v/>
      </c>
      <c r="B46" s="11">
        <f>'Pairings NB'!C199</f>
        <v/>
      </c>
      <c r="C46" s="11">
        <f>'Pairings NB'!D199</f>
        <v/>
      </c>
      <c r="D46" s="11">
        <f>'Pairings NB'!E199&amp;"/"&amp;'Pairings NB'!E200</f>
        <v/>
      </c>
      <c r="E46" s="11">
        <f>'Pairings NB'!F199&amp;"-"&amp;'Pairings NB'!G199&amp;"-"&amp;'Pairings NB'!F199</f>
        <v/>
      </c>
      <c r="F46" s="11">
        <f>IFERROR(VLOOKUP('Pairings NB'!$M$199,Instructores!$A:$D,2,FALSE),"")</f>
        <v/>
      </c>
      <c r="G46" s="11">
        <f>'Pairings NB'!$M$199</f>
        <v/>
      </c>
      <c r="H46" s="11">
        <f>IFERROR(VLOOKUP('Pairings NB'!$M$199,Instructores!$A:$D,4,FALSE),"")</f>
        <v/>
      </c>
      <c r="I46" s="11">
        <f>'Pairings NB'!$O$199</f>
        <v/>
      </c>
      <c r="J46" s="11">
        <f>'Pairings NB'!J199</f>
        <v/>
      </c>
      <c r="K46" s="11">
        <f>IFERROR(VLOOKUP('Pairings NB'!$M$199,Instructores!$A:$D,3,FALSE),"")</f>
        <v/>
      </c>
      <c r="L46" s="11">
        <f>IF('Pairings NB'!J199=320,4,3)</f>
        <v/>
      </c>
      <c r="M46" s="11">
        <f>'Pairings NB'!$N$199</f>
        <v/>
      </c>
    </row>
    <row r="47">
      <c r="A47" s="11">
        <f>'Pairings NB'!B204</f>
        <v/>
      </c>
      <c r="B47" s="11">
        <f>'Pairings NB'!C204</f>
        <v/>
      </c>
      <c r="C47" s="11">
        <f>'Pairings NB'!D204</f>
        <v/>
      </c>
      <c r="D47" s="11">
        <f>'Pairings NB'!E204&amp;"/"&amp;'Pairings NB'!E205</f>
        <v/>
      </c>
      <c r="E47" s="11">
        <f>'Pairings NB'!F204&amp;"-"&amp;'Pairings NB'!G204&amp;"-"&amp;'Pairings NB'!F204</f>
        <v/>
      </c>
      <c r="F47" s="11">
        <f>IFERROR(VLOOKUP('Pairings NB'!$M$204,Instructores!$A:$D,2,FALSE),"")</f>
        <v/>
      </c>
      <c r="G47" s="11">
        <f>'Pairings NB'!$M$204</f>
        <v/>
      </c>
      <c r="H47" s="11">
        <f>IFERROR(VLOOKUP('Pairings NB'!$M$204,Instructores!$A:$D,4,FALSE),"")</f>
        <v/>
      </c>
      <c r="I47" s="11">
        <f>'Pairings NB'!$O$204</f>
        <v/>
      </c>
      <c r="J47" s="11">
        <f>'Pairings NB'!J204</f>
        <v/>
      </c>
      <c r="K47" s="11">
        <f>IFERROR(VLOOKUP('Pairings NB'!$M$204,Instructores!$A:$D,3,FALSE),"")</f>
        <v/>
      </c>
      <c r="L47" s="11">
        <f>IF('Pairings NB'!J204=320,4,3)</f>
        <v/>
      </c>
      <c r="M47" s="11">
        <f>'Pairings NB'!$N$204</f>
        <v/>
      </c>
    </row>
    <row r="48">
      <c r="A48" s="11">
        <f>'Pairings NB'!B209</f>
        <v/>
      </c>
      <c r="B48" s="11">
        <f>'Pairings NB'!C209</f>
        <v/>
      </c>
      <c r="C48" s="11">
        <f>'Pairings NB'!D209</f>
        <v/>
      </c>
      <c r="D48" s="11">
        <f>'Pairings NB'!E209&amp;"/"&amp;'Pairings NB'!E210</f>
        <v/>
      </c>
      <c r="E48" s="11">
        <f>'Pairings NB'!F209&amp;"-"&amp;'Pairings NB'!G209&amp;"-"&amp;'Pairings NB'!F209</f>
        <v/>
      </c>
      <c r="F48" s="11">
        <f>IFERROR(VLOOKUP('Pairings NB'!$M$209,Instructores!$A:$D,2,FALSE),"")</f>
        <v/>
      </c>
      <c r="G48" s="11">
        <f>'Pairings NB'!$M$209</f>
        <v/>
      </c>
      <c r="H48" s="11">
        <f>IFERROR(VLOOKUP('Pairings NB'!$M$209,Instructores!$A:$D,4,FALSE),"")</f>
        <v/>
      </c>
      <c r="I48" s="11">
        <f>'Pairings NB'!$O$209</f>
        <v/>
      </c>
      <c r="J48" s="11">
        <f>'Pairings NB'!J209</f>
        <v/>
      </c>
      <c r="K48" s="11">
        <f>IFERROR(VLOOKUP('Pairings NB'!$M$209,Instructores!$A:$D,3,FALSE),"")</f>
        <v/>
      </c>
      <c r="L48" s="11">
        <f>IF('Pairings NB'!J209=320,4,3)</f>
        <v/>
      </c>
      <c r="M48" s="11">
        <f>'Pairings NB'!$N$209</f>
        <v/>
      </c>
    </row>
    <row r="49">
      <c r="A49" s="11">
        <f>'Pairings NB'!B211</f>
        <v/>
      </c>
      <c r="B49" s="11">
        <f>'Pairings NB'!C211</f>
        <v/>
      </c>
      <c r="C49" s="11">
        <f>'Pairings NB'!D211</f>
        <v/>
      </c>
      <c r="D49" s="11">
        <f>'Pairings NB'!E211&amp;"/"&amp;'Pairings NB'!E212</f>
        <v/>
      </c>
      <c r="E49" s="11">
        <f>'Pairings NB'!F211&amp;"-"&amp;'Pairings NB'!G211&amp;"-"&amp;'Pairings NB'!F211</f>
        <v/>
      </c>
      <c r="F49" s="11">
        <f>IFERROR(VLOOKUP('Pairings NB'!$M$209,Instructores!$A:$D,2,FALSE),"")</f>
        <v/>
      </c>
      <c r="G49" s="11">
        <f>'Pairings NB'!$M$209</f>
        <v/>
      </c>
      <c r="H49" s="11">
        <f>IFERROR(VLOOKUP('Pairings NB'!$M$209,Instructores!$A:$D,4,FALSE),"")</f>
        <v/>
      </c>
      <c r="I49" s="11">
        <f>'Pairings NB'!$O$209</f>
        <v/>
      </c>
      <c r="J49" s="11">
        <f>'Pairings NB'!J211</f>
        <v/>
      </c>
      <c r="K49" s="11">
        <f>IFERROR(VLOOKUP('Pairings NB'!$M$209,Instructores!$A:$D,3,FALSE),"")</f>
        <v/>
      </c>
      <c r="L49" s="11">
        <f>IF('Pairings NB'!J211=320,4,3)</f>
        <v/>
      </c>
      <c r="M49" s="11">
        <f>'Pairings NB'!$N$209</f>
        <v/>
      </c>
    </row>
    <row r="50">
      <c r="A50" s="11">
        <f>'Pairings NB'!B216</f>
        <v/>
      </c>
      <c r="B50" s="11">
        <f>'Pairings NB'!C216</f>
        <v/>
      </c>
      <c r="C50" s="11">
        <f>'Pairings NB'!D216</f>
        <v/>
      </c>
      <c r="D50" s="11">
        <f>'Pairings NB'!E216&amp;"/"&amp;'Pairings NB'!E217</f>
        <v/>
      </c>
      <c r="E50" s="11">
        <f>'Pairings NB'!F216&amp;"-"&amp;'Pairings NB'!G216&amp;"-"&amp;'Pairings NB'!F216</f>
        <v/>
      </c>
      <c r="F50" s="11">
        <f>IFERROR(VLOOKUP('Pairings NB'!$M$216,Instructores!$A:$D,2,FALSE),"")</f>
        <v/>
      </c>
      <c r="G50" s="11">
        <f>'Pairings NB'!$M$216</f>
        <v/>
      </c>
      <c r="H50" s="11">
        <f>IFERROR(VLOOKUP('Pairings NB'!$M$216,Instructores!$A:$D,4,FALSE),"")</f>
        <v/>
      </c>
      <c r="I50" s="11">
        <f>'Pairings NB'!$O$216</f>
        <v/>
      </c>
      <c r="J50" s="11">
        <f>'Pairings NB'!J216</f>
        <v/>
      </c>
      <c r="K50" s="11">
        <f>IFERROR(VLOOKUP('Pairings NB'!$M$216,Instructores!$A:$D,3,FALSE),"")</f>
        <v/>
      </c>
      <c r="L50" s="11">
        <f>IF('Pairings NB'!J216=320,4,3)</f>
        <v/>
      </c>
      <c r="M50" s="11">
        <f>'Pairings NB'!$N$216</f>
        <v/>
      </c>
    </row>
    <row r="51">
      <c r="A51" s="11">
        <f>'Pairings NB'!B218</f>
        <v/>
      </c>
      <c r="B51" s="11">
        <f>'Pairings NB'!C218</f>
        <v/>
      </c>
      <c r="C51" s="11">
        <f>'Pairings NB'!D218</f>
        <v/>
      </c>
      <c r="D51" s="11">
        <f>'Pairings NB'!E218&amp;"/"&amp;'Pairings NB'!E219</f>
        <v/>
      </c>
      <c r="E51" s="11">
        <f>'Pairings NB'!F218&amp;"-"&amp;'Pairings NB'!G218&amp;"-"&amp;'Pairings NB'!F218</f>
        <v/>
      </c>
      <c r="F51" s="11">
        <f>IFERROR(VLOOKUP('Pairings NB'!$M$216,Instructores!$A:$D,2,FALSE),"")</f>
        <v/>
      </c>
      <c r="G51" s="11">
        <f>'Pairings NB'!$M$216</f>
        <v/>
      </c>
      <c r="H51" s="11">
        <f>IFERROR(VLOOKUP('Pairings NB'!$M$216,Instructores!$A:$D,4,FALSE),"")</f>
        <v/>
      </c>
      <c r="I51" s="11">
        <f>'Pairings NB'!$O$216</f>
        <v/>
      </c>
      <c r="J51" s="11">
        <f>'Pairings NB'!J218</f>
        <v/>
      </c>
      <c r="K51" s="11">
        <f>IFERROR(VLOOKUP('Pairings NB'!$M$216,Instructores!$A:$D,3,FALSE),"")</f>
        <v/>
      </c>
      <c r="L51" s="11">
        <f>IF('Pairings NB'!J218=320,4,3)</f>
        <v/>
      </c>
      <c r="M51" s="11">
        <f>'Pairings NB'!$N$216</f>
        <v/>
      </c>
    </row>
    <row r="52">
      <c r="A52" s="11">
        <f>'Pairings NB'!B223</f>
        <v/>
      </c>
      <c r="B52" s="11">
        <f>'Pairings NB'!C223</f>
        <v/>
      </c>
      <c r="C52" s="11">
        <f>'Pairings NB'!D223</f>
        <v/>
      </c>
      <c r="D52" s="11">
        <f>'Pairings NB'!E223&amp;"/"&amp;'Pairings NB'!E224</f>
        <v/>
      </c>
      <c r="E52" s="11">
        <f>'Pairings NB'!F223&amp;"-"&amp;'Pairings NB'!G223&amp;"-"&amp;'Pairings NB'!F223</f>
        <v/>
      </c>
      <c r="F52" s="11">
        <f>IFERROR(VLOOKUP('Pairings NB'!$M$223,Instructores!$A:$D,2,FALSE),"")</f>
        <v/>
      </c>
      <c r="G52" s="11">
        <f>'Pairings NB'!$M$223</f>
        <v/>
      </c>
      <c r="H52" s="11">
        <f>IFERROR(VLOOKUP('Pairings NB'!$M$223,Instructores!$A:$D,4,FALSE),"")</f>
        <v/>
      </c>
      <c r="I52" s="11">
        <f>'Pairings NB'!$O$223</f>
        <v/>
      </c>
      <c r="J52" s="11">
        <f>'Pairings NB'!J223</f>
        <v/>
      </c>
      <c r="K52" s="11">
        <f>IFERROR(VLOOKUP('Pairings NB'!$M$223,Instructores!$A:$D,3,FALSE),"")</f>
        <v/>
      </c>
      <c r="L52" s="11">
        <f>IF('Pairings NB'!J223=320,4,3)</f>
        <v/>
      </c>
      <c r="M52" s="11">
        <f>'Pairings NB'!$N$223</f>
        <v/>
      </c>
    </row>
    <row r="53">
      <c r="A53" s="11">
        <f>'Pairings NB'!B228</f>
        <v/>
      </c>
      <c r="B53" s="11">
        <f>'Pairings NB'!C228</f>
        <v/>
      </c>
      <c r="C53" s="11">
        <f>'Pairings NB'!D228</f>
        <v/>
      </c>
      <c r="D53" s="11">
        <f>'Pairings NB'!E228&amp;"/"&amp;'Pairings NB'!E229</f>
        <v/>
      </c>
      <c r="E53" s="11">
        <f>'Pairings NB'!F228&amp;"-"&amp;'Pairings NB'!G228&amp;"-"&amp;'Pairings NB'!F228</f>
        <v/>
      </c>
      <c r="F53" s="11">
        <f>IFERROR(VLOOKUP('Pairings NB'!$M$228,Instructores!$A:$D,2,FALSE),"")</f>
        <v/>
      </c>
      <c r="G53" s="11">
        <f>'Pairings NB'!$M$228</f>
        <v/>
      </c>
      <c r="H53" s="11">
        <f>IFERROR(VLOOKUP('Pairings NB'!$M$228,Instructores!$A:$D,4,FALSE),"")</f>
        <v/>
      </c>
      <c r="I53" s="11">
        <f>'Pairings NB'!$O$228</f>
        <v/>
      </c>
      <c r="J53" s="11">
        <f>'Pairings NB'!J228</f>
        <v/>
      </c>
      <c r="K53" s="11">
        <f>IFERROR(VLOOKUP('Pairings NB'!$M$228,Instructores!$A:$D,3,FALSE),"")</f>
        <v/>
      </c>
      <c r="L53" s="11">
        <f>IF('Pairings NB'!J228=320,4,3)</f>
        <v/>
      </c>
      <c r="M53" s="11">
        <f>'Pairings NB'!$N$228</f>
        <v/>
      </c>
    </row>
    <row r="54">
      <c r="A54" s="11">
        <f>'Pairings NB'!B230</f>
        <v/>
      </c>
      <c r="B54" s="11">
        <f>'Pairings NB'!C230</f>
        <v/>
      </c>
      <c r="C54" s="11">
        <f>'Pairings NB'!D230</f>
        <v/>
      </c>
      <c r="D54" s="11">
        <f>'Pairings NB'!E230&amp;"/"&amp;'Pairings NB'!E231</f>
        <v/>
      </c>
      <c r="E54" s="11">
        <f>'Pairings NB'!F230&amp;"-"&amp;'Pairings NB'!G230&amp;"-"&amp;'Pairings NB'!F230</f>
        <v/>
      </c>
      <c r="F54" s="11">
        <f>IFERROR(VLOOKUP('Pairings NB'!$M$228,Instructores!$A:$D,2,FALSE),"")</f>
        <v/>
      </c>
      <c r="G54" s="11">
        <f>'Pairings NB'!$M$228</f>
        <v/>
      </c>
      <c r="H54" s="11">
        <f>IFERROR(VLOOKUP('Pairings NB'!$M$228,Instructores!$A:$D,4,FALSE),"")</f>
        <v/>
      </c>
      <c r="I54" s="11">
        <f>'Pairings NB'!$O$228</f>
        <v/>
      </c>
      <c r="J54" s="11">
        <f>'Pairings NB'!J230</f>
        <v/>
      </c>
      <c r="K54" s="11">
        <f>IFERROR(VLOOKUP('Pairings NB'!$M$228,Instructores!$A:$D,3,FALSE),"")</f>
        <v/>
      </c>
      <c r="L54" s="11">
        <f>IF('Pairings NB'!J230=320,4,3)</f>
        <v/>
      </c>
      <c r="M54" s="11">
        <f>'Pairings NB'!$N$228</f>
        <v/>
      </c>
    </row>
    <row r="55">
      <c r="A55" s="11">
        <f>'Pairings NB'!B235</f>
        <v/>
      </c>
      <c r="B55" s="11">
        <f>'Pairings NB'!C235</f>
        <v/>
      </c>
      <c r="C55" s="11">
        <f>'Pairings NB'!D235</f>
        <v/>
      </c>
      <c r="D55" s="11">
        <f>'Pairings NB'!E235&amp;"/"&amp;'Pairings NB'!E236</f>
        <v/>
      </c>
      <c r="E55" s="11">
        <f>'Pairings NB'!F235&amp;"-"&amp;'Pairings NB'!G235&amp;"-"&amp;'Pairings NB'!F235</f>
        <v/>
      </c>
      <c r="F55" s="11">
        <f>IFERROR(VLOOKUP('Pairings NB'!$M$235,Instructores!$A:$D,2,FALSE),"")</f>
        <v/>
      </c>
      <c r="G55" s="11">
        <f>'Pairings NB'!$M$235</f>
        <v/>
      </c>
      <c r="H55" s="11">
        <f>IFERROR(VLOOKUP('Pairings NB'!$M$235,Instructores!$A:$D,4,FALSE),"")</f>
        <v/>
      </c>
      <c r="I55" s="11">
        <f>'Pairings NB'!$O$235</f>
        <v/>
      </c>
      <c r="J55" s="11">
        <f>'Pairings NB'!J235</f>
        <v/>
      </c>
      <c r="K55" s="11">
        <f>IFERROR(VLOOKUP('Pairings NB'!$M$235,Instructores!$A:$D,3,FALSE),"")</f>
        <v/>
      </c>
      <c r="L55" s="11">
        <f>IF('Pairings NB'!J235=320,4,3)</f>
        <v/>
      </c>
      <c r="M55" s="11">
        <f>'Pairings NB'!$N$235</f>
        <v/>
      </c>
    </row>
    <row r="56">
      <c r="A56" s="11">
        <f>'Pairings NB'!B240</f>
        <v/>
      </c>
      <c r="B56" s="11">
        <f>'Pairings NB'!C240</f>
        <v/>
      </c>
      <c r="C56" s="11">
        <f>'Pairings NB'!D240</f>
        <v/>
      </c>
      <c r="D56" s="11">
        <f>'Pairings NB'!E240&amp;"/"&amp;'Pairings NB'!E241</f>
        <v/>
      </c>
      <c r="E56" s="11">
        <f>'Pairings NB'!F240&amp;"-"&amp;'Pairings NB'!G240&amp;"-"&amp;'Pairings NB'!F240</f>
        <v/>
      </c>
      <c r="F56" s="11">
        <f>IFERROR(VLOOKUP('Pairings NB'!$M$240,Instructores!$A:$D,2,FALSE),"")</f>
        <v/>
      </c>
      <c r="G56" s="11">
        <f>'Pairings NB'!$M$240</f>
        <v/>
      </c>
      <c r="H56" s="11">
        <f>IFERROR(VLOOKUP('Pairings NB'!$M$240,Instructores!$A:$D,4,FALSE),"")</f>
        <v/>
      </c>
      <c r="I56" s="11">
        <f>'Pairings NB'!$O$240</f>
        <v/>
      </c>
      <c r="J56" s="11">
        <f>'Pairings NB'!J240</f>
        <v/>
      </c>
      <c r="K56" s="11">
        <f>IFERROR(VLOOKUP('Pairings NB'!$M$240,Instructores!$A:$D,3,FALSE),"")</f>
        <v/>
      </c>
      <c r="L56" s="11">
        <f>IF('Pairings NB'!J240=320,4,3)</f>
        <v/>
      </c>
      <c r="M56" s="11">
        <f>'Pairings NB'!$N$240</f>
        <v/>
      </c>
    </row>
    <row r="57">
      <c r="A57" s="11">
        <f>'Pairings NB'!B245</f>
        <v/>
      </c>
      <c r="B57" s="11">
        <f>'Pairings NB'!C245</f>
        <v/>
      </c>
      <c r="C57" s="11">
        <f>'Pairings NB'!D245</f>
        <v/>
      </c>
      <c r="D57" s="11">
        <f>'Pairings NB'!E245&amp;"/"&amp;'Pairings NB'!E246</f>
        <v/>
      </c>
      <c r="E57" s="11">
        <f>'Pairings NB'!F245&amp;"-"&amp;'Pairings NB'!G245&amp;"-"&amp;'Pairings NB'!F245</f>
        <v/>
      </c>
      <c r="F57" s="11">
        <f>IFERROR(VLOOKUP('Pairings NB'!$M$245,Instructores!$A:$D,2,FALSE),"")</f>
        <v/>
      </c>
      <c r="G57" s="11">
        <f>'Pairings NB'!$M$245</f>
        <v/>
      </c>
      <c r="H57" s="11">
        <f>IFERROR(VLOOKUP('Pairings NB'!$M$245,Instructores!$A:$D,4,FALSE),"")</f>
        <v/>
      </c>
      <c r="I57" s="11">
        <f>'Pairings NB'!$O$245</f>
        <v/>
      </c>
      <c r="J57" s="11">
        <f>'Pairings NB'!J245</f>
        <v/>
      </c>
      <c r="K57" s="11">
        <f>IFERROR(VLOOKUP('Pairings NB'!$M$245,Instructores!$A:$D,3,FALSE),"")</f>
        <v/>
      </c>
      <c r="L57" s="11">
        <f>IF('Pairings NB'!J245=320,4,3)</f>
        <v/>
      </c>
      <c r="M57" s="11">
        <f>'Pairings NB'!$N$245</f>
        <v/>
      </c>
    </row>
    <row r="58">
      <c r="A58" s="11">
        <f>'Pairings NB'!B250</f>
        <v/>
      </c>
      <c r="B58" s="11">
        <f>'Pairings NB'!C250</f>
        <v/>
      </c>
      <c r="C58" s="11">
        <f>'Pairings NB'!D250</f>
        <v/>
      </c>
      <c r="D58" s="11">
        <f>'Pairings NB'!E250&amp;"/"&amp;'Pairings NB'!E251</f>
        <v/>
      </c>
      <c r="E58" s="11">
        <f>'Pairings NB'!F250&amp;"-"&amp;'Pairings NB'!G250&amp;"-"&amp;'Pairings NB'!F250</f>
        <v/>
      </c>
      <c r="F58" s="11">
        <f>IFERROR(VLOOKUP('Pairings NB'!$M$250,Instructores!$A:$D,2,FALSE),"")</f>
        <v/>
      </c>
      <c r="G58" s="11">
        <f>'Pairings NB'!$M$250</f>
        <v/>
      </c>
      <c r="H58" s="11">
        <f>IFERROR(VLOOKUP('Pairings NB'!$M$250,Instructores!$A:$D,4,FALSE),"")</f>
        <v/>
      </c>
      <c r="I58" s="11">
        <f>'Pairings NB'!$O$250</f>
        <v/>
      </c>
      <c r="J58" s="11">
        <f>'Pairings NB'!J250</f>
        <v/>
      </c>
      <c r="K58" s="11">
        <f>IFERROR(VLOOKUP('Pairings NB'!$M$250,Instructores!$A:$D,3,FALSE),"")</f>
        <v/>
      </c>
      <c r="L58" s="11">
        <f>IF('Pairings NB'!J250=320,4,3)</f>
        <v/>
      </c>
      <c r="M58" s="11">
        <f>'Pairings NB'!$N$250</f>
        <v/>
      </c>
    </row>
    <row r="59">
      <c r="A59" s="11">
        <f>'Pairings NB'!B255</f>
        <v/>
      </c>
      <c r="B59" s="11">
        <f>'Pairings NB'!C255</f>
        <v/>
      </c>
      <c r="C59" s="11">
        <f>'Pairings NB'!D255</f>
        <v/>
      </c>
      <c r="D59" s="11">
        <f>'Pairings NB'!E255&amp;"/"&amp;'Pairings NB'!E256</f>
        <v/>
      </c>
      <c r="E59" s="11">
        <f>'Pairings NB'!F255&amp;"-"&amp;'Pairings NB'!G255&amp;"-"&amp;'Pairings NB'!F255</f>
        <v/>
      </c>
      <c r="F59" s="11">
        <f>IFERROR(VLOOKUP('Pairings NB'!$M$255,Instructores!$A:$D,2,FALSE),"")</f>
        <v/>
      </c>
      <c r="G59" s="11">
        <f>'Pairings NB'!$M$255</f>
        <v/>
      </c>
      <c r="H59" s="11">
        <f>IFERROR(VLOOKUP('Pairings NB'!$M$255,Instructores!$A:$D,4,FALSE),"")</f>
        <v/>
      </c>
      <c r="I59" s="11">
        <f>'Pairings NB'!$O$255</f>
        <v/>
      </c>
      <c r="J59" s="11">
        <f>'Pairings NB'!J255</f>
        <v/>
      </c>
      <c r="K59" s="11">
        <f>IFERROR(VLOOKUP('Pairings NB'!$M$255,Instructores!$A:$D,3,FALSE),"")</f>
        <v/>
      </c>
      <c r="L59" s="11">
        <f>IF('Pairings NB'!J255=320,4,3)</f>
        <v/>
      </c>
      <c r="M59" s="11">
        <f>'Pairings NB'!$N$255</f>
        <v/>
      </c>
    </row>
    <row r="60">
      <c r="A60" s="11">
        <f>'Pairings NB'!B260</f>
        <v/>
      </c>
      <c r="B60" s="11">
        <f>'Pairings NB'!C260</f>
        <v/>
      </c>
      <c r="C60" s="11">
        <f>'Pairings NB'!D260</f>
        <v/>
      </c>
      <c r="D60" s="11">
        <f>'Pairings NB'!E260&amp;"/"&amp;'Pairings NB'!E261</f>
        <v/>
      </c>
      <c r="E60" s="11">
        <f>'Pairings NB'!F260&amp;"-"&amp;'Pairings NB'!G260&amp;"-"&amp;'Pairings NB'!F260</f>
        <v/>
      </c>
      <c r="F60" s="11">
        <f>IFERROR(VLOOKUP('Pairings NB'!$M$260,Instructores!$A:$D,2,FALSE),"")</f>
        <v/>
      </c>
      <c r="G60" s="11">
        <f>'Pairings NB'!$M$260</f>
        <v/>
      </c>
      <c r="H60" s="11">
        <f>IFERROR(VLOOKUP('Pairings NB'!$M$260,Instructores!$A:$D,4,FALSE),"")</f>
        <v/>
      </c>
      <c r="I60" s="11">
        <f>'Pairings NB'!$O$260</f>
        <v/>
      </c>
      <c r="J60" s="11">
        <f>'Pairings NB'!J260</f>
        <v/>
      </c>
      <c r="K60" s="11">
        <f>IFERROR(VLOOKUP('Pairings NB'!$M$260,Instructores!$A:$D,3,FALSE),"")</f>
        <v/>
      </c>
      <c r="L60" s="11">
        <f>IF('Pairings NB'!J260=320,4,3)</f>
        <v/>
      </c>
      <c r="M60" s="11">
        <f>'Pairings NB'!$N$260</f>
        <v/>
      </c>
    </row>
    <row r="61">
      <c r="A61" s="11">
        <f>'Pairings NB'!B265</f>
        <v/>
      </c>
      <c r="B61" s="11">
        <f>'Pairings NB'!C265</f>
        <v/>
      </c>
      <c r="C61" s="11">
        <f>'Pairings NB'!D265</f>
        <v/>
      </c>
      <c r="D61" s="11">
        <f>'Pairings NB'!E265&amp;"/"&amp;'Pairings NB'!E266</f>
        <v/>
      </c>
      <c r="E61" s="11">
        <f>'Pairings NB'!F265&amp;"-"&amp;'Pairings NB'!G265&amp;"-"&amp;'Pairings NB'!F265</f>
        <v/>
      </c>
      <c r="F61" s="11">
        <f>IFERROR(VLOOKUP('Pairings NB'!$M$265,Instructores!$A:$D,2,FALSE),"")</f>
        <v/>
      </c>
      <c r="G61" s="11">
        <f>'Pairings NB'!$M$265</f>
        <v/>
      </c>
      <c r="H61" s="11">
        <f>IFERROR(VLOOKUP('Pairings NB'!$M$265,Instructores!$A:$D,4,FALSE),"")</f>
        <v/>
      </c>
      <c r="I61" s="11">
        <f>'Pairings NB'!$O$265</f>
        <v/>
      </c>
      <c r="J61" s="11">
        <f>'Pairings NB'!J265</f>
        <v/>
      </c>
      <c r="K61" s="11">
        <f>IFERROR(VLOOKUP('Pairings NB'!$M$265,Instructores!$A:$D,3,FALSE),"")</f>
        <v/>
      </c>
      <c r="L61" s="11">
        <f>IF('Pairings NB'!J265=320,4,3)</f>
        <v/>
      </c>
      <c r="M61" s="11">
        <f>'Pairings NB'!$N$265</f>
        <v/>
      </c>
    </row>
    <row r="62">
      <c r="A62" s="11">
        <f>'Pairings NB'!B270</f>
        <v/>
      </c>
      <c r="B62" s="11">
        <f>'Pairings NB'!C270</f>
        <v/>
      </c>
      <c r="C62" s="11">
        <f>'Pairings NB'!D270</f>
        <v/>
      </c>
      <c r="D62" s="11">
        <f>'Pairings NB'!E270&amp;"/"&amp;'Pairings NB'!E271</f>
        <v/>
      </c>
      <c r="E62" s="11">
        <f>'Pairings NB'!F270&amp;"-"&amp;'Pairings NB'!G270&amp;"-"&amp;'Pairings NB'!F270</f>
        <v/>
      </c>
      <c r="F62" s="11">
        <f>IFERROR(VLOOKUP('Pairings NB'!$M$270,Instructores!$A:$D,2,FALSE),"")</f>
        <v/>
      </c>
      <c r="G62" s="11">
        <f>'Pairings NB'!$M$270</f>
        <v/>
      </c>
      <c r="H62" s="11">
        <f>IFERROR(VLOOKUP('Pairings NB'!$M$270,Instructores!$A:$D,4,FALSE),"")</f>
        <v/>
      </c>
      <c r="I62" s="11">
        <f>'Pairings NB'!$O$270</f>
        <v/>
      </c>
      <c r="J62" s="11">
        <f>'Pairings NB'!J270</f>
        <v/>
      </c>
      <c r="K62" s="11">
        <f>IFERROR(VLOOKUP('Pairings NB'!$M$270,Instructores!$A:$D,3,FALSE),"")</f>
        <v/>
      </c>
      <c r="L62" s="11">
        <f>IF('Pairings NB'!J270=320,4,3)</f>
        <v/>
      </c>
      <c r="M62" s="11">
        <f>'Pairings NB'!$N$270</f>
        <v/>
      </c>
    </row>
    <row r="63">
      <c r="A63" s="11">
        <f>'Pairings NB'!B275</f>
        <v/>
      </c>
      <c r="B63" s="11">
        <f>'Pairings NB'!C275</f>
        <v/>
      </c>
      <c r="C63" s="11">
        <f>'Pairings NB'!D275</f>
        <v/>
      </c>
      <c r="D63" s="11">
        <f>'Pairings NB'!E275&amp;"/"&amp;'Pairings NB'!E276</f>
        <v/>
      </c>
      <c r="E63" s="11">
        <f>'Pairings NB'!F275&amp;"-"&amp;'Pairings NB'!G275&amp;"-"&amp;'Pairings NB'!F275</f>
        <v/>
      </c>
      <c r="F63" s="11">
        <f>IFERROR(VLOOKUP('Pairings NB'!$M$275,Instructores!$A:$D,2,FALSE),"")</f>
        <v/>
      </c>
      <c r="G63" s="11">
        <f>'Pairings NB'!$M$275</f>
        <v/>
      </c>
      <c r="H63" s="11">
        <f>IFERROR(VLOOKUP('Pairings NB'!$M$275,Instructores!$A:$D,4,FALSE),"")</f>
        <v/>
      </c>
      <c r="I63" s="11">
        <f>'Pairings NB'!$O$275</f>
        <v/>
      </c>
      <c r="J63" s="11">
        <f>'Pairings NB'!J275</f>
        <v/>
      </c>
      <c r="K63" s="11">
        <f>IFERROR(VLOOKUP('Pairings NB'!$M$275,Instructores!$A:$D,3,FALSE),"")</f>
        <v/>
      </c>
      <c r="L63" s="11">
        <f>IF('Pairings NB'!J275=320,4,3)</f>
        <v/>
      </c>
      <c r="M63" s="11">
        <f>'Pairings NB'!$N$275</f>
        <v/>
      </c>
    </row>
    <row r="64">
      <c r="A64" s="11">
        <f>'Pairings NB'!B280</f>
        <v/>
      </c>
      <c r="B64" s="11">
        <f>'Pairings NB'!C280</f>
        <v/>
      </c>
      <c r="C64" s="11">
        <f>'Pairings NB'!D280</f>
        <v/>
      </c>
      <c r="D64" s="11">
        <f>'Pairings NB'!E280&amp;"/"&amp;'Pairings NB'!E281</f>
        <v/>
      </c>
      <c r="E64" s="11">
        <f>'Pairings NB'!F280&amp;"-"&amp;'Pairings NB'!G280&amp;"-"&amp;'Pairings NB'!F280</f>
        <v/>
      </c>
      <c r="F64" s="11">
        <f>IFERROR(VLOOKUP('Pairings NB'!$M$280,Instructores!$A:$D,2,FALSE),"")</f>
        <v/>
      </c>
      <c r="G64" s="11">
        <f>'Pairings NB'!$M$280</f>
        <v/>
      </c>
      <c r="H64" s="11">
        <f>IFERROR(VLOOKUP('Pairings NB'!$M$280,Instructores!$A:$D,4,FALSE),"")</f>
        <v/>
      </c>
      <c r="I64" s="11">
        <f>'Pairings NB'!$O$280</f>
        <v/>
      </c>
      <c r="J64" s="11">
        <f>'Pairings NB'!J280</f>
        <v/>
      </c>
      <c r="K64" s="11">
        <f>IFERROR(VLOOKUP('Pairings NB'!$M$280,Instructores!$A:$D,3,FALSE),"")</f>
        <v/>
      </c>
      <c r="L64" s="11">
        <f>IF('Pairings NB'!J280=320,4,3)</f>
        <v/>
      </c>
      <c r="M64" s="11">
        <f>'Pairings NB'!$N$280</f>
        <v/>
      </c>
    </row>
    <row r="65">
      <c r="A65" s="11">
        <f>'Pairings NB'!B285</f>
        <v/>
      </c>
      <c r="B65" s="11">
        <f>'Pairings NB'!C285</f>
        <v/>
      </c>
      <c r="C65" s="11">
        <f>'Pairings NB'!D285</f>
        <v/>
      </c>
      <c r="D65" s="11">
        <f>'Pairings NB'!E285&amp;"/"&amp;'Pairings NB'!E286</f>
        <v/>
      </c>
      <c r="E65" s="11">
        <f>'Pairings NB'!F285&amp;"-"&amp;'Pairings NB'!G285&amp;"-"&amp;'Pairings NB'!F285</f>
        <v/>
      </c>
      <c r="F65" s="11">
        <f>IFERROR(VLOOKUP('Pairings NB'!$M$285,Instructores!$A:$D,2,FALSE),"")</f>
        <v/>
      </c>
      <c r="G65" s="11">
        <f>'Pairings NB'!$M$285</f>
        <v/>
      </c>
      <c r="H65" s="11">
        <f>IFERROR(VLOOKUP('Pairings NB'!$M$285,Instructores!$A:$D,4,FALSE),"")</f>
        <v/>
      </c>
      <c r="I65" s="11">
        <f>'Pairings NB'!$O$285</f>
        <v/>
      </c>
      <c r="J65" s="11">
        <f>'Pairings NB'!J285</f>
        <v/>
      </c>
      <c r="K65" s="11">
        <f>IFERROR(VLOOKUP('Pairings NB'!$M$285,Instructores!$A:$D,3,FALSE),"")</f>
        <v/>
      </c>
      <c r="L65" s="11">
        <f>IF('Pairings NB'!J285=320,4,3)</f>
        <v/>
      </c>
      <c r="M65" s="11">
        <f>'Pairings NB'!$N$285</f>
        <v/>
      </c>
    </row>
    <row r="66">
      <c r="A66" s="11">
        <f>'Pairings NB'!B290</f>
        <v/>
      </c>
      <c r="B66" s="11">
        <f>'Pairings NB'!C290</f>
        <v/>
      </c>
      <c r="C66" s="11">
        <f>'Pairings NB'!D290</f>
        <v/>
      </c>
      <c r="D66" s="11">
        <f>'Pairings NB'!E290&amp;"/"&amp;'Pairings NB'!E291</f>
        <v/>
      </c>
      <c r="E66" s="11">
        <f>'Pairings NB'!F290&amp;"-"&amp;'Pairings NB'!G290&amp;"-"&amp;'Pairings NB'!F290</f>
        <v/>
      </c>
      <c r="F66" s="11">
        <f>IFERROR(VLOOKUP('Pairings NB'!$M$290,Instructores!$A:$D,2,FALSE),"")</f>
        <v/>
      </c>
      <c r="G66" s="11">
        <f>'Pairings NB'!$M$290</f>
        <v/>
      </c>
      <c r="H66" s="11">
        <f>IFERROR(VLOOKUP('Pairings NB'!$M$290,Instructores!$A:$D,4,FALSE),"")</f>
        <v/>
      </c>
      <c r="I66" s="11">
        <f>'Pairings NB'!$O$290</f>
        <v/>
      </c>
      <c r="J66" s="11">
        <f>'Pairings NB'!J290</f>
        <v/>
      </c>
      <c r="K66" s="11">
        <f>IFERROR(VLOOKUP('Pairings NB'!$M$290,Instructores!$A:$D,3,FALSE),"")</f>
        <v/>
      </c>
      <c r="L66" s="11">
        <f>IF('Pairings NB'!J290=320,4,3)</f>
        <v/>
      </c>
      <c r="M66" s="11">
        <f>'Pairings NB'!$N$290</f>
        <v/>
      </c>
    </row>
    <row r="67">
      <c r="A67" s="11">
        <f>'Pairings NB'!B295</f>
        <v/>
      </c>
      <c r="B67" s="11">
        <f>'Pairings NB'!C295</f>
        <v/>
      </c>
      <c r="C67" s="11">
        <f>'Pairings NB'!D295</f>
        <v/>
      </c>
      <c r="D67" s="11">
        <f>'Pairings NB'!E295&amp;"/"&amp;'Pairings NB'!E296</f>
        <v/>
      </c>
      <c r="E67" s="11">
        <f>'Pairings NB'!F295&amp;"-"&amp;'Pairings NB'!G295&amp;"-"&amp;'Pairings NB'!F295</f>
        <v/>
      </c>
      <c r="F67" s="11">
        <f>IFERROR(VLOOKUP('Pairings NB'!$M$295,Instructores!$A:$D,2,FALSE),"")</f>
        <v/>
      </c>
      <c r="G67" s="11">
        <f>'Pairings NB'!$M$295</f>
        <v/>
      </c>
      <c r="H67" s="11">
        <f>IFERROR(VLOOKUP('Pairings NB'!$M$295,Instructores!$A:$D,4,FALSE),"")</f>
        <v/>
      </c>
      <c r="I67" s="11">
        <f>'Pairings NB'!$O$295</f>
        <v/>
      </c>
      <c r="J67" s="11">
        <f>'Pairings NB'!J295</f>
        <v/>
      </c>
      <c r="K67" s="11">
        <f>IFERROR(VLOOKUP('Pairings NB'!$M$295,Instructores!$A:$D,3,FALSE),"")</f>
        <v/>
      </c>
      <c r="L67" s="11">
        <f>IF('Pairings NB'!J295=320,4,3)</f>
        <v/>
      </c>
      <c r="M67" s="11">
        <f>'Pairings NB'!$N$295</f>
        <v/>
      </c>
    </row>
    <row r="68">
      <c r="A68" s="11">
        <f>'Pairings NB'!B297</f>
        <v/>
      </c>
      <c r="B68" s="11">
        <f>'Pairings NB'!C297</f>
        <v/>
      </c>
      <c r="C68" s="11">
        <f>'Pairings NB'!D297</f>
        <v/>
      </c>
      <c r="D68" s="11">
        <f>'Pairings NB'!E297&amp;"/"&amp;'Pairings NB'!E298</f>
        <v/>
      </c>
      <c r="E68" s="11">
        <f>'Pairings NB'!F297&amp;"-"&amp;'Pairings NB'!G297&amp;"-"&amp;'Pairings NB'!F297</f>
        <v/>
      </c>
      <c r="F68" s="11">
        <f>IFERROR(VLOOKUP('Pairings NB'!$M$295,Instructores!$A:$D,2,FALSE),"")</f>
        <v/>
      </c>
      <c r="G68" s="11">
        <f>'Pairings NB'!$M$295</f>
        <v/>
      </c>
      <c r="H68" s="11">
        <f>IFERROR(VLOOKUP('Pairings NB'!$M$295,Instructores!$A:$D,4,FALSE),"")</f>
        <v/>
      </c>
      <c r="I68" s="11">
        <f>'Pairings NB'!$O$295</f>
        <v/>
      </c>
      <c r="J68" s="11">
        <f>'Pairings NB'!J297</f>
        <v/>
      </c>
      <c r="K68" s="11">
        <f>IFERROR(VLOOKUP('Pairings NB'!$M$295,Instructores!$A:$D,3,FALSE),"")</f>
        <v/>
      </c>
      <c r="L68" s="11">
        <f>IF('Pairings NB'!J297=320,4,3)</f>
        <v/>
      </c>
      <c r="M68" s="11">
        <f>'Pairings NB'!$N$295</f>
        <v/>
      </c>
    </row>
    <row r="69">
      <c r="A69" s="11">
        <f>'Pairings NB'!B302</f>
        <v/>
      </c>
      <c r="B69" s="11">
        <f>'Pairings NB'!C302</f>
        <v/>
      </c>
      <c r="C69" s="11">
        <f>'Pairings NB'!D302</f>
        <v/>
      </c>
      <c r="D69" s="11">
        <f>'Pairings NB'!E302&amp;"/"&amp;'Pairings NB'!E303</f>
        <v/>
      </c>
      <c r="E69" s="11">
        <f>'Pairings NB'!F302&amp;"-"&amp;'Pairings NB'!G302&amp;"-"&amp;'Pairings NB'!F302</f>
        <v/>
      </c>
      <c r="F69" s="11">
        <f>IFERROR(VLOOKUP('Pairings NB'!$M$302,Instructores!$A:$D,2,FALSE),"")</f>
        <v/>
      </c>
      <c r="G69" s="11">
        <f>'Pairings NB'!$M$302</f>
        <v/>
      </c>
      <c r="H69" s="11">
        <f>IFERROR(VLOOKUP('Pairings NB'!$M$302,Instructores!$A:$D,4,FALSE),"")</f>
        <v/>
      </c>
      <c r="I69" s="11">
        <f>'Pairings NB'!$O$302</f>
        <v/>
      </c>
      <c r="J69" s="11">
        <f>'Pairings NB'!J302</f>
        <v/>
      </c>
      <c r="K69" s="11">
        <f>IFERROR(VLOOKUP('Pairings NB'!$M$302,Instructores!$A:$D,3,FALSE),"")</f>
        <v/>
      </c>
      <c r="L69" s="11">
        <f>IF('Pairings NB'!J302=320,4,3)</f>
        <v/>
      </c>
      <c r="M69" s="11">
        <f>'Pairings NB'!$N$302</f>
        <v/>
      </c>
    </row>
    <row r="70">
      <c r="A70" s="11">
        <f>'Pairings NB'!B307</f>
        <v/>
      </c>
      <c r="B70" s="11">
        <f>'Pairings NB'!C307</f>
        <v/>
      </c>
      <c r="C70" s="11">
        <f>'Pairings NB'!D307</f>
        <v/>
      </c>
      <c r="D70" s="11">
        <f>'Pairings NB'!E307&amp;"/"&amp;'Pairings NB'!E308</f>
        <v/>
      </c>
      <c r="E70" s="11">
        <f>'Pairings NB'!F307&amp;"-"&amp;'Pairings NB'!G307&amp;"-"&amp;'Pairings NB'!F307</f>
        <v/>
      </c>
      <c r="F70" s="11">
        <f>IFERROR(VLOOKUP('Pairings NB'!$M$307,Instructores!$A:$D,2,FALSE),"")</f>
        <v/>
      </c>
      <c r="G70" s="11">
        <f>'Pairings NB'!$M$307</f>
        <v/>
      </c>
      <c r="H70" s="11">
        <f>IFERROR(VLOOKUP('Pairings NB'!$M$307,Instructores!$A:$D,4,FALSE),"")</f>
        <v/>
      </c>
      <c r="I70" s="11">
        <f>'Pairings NB'!$O$307</f>
        <v/>
      </c>
      <c r="J70" s="11">
        <f>'Pairings NB'!J307</f>
        <v/>
      </c>
      <c r="K70" s="11">
        <f>IFERROR(VLOOKUP('Pairings NB'!$M$307,Instructores!$A:$D,3,FALSE),"")</f>
        <v/>
      </c>
      <c r="L70" s="11">
        <f>IF('Pairings NB'!J307=320,4,3)</f>
        <v/>
      </c>
      <c r="M70" s="11">
        <f>'Pairings NB'!$N$307</f>
        <v/>
      </c>
    </row>
    <row r="71">
      <c r="A71" s="11">
        <f>'Pairings NB'!B309</f>
        <v/>
      </c>
      <c r="B71" s="11">
        <f>'Pairings NB'!C309</f>
        <v/>
      </c>
      <c r="C71" s="11">
        <f>'Pairings NB'!D309</f>
        <v/>
      </c>
      <c r="D71" s="11">
        <f>'Pairings NB'!E309&amp;"/"&amp;'Pairings NB'!E310</f>
        <v/>
      </c>
      <c r="E71" s="11">
        <f>'Pairings NB'!F309&amp;"-"&amp;'Pairings NB'!G309&amp;"-"&amp;'Pairings NB'!F309</f>
        <v/>
      </c>
      <c r="F71" s="11">
        <f>IFERROR(VLOOKUP('Pairings NB'!$M$307,Instructores!$A:$D,2,FALSE),"")</f>
        <v/>
      </c>
      <c r="G71" s="11">
        <f>'Pairings NB'!$M$307</f>
        <v/>
      </c>
      <c r="H71" s="11">
        <f>IFERROR(VLOOKUP('Pairings NB'!$M$307,Instructores!$A:$D,4,FALSE),"")</f>
        <v/>
      </c>
      <c r="I71" s="11">
        <f>'Pairings NB'!$O$307</f>
        <v/>
      </c>
      <c r="J71" s="11">
        <f>'Pairings NB'!J309</f>
        <v/>
      </c>
      <c r="K71" s="11">
        <f>IFERROR(VLOOKUP('Pairings NB'!$M$307,Instructores!$A:$D,3,FALSE),"")</f>
        <v/>
      </c>
      <c r="L71" s="11">
        <f>IF('Pairings NB'!J309=320,4,3)</f>
        <v/>
      </c>
      <c r="M71" s="11">
        <f>'Pairings NB'!$N$307</f>
        <v/>
      </c>
    </row>
    <row r="72">
      <c r="A72" s="11">
        <f>'Pairings NB'!B314</f>
        <v/>
      </c>
      <c r="B72" s="11">
        <f>'Pairings NB'!C314</f>
        <v/>
      </c>
      <c r="C72" s="11">
        <f>'Pairings NB'!D314</f>
        <v/>
      </c>
      <c r="D72" s="11">
        <f>'Pairings NB'!E314&amp;"/"&amp;'Pairings NB'!E315</f>
        <v/>
      </c>
      <c r="E72" s="11">
        <f>'Pairings NB'!F314&amp;"-"&amp;'Pairings NB'!G314&amp;"-"&amp;'Pairings NB'!F314</f>
        <v/>
      </c>
      <c r="F72" s="11">
        <f>IFERROR(VLOOKUP('Pairings NB'!$M$314,Instructores!$A:$D,2,FALSE),"")</f>
        <v/>
      </c>
      <c r="G72" s="11">
        <f>'Pairings NB'!$M$314</f>
        <v/>
      </c>
      <c r="H72" s="11">
        <f>IFERROR(VLOOKUP('Pairings NB'!$M$314,Instructores!$A:$D,4,FALSE),"")</f>
        <v/>
      </c>
      <c r="I72" s="11">
        <f>'Pairings NB'!$O$314</f>
        <v/>
      </c>
      <c r="J72" s="11">
        <f>'Pairings NB'!J314</f>
        <v/>
      </c>
      <c r="K72" s="11">
        <f>IFERROR(VLOOKUP('Pairings NB'!$M$314,Instructores!$A:$D,3,FALSE),"")</f>
        <v/>
      </c>
      <c r="L72" s="11">
        <f>IF('Pairings NB'!J314=320,4,3)</f>
        <v/>
      </c>
      <c r="M72" s="11">
        <f>'Pairings NB'!$N$314</f>
        <v/>
      </c>
    </row>
    <row r="73">
      <c r="A73" s="11">
        <f>'Pairings NB'!B319</f>
        <v/>
      </c>
      <c r="B73" s="11">
        <f>'Pairings NB'!C319</f>
        <v/>
      </c>
      <c r="C73" s="11">
        <f>'Pairings NB'!D319</f>
        <v/>
      </c>
      <c r="D73" s="11">
        <f>'Pairings NB'!E319&amp;"/"&amp;'Pairings NB'!E320</f>
        <v/>
      </c>
      <c r="E73" s="11">
        <f>'Pairings NB'!F319&amp;"-"&amp;'Pairings NB'!G319&amp;"-"&amp;'Pairings NB'!F319</f>
        <v/>
      </c>
      <c r="F73" s="11">
        <f>IFERROR(VLOOKUP('Pairings NB'!$M$319,Instructores!$A:$D,2,FALSE),"")</f>
        <v/>
      </c>
      <c r="G73" s="11">
        <f>'Pairings NB'!$M$319</f>
        <v/>
      </c>
      <c r="H73" s="11">
        <f>IFERROR(VLOOKUP('Pairings NB'!$M$319,Instructores!$A:$D,4,FALSE),"")</f>
        <v/>
      </c>
      <c r="I73" s="11">
        <f>'Pairings NB'!$O$319</f>
        <v/>
      </c>
      <c r="J73" s="11">
        <f>'Pairings NB'!J319</f>
        <v/>
      </c>
      <c r="K73" s="11">
        <f>IFERROR(VLOOKUP('Pairings NB'!$M$319,Instructores!$A:$D,3,FALSE),"")</f>
        <v/>
      </c>
      <c r="L73" s="11">
        <f>IF('Pairings NB'!J319=320,4,3)</f>
        <v/>
      </c>
      <c r="M73" s="11">
        <f>'Pairings NB'!$N$319</f>
        <v/>
      </c>
    </row>
    <row r="74">
      <c r="A74" s="11">
        <f>'Pairings NB'!B321</f>
        <v/>
      </c>
      <c r="B74" s="11">
        <f>'Pairings NB'!C321</f>
        <v/>
      </c>
      <c r="C74" s="11">
        <f>'Pairings NB'!D321</f>
        <v/>
      </c>
      <c r="D74" s="11">
        <f>'Pairings NB'!E321&amp;"/"&amp;'Pairings NB'!E322</f>
        <v/>
      </c>
      <c r="E74" s="11">
        <f>'Pairings NB'!F321&amp;"-"&amp;'Pairings NB'!G321&amp;"-"&amp;'Pairings NB'!F321</f>
        <v/>
      </c>
      <c r="F74" s="11">
        <f>IFERROR(VLOOKUP('Pairings NB'!$M$319,Instructores!$A:$D,2,FALSE),"")</f>
        <v/>
      </c>
      <c r="G74" s="11">
        <f>'Pairings NB'!$M$319</f>
        <v/>
      </c>
      <c r="H74" s="11">
        <f>IFERROR(VLOOKUP('Pairings NB'!$M$319,Instructores!$A:$D,4,FALSE),"")</f>
        <v/>
      </c>
      <c r="I74" s="11">
        <f>'Pairings NB'!$O$319</f>
        <v/>
      </c>
      <c r="J74" s="11">
        <f>'Pairings NB'!J321</f>
        <v/>
      </c>
      <c r="K74" s="11">
        <f>IFERROR(VLOOKUP('Pairings NB'!$M$319,Instructores!$A:$D,3,FALSE),"")</f>
        <v/>
      </c>
      <c r="L74" s="11">
        <f>IF('Pairings NB'!J321=320,4,3)</f>
        <v/>
      </c>
      <c r="M74" s="11">
        <f>'Pairings NB'!$N$319</f>
        <v/>
      </c>
    </row>
    <row r="75">
      <c r="A75" s="11">
        <f>'Pairings NB'!B326</f>
        <v/>
      </c>
      <c r="B75" s="11">
        <f>'Pairings NB'!C326</f>
        <v/>
      </c>
      <c r="C75" s="11">
        <f>'Pairings NB'!D326</f>
        <v/>
      </c>
      <c r="D75" s="11">
        <f>'Pairings NB'!E326&amp;"/"&amp;'Pairings NB'!E327</f>
        <v/>
      </c>
      <c r="E75" s="11">
        <f>'Pairings NB'!F326&amp;"-"&amp;'Pairings NB'!G326&amp;"-"&amp;'Pairings NB'!F326</f>
        <v/>
      </c>
      <c r="F75" s="11">
        <f>IFERROR(VLOOKUP('Pairings NB'!$M$326,Instructores!$A:$D,2,FALSE),"")</f>
        <v/>
      </c>
      <c r="G75" s="11">
        <f>'Pairings NB'!$M$326</f>
        <v/>
      </c>
      <c r="H75" s="11">
        <f>IFERROR(VLOOKUP('Pairings NB'!$M$326,Instructores!$A:$D,4,FALSE),"")</f>
        <v/>
      </c>
      <c r="I75" s="11">
        <f>'Pairings NB'!$O$326</f>
        <v/>
      </c>
      <c r="J75" s="11">
        <f>'Pairings NB'!J326</f>
        <v/>
      </c>
      <c r="K75" s="11">
        <f>IFERROR(VLOOKUP('Pairings NB'!$M$326,Instructores!$A:$D,3,FALSE),"")</f>
        <v/>
      </c>
      <c r="L75" s="11">
        <f>IF('Pairings NB'!J326=320,4,3)</f>
        <v/>
      </c>
      <c r="M75" s="11">
        <f>'Pairings NB'!$N$326</f>
        <v/>
      </c>
    </row>
    <row r="76">
      <c r="A76" s="11">
        <f>'Pairings NB'!B331</f>
        <v/>
      </c>
      <c r="B76" s="11">
        <f>'Pairings NB'!C331</f>
        <v/>
      </c>
      <c r="C76" s="11">
        <f>'Pairings NB'!D331</f>
        <v/>
      </c>
      <c r="D76" s="11">
        <f>'Pairings NB'!E331&amp;"/"&amp;'Pairings NB'!E332</f>
        <v/>
      </c>
      <c r="E76" s="11">
        <f>'Pairings NB'!F331&amp;"-"&amp;'Pairings NB'!G331&amp;"-"&amp;'Pairings NB'!F331</f>
        <v/>
      </c>
      <c r="F76" s="11">
        <f>IFERROR(VLOOKUP('Pairings NB'!$M$331,Instructores!$A:$D,2,FALSE),"")</f>
        <v/>
      </c>
      <c r="G76" s="11">
        <f>'Pairings NB'!$M$331</f>
        <v/>
      </c>
      <c r="H76" s="11">
        <f>IFERROR(VLOOKUP('Pairings NB'!$M$331,Instructores!$A:$D,4,FALSE),"")</f>
        <v/>
      </c>
      <c r="I76" s="11">
        <f>'Pairings NB'!$O$331</f>
        <v/>
      </c>
      <c r="J76" s="11">
        <f>'Pairings NB'!J331</f>
        <v/>
      </c>
      <c r="K76" s="11">
        <f>IFERROR(VLOOKUP('Pairings NB'!$M$331,Instructores!$A:$D,3,FALSE),"")</f>
        <v/>
      </c>
      <c r="L76" s="11">
        <f>IF('Pairings NB'!J331=320,4,3)</f>
        <v/>
      </c>
      <c r="M76" s="11">
        <f>'Pairings NB'!$N$331</f>
        <v/>
      </c>
    </row>
    <row r="77">
      <c r="A77" s="11">
        <f>'Pairings NB'!B336</f>
        <v/>
      </c>
      <c r="B77" s="11">
        <f>'Pairings NB'!C336</f>
        <v/>
      </c>
      <c r="C77" s="11">
        <f>'Pairings NB'!D336</f>
        <v/>
      </c>
      <c r="D77" s="11">
        <f>'Pairings NB'!E336&amp;"/"&amp;'Pairings NB'!E337</f>
        <v/>
      </c>
      <c r="E77" s="11">
        <f>'Pairings NB'!F336&amp;"-"&amp;'Pairings NB'!G336&amp;"-"&amp;'Pairings NB'!F336</f>
        <v/>
      </c>
      <c r="F77" s="11">
        <f>IFERROR(VLOOKUP('Pairings NB'!$M$336,Instructores!$A:$D,2,FALSE),"")</f>
        <v/>
      </c>
      <c r="G77" s="11">
        <f>'Pairings NB'!$M$336</f>
        <v/>
      </c>
      <c r="H77" s="11">
        <f>IFERROR(VLOOKUP('Pairings NB'!$M$336,Instructores!$A:$D,4,FALSE),"")</f>
        <v/>
      </c>
      <c r="I77" s="11">
        <f>'Pairings NB'!$O$336</f>
        <v/>
      </c>
      <c r="J77" s="11">
        <f>'Pairings NB'!J336</f>
        <v/>
      </c>
      <c r="K77" s="11">
        <f>IFERROR(VLOOKUP('Pairings NB'!$M$336,Instructores!$A:$D,3,FALSE),"")</f>
        <v/>
      </c>
      <c r="L77" s="11">
        <f>IF('Pairings NB'!J336=320,4,3)</f>
        <v/>
      </c>
      <c r="M77" s="11">
        <f>'Pairings NB'!$N$336</f>
        <v/>
      </c>
    </row>
    <row r="78">
      <c r="A78" s="11">
        <f>'Pairings NB'!B338</f>
        <v/>
      </c>
      <c r="B78" s="11">
        <f>'Pairings NB'!C338</f>
        <v/>
      </c>
      <c r="C78" s="11">
        <f>'Pairings NB'!D338</f>
        <v/>
      </c>
      <c r="D78" s="11">
        <f>'Pairings NB'!E338&amp;"/"&amp;'Pairings NB'!E339</f>
        <v/>
      </c>
      <c r="E78" s="11">
        <f>'Pairings NB'!F338&amp;"-"&amp;'Pairings NB'!G338&amp;"-"&amp;'Pairings NB'!F338</f>
        <v/>
      </c>
      <c r="F78" s="11">
        <f>IFERROR(VLOOKUP('Pairings NB'!$M$336,Instructores!$A:$D,2,FALSE),"")</f>
        <v/>
      </c>
      <c r="G78" s="11">
        <f>'Pairings NB'!$M$336</f>
        <v/>
      </c>
      <c r="H78" s="11">
        <f>IFERROR(VLOOKUP('Pairings NB'!$M$336,Instructores!$A:$D,4,FALSE),"")</f>
        <v/>
      </c>
      <c r="I78" s="11">
        <f>'Pairings NB'!$O$336</f>
        <v/>
      </c>
      <c r="J78" s="11">
        <f>'Pairings NB'!J338</f>
        <v/>
      </c>
      <c r="K78" s="11">
        <f>IFERROR(VLOOKUP('Pairings NB'!$M$336,Instructores!$A:$D,3,FALSE),"")</f>
        <v/>
      </c>
      <c r="L78" s="11">
        <f>IF('Pairings NB'!J338=320,4,3)</f>
        <v/>
      </c>
      <c r="M78" s="11">
        <f>'Pairings NB'!$N$336</f>
        <v/>
      </c>
    </row>
    <row r="79">
      <c r="A79" s="11">
        <f>'Pairings NB'!B343</f>
        <v/>
      </c>
      <c r="B79" s="11">
        <f>'Pairings NB'!C343</f>
        <v/>
      </c>
      <c r="C79" s="11">
        <f>'Pairings NB'!D343</f>
        <v/>
      </c>
      <c r="D79" s="11">
        <f>'Pairings NB'!E343&amp;"/"&amp;'Pairings NB'!E344</f>
        <v/>
      </c>
      <c r="E79" s="11">
        <f>'Pairings NB'!F343&amp;"-"&amp;'Pairings NB'!G343&amp;"-"&amp;'Pairings NB'!F343</f>
        <v/>
      </c>
      <c r="F79" s="11">
        <f>IFERROR(VLOOKUP('Pairings NB'!$M$343,Instructores!$A:$D,2,FALSE),"")</f>
        <v/>
      </c>
      <c r="G79" s="11">
        <f>'Pairings NB'!$M$343</f>
        <v/>
      </c>
      <c r="H79" s="11">
        <f>IFERROR(VLOOKUP('Pairings NB'!$M$343,Instructores!$A:$D,4,FALSE),"")</f>
        <v/>
      </c>
      <c r="I79" s="11">
        <f>'Pairings NB'!$O$343</f>
        <v/>
      </c>
      <c r="J79" s="11">
        <f>'Pairings NB'!J343</f>
        <v/>
      </c>
      <c r="K79" s="11">
        <f>IFERROR(VLOOKUP('Pairings NB'!$M$343,Instructores!$A:$D,3,FALSE),"")</f>
        <v/>
      </c>
      <c r="L79" s="11">
        <f>IF('Pairings NB'!J343=320,4,3)</f>
        <v/>
      </c>
      <c r="M79" s="11">
        <f>'Pairings NB'!$N$343</f>
        <v/>
      </c>
    </row>
    <row r="80">
      <c r="A80" s="11">
        <f>'Pairings NB'!B348</f>
        <v/>
      </c>
      <c r="B80" s="11">
        <f>'Pairings NB'!C348</f>
        <v/>
      </c>
      <c r="C80" s="11">
        <f>'Pairings NB'!D348</f>
        <v/>
      </c>
      <c r="D80" s="11">
        <f>'Pairings NB'!E348&amp;"/"&amp;'Pairings NB'!E349</f>
        <v/>
      </c>
      <c r="E80" s="11">
        <f>'Pairings NB'!F348&amp;"-"&amp;'Pairings NB'!G348&amp;"-"&amp;'Pairings NB'!F348</f>
        <v/>
      </c>
      <c r="F80" s="11">
        <f>IFERROR(VLOOKUP('Pairings NB'!$M$348,Instructores!$A:$D,2,FALSE),"")</f>
        <v/>
      </c>
      <c r="G80" s="11">
        <f>'Pairings NB'!$M$348</f>
        <v/>
      </c>
      <c r="H80" s="11">
        <f>IFERROR(VLOOKUP('Pairings NB'!$M$348,Instructores!$A:$D,4,FALSE),"")</f>
        <v/>
      </c>
      <c r="I80" s="11">
        <f>'Pairings NB'!$O$348</f>
        <v/>
      </c>
      <c r="J80" s="11">
        <f>'Pairings NB'!J348</f>
        <v/>
      </c>
      <c r="K80" s="11">
        <f>IFERROR(VLOOKUP('Pairings NB'!$M$348,Instructores!$A:$D,3,FALSE),"")</f>
        <v/>
      </c>
      <c r="L80" s="11">
        <f>IF('Pairings NB'!J348=320,4,3)</f>
        <v/>
      </c>
      <c r="M80" s="11">
        <f>'Pairings NB'!$N$348</f>
        <v/>
      </c>
    </row>
    <row r="81">
      <c r="A81" s="11">
        <f>'Pairings NB'!B353</f>
        <v/>
      </c>
      <c r="B81" s="11">
        <f>'Pairings NB'!C353</f>
        <v/>
      </c>
      <c r="C81" s="11">
        <f>'Pairings NB'!D353</f>
        <v/>
      </c>
      <c r="D81" s="11">
        <f>'Pairings NB'!E353&amp;"/"&amp;'Pairings NB'!E354</f>
        <v/>
      </c>
      <c r="E81" s="11">
        <f>'Pairings NB'!F353&amp;"-"&amp;'Pairings NB'!G353&amp;"-"&amp;'Pairings NB'!F353</f>
        <v/>
      </c>
      <c r="F81" s="11">
        <f>IFERROR(VLOOKUP('Pairings NB'!$M$353,Instructores!$A:$D,2,FALSE),"")</f>
        <v/>
      </c>
      <c r="G81" s="11">
        <f>'Pairings NB'!$M$353</f>
        <v/>
      </c>
      <c r="H81" s="11">
        <f>IFERROR(VLOOKUP('Pairings NB'!$M$353,Instructores!$A:$D,4,FALSE),"")</f>
        <v/>
      </c>
      <c r="I81" s="11">
        <f>'Pairings NB'!$O$353</f>
        <v/>
      </c>
      <c r="J81" s="11">
        <f>'Pairings NB'!J353</f>
        <v/>
      </c>
      <c r="K81" s="11">
        <f>IFERROR(VLOOKUP('Pairings NB'!$M$353,Instructores!$A:$D,3,FALSE),"")</f>
        <v/>
      </c>
      <c r="L81" s="11">
        <f>IF('Pairings NB'!J353=320,4,3)</f>
        <v/>
      </c>
      <c r="M81" s="11">
        <f>'Pairings NB'!$N$353</f>
        <v/>
      </c>
    </row>
    <row r="82">
      <c r="A82" s="11">
        <f>'Pairings NB'!B358</f>
        <v/>
      </c>
      <c r="B82" s="11">
        <f>'Pairings NB'!C358</f>
        <v/>
      </c>
      <c r="C82" s="11">
        <f>'Pairings NB'!D358</f>
        <v/>
      </c>
      <c r="D82" s="11">
        <f>'Pairings NB'!E358&amp;"/"&amp;'Pairings NB'!E359</f>
        <v/>
      </c>
      <c r="E82" s="11">
        <f>'Pairings NB'!F358&amp;"-"&amp;'Pairings NB'!G358&amp;"-"&amp;'Pairings NB'!F358</f>
        <v/>
      </c>
      <c r="F82" s="11">
        <f>IFERROR(VLOOKUP('Pairings NB'!$M$358,Instructores!$A:$D,2,FALSE),"")</f>
        <v/>
      </c>
      <c r="G82" s="11">
        <f>'Pairings NB'!$M$358</f>
        <v/>
      </c>
      <c r="H82" s="11">
        <f>IFERROR(VLOOKUP('Pairings NB'!$M$358,Instructores!$A:$D,4,FALSE),"")</f>
        <v/>
      </c>
      <c r="I82" s="11">
        <f>'Pairings NB'!$O$358</f>
        <v/>
      </c>
      <c r="J82" s="11">
        <f>'Pairings NB'!J358</f>
        <v/>
      </c>
      <c r="K82" s="11">
        <f>IFERROR(VLOOKUP('Pairings NB'!$M$358,Instructores!$A:$D,3,FALSE),"")</f>
        <v/>
      </c>
      <c r="L82" s="11">
        <f>IF('Pairings NB'!J358=320,4,3)</f>
        <v/>
      </c>
      <c r="M82" s="11">
        <f>'Pairings NB'!$N$358</f>
        <v/>
      </c>
    </row>
    <row r="83">
      <c r="A83" s="11">
        <f>'Pairings NB'!B363</f>
        <v/>
      </c>
      <c r="B83" s="11">
        <f>'Pairings NB'!C363</f>
        <v/>
      </c>
      <c r="C83" s="11">
        <f>'Pairings NB'!D363</f>
        <v/>
      </c>
      <c r="D83" s="11">
        <f>'Pairings NB'!E363&amp;"/"&amp;'Pairings NB'!E364</f>
        <v/>
      </c>
      <c r="E83" s="11">
        <f>'Pairings NB'!F363&amp;"-"&amp;'Pairings NB'!G363&amp;"-"&amp;'Pairings NB'!F363</f>
        <v/>
      </c>
      <c r="F83" s="11">
        <f>IFERROR(VLOOKUP('Pairings NB'!$M$363,Instructores!$A:$D,2,FALSE),"")</f>
        <v/>
      </c>
      <c r="G83" s="11">
        <f>'Pairings NB'!$M$363</f>
        <v/>
      </c>
      <c r="H83" s="11">
        <f>IFERROR(VLOOKUP('Pairings NB'!$M$363,Instructores!$A:$D,4,FALSE),"")</f>
        <v/>
      </c>
      <c r="I83" s="11">
        <f>'Pairings NB'!$O$363</f>
        <v/>
      </c>
      <c r="J83" s="11">
        <f>'Pairings NB'!J363</f>
        <v/>
      </c>
      <c r="K83" s="11">
        <f>IFERROR(VLOOKUP('Pairings NB'!$M$363,Instructores!$A:$D,3,FALSE),"")</f>
        <v/>
      </c>
      <c r="L83" s="11">
        <f>IF('Pairings NB'!J363=320,4,3)</f>
        <v/>
      </c>
      <c r="M83" s="11">
        <f>'Pairings NB'!$N$363</f>
        <v/>
      </c>
    </row>
    <row r="84">
      <c r="A84" s="11">
        <f>'Pairings NB'!B368</f>
        <v/>
      </c>
      <c r="B84" s="11">
        <f>'Pairings NB'!C368</f>
        <v/>
      </c>
      <c r="C84" s="11">
        <f>'Pairings NB'!D368</f>
        <v/>
      </c>
      <c r="D84" s="11">
        <f>'Pairings NB'!E368&amp;"/"&amp;'Pairings NB'!E369</f>
        <v/>
      </c>
      <c r="E84" s="11">
        <f>'Pairings NB'!F368&amp;"-"&amp;'Pairings NB'!G368&amp;"-"&amp;'Pairings NB'!F368</f>
        <v/>
      </c>
      <c r="F84" s="11">
        <f>IFERROR(VLOOKUP('Pairings NB'!$M$368,Instructores!$A:$D,2,FALSE),"")</f>
        <v/>
      </c>
      <c r="G84" s="11">
        <f>'Pairings NB'!$M$368</f>
        <v/>
      </c>
      <c r="H84" s="11">
        <f>IFERROR(VLOOKUP('Pairings NB'!$M$368,Instructores!$A:$D,4,FALSE),"")</f>
        <v/>
      </c>
      <c r="I84" s="11">
        <f>'Pairings NB'!$O$368</f>
        <v/>
      </c>
      <c r="J84" s="11">
        <f>'Pairings NB'!J368</f>
        <v/>
      </c>
      <c r="K84" s="11">
        <f>IFERROR(VLOOKUP('Pairings NB'!$M$368,Instructores!$A:$D,3,FALSE),"")</f>
        <v/>
      </c>
      <c r="L84" s="11">
        <f>IF('Pairings NB'!J368=320,4,3)</f>
        <v/>
      </c>
      <c r="M84" s="11">
        <f>'Pairings NB'!$N$368</f>
        <v/>
      </c>
    </row>
    <row r="85">
      <c r="A85" s="11">
        <f>'Pairings NB'!B373</f>
        <v/>
      </c>
      <c r="B85" s="11">
        <f>'Pairings NB'!C373</f>
        <v/>
      </c>
      <c r="C85" s="11">
        <f>'Pairings NB'!D373</f>
        <v/>
      </c>
      <c r="D85" s="11">
        <f>'Pairings NB'!E373&amp;"/"&amp;'Pairings NB'!E374</f>
        <v/>
      </c>
      <c r="E85" s="11">
        <f>'Pairings NB'!F373&amp;"-"&amp;'Pairings NB'!G373&amp;"-"&amp;'Pairings NB'!F373</f>
        <v/>
      </c>
      <c r="F85" s="11">
        <f>IFERROR(VLOOKUP('Pairings NB'!$M$373,Instructores!$A:$D,2,FALSE),"")</f>
        <v/>
      </c>
      <c r="G85" s="11">
        <f>'Pairings NB'!$M$373</f>
        <v/>
      </c>
      <c r="H85" s="11">
        <f>IFERROR(VLOOKUP('Pairings NB'!$M$373,Instructores!$A:$D,4,FALSE),"")</f>
        <v/>
      </c>
      <c r="I85" s="11">
        <f>'Pairings NB'!$O$373</f>
        <v/>
      </c>
      <c r="J85" s="11">
        <f>'Pairings NB'!J373</f>
        <v/>
      </c>
      <c r="K85" s="11">
        <f>IFERROR(VLOOKUP('Pairings NB'!$M$373,Instructores!$A:$D,3,FALSE),"")</f>
        <v/>
      </c>
      <c r="L85" s="11">
        <f>IF('Pairings NB'!J373=320,4,3)</f>
        <v/>
      </c>
      <c r="M85" s="11">
        <f>'Pairings NB'!$N$373</f>
        <v/>
      </c>
    </row>
    <row r="86">
      <c r="A86" s="11">
        <f>'Pairings NB'!B378</f>
        <v/>
      </c>
      <c r="B86" s="11">
        <f>'Pairings NB'!C378</f>
        <v/>
      </c>
      <c r="C86" s="11">
        <f>'Pairings NB'!D378</f>
        <v/>
      </c>
      <c r="D86" s="11">
        <f>'Pairings NB'!E378&amp;"/"&amp;'Pairings NB'!E379</f>
        <v/>
      </c>
      <c r="E86" s="11">
        <f>'Pairings NB'!F378&amp;"-"&amp;'Pairings NB'!G378&amp;"-"&amp;'Pairings NB'!F378</f>
        <v/>
      </c>
      <c r="F86" s="11">
        <f>IFERROR(VLOOKUP('Pairings NB'!$M$378,Instructores!$A:$D,2,FALSE),"")</f>
        <v/>
      </c>
      <c r="G86" s="11">
        <f>'Pairings NB'!$M$378</f>
        <v/>
      </c>
      <c r="H86" s="11">
        <f>IFERROR(VLOOKUP('Pairings NB'!$M$378,Instructores!$A:$D,4,FALSE),"")</f>
        <v/>
      </c>
      <c r="I86" s="11">
        <f>'Pairings NB'!$O$378</f>
        <v/>
      </c>
      <c r="J86" s="11">
        <f>'Pairings NB'!J378</f>
        <v/>
      </c>
      <c r="K86" s="11">
        <f>IFERROR(VLOOKUP('Pairings NB'!$M$378,Instructores!$A:$D,3,FALSE),"")</f>
        <v/>
      </c>
      <c r="L86" s="11">
        <f>IF('Pairings NB'!J378=320,4,3)</f>
        <v/>
      </c>
      <c r="M86" s="11">
        <f>'Pairings NB'!$N$378</f>
        <v/>
      </c>
    </row>
    <row r="87">
      <c r="A87" s="11">
        <f>'Pairings NB'!B383</f>
        <v/>
      </c>
      <c r="B87" s="11">
        <f>'Pairings NB'!C383</f>
        <v/>
      </c>
      <c r="C87" s="11">
        <f>'Pairings NB'!D383</f>
        <v/>
      </c>
      <c r="D87" s="11">
        <f>'Pairings NB'!E383&amp;"/"&amp;'Pairings NB'!E384</f>
        <v/>
      </c>
      <c r="E87" s="11">
        <f>'Pairings NB'!F383&amp;"-"&amp;'Pairings NB'!G383&amp;"-"&amp;'Pairings NB'!F383</f>
        <v/>
      </c>
      <c r="F87" s="11">
        <f>IFERROR(VLOOKUP('Pairings NB'!$M$383,Instructores!$A:$D,2,FALSE),"")</f>
        <v/>
      </c>
      <c r="G87" s="11">
        <f>'Pairings NB'!$M$383</f>
        <v/>
      </c>
      <c r="H87" s="11">
        <f>IFERROR(VLOOKUP('Pairings NB'!$M$383,Instructores!$A:$D,4,FALSE),"")</f>
        <v/>
      </c>
      <c r="I87" s="11">
        <f>'Pairings NB'!$O$383</f>
        <v/>
      </c>
      <c r="J87" s="11">
        <f>'Pairings NB'!J383</f>
        <v/>
      </c>
      <c r="K87" s="11">
        <f>IFERROR(VLOOKUP('Pairings NB'!$M$383,Instructores!$A:$D,3,FALSE),"")</f>
        <v/>
      </c>
      <c r="L87" s="11">
        <f>IF('Pairings NB'!J383=320,4,3)</f>
        <v/>
      </c>
      <c r="M87" s="11">
        <f>'Pairings NB'!$N$383</f>
        <v/>
      </c>
    </row>
    <row r="88">
      <c r="A88" s="11">
        <f>'Pairings NB'!B388</f>
        <v/>
      </c>
      <c r="B88" s="11">
        <f>'Pairings NB'!C388</f>
        <v/>
      </c>
      <c r="C88" s="11">
        <f>'Pairings NB'!D388</f>
        <v/>
      </c>
      <c r="D88" s="11">
        <f>'Pairings NB'!E388&amp;"/"&amp;'Pairings NB'!E389</f>
        <v/>
      </c>
      <c r="E88" s="11">
        <f>'Pairings NB'!F388&amp;"-"&amp;'Pairings NB'!G388&amp;"-"&amp;'Pairings NB'!F388</f>
        <v/>
      </c>
      <c r="F88" s="11">
        <f>IFERROR(VLOOKUP('Pairings NB'!$M$388,Instructores!$A:$D,2,FALSE),"")</f>
        <v/>
      </c>
      <c r="G88" s="11">
        <f>'Pairings NB'!$M$388</f>
        <v/>
      </c>
      <c r="H88" s="11">
        <f>IFERROR(VLOOKUP('Pairings NB'!$M$388,Instructores!$A:$D,4,FALSE),"")</f>
        <v/>
      </c>
      <c r="I88" s="11">
        <f>'Pairings NB'!$O$388</f>
        <v/>
      </c>
      <c r="J88" s="11">
        <f>'Pairings NB'!J388</f>
        <v/>
      </c>
      <c r="K88" s="11">
        <f>IFERROR(VLOOKUP('Pairings NB'!$M$388,Instructores!$A:$D,3,FALSE),"")</f>
        <v/>
      </c>
      <c r="L88" s="11">
        <f>IF('Pairings NB'!J388=320,4,3)</f>
        <v/>
      </c>
      <c r="M88" s="11">
        <f>'Pairings NB'!$N$388</f>
        <v/>
      </c>
    </row>
    <row r="89">
      <c r="A89" s="11">
        <f>'Pairings NB'!B393</f>
        <v/>
      </c>
      <c r="B89" s="11">
        <f>'Pairings NB'!C393</f>
        <v/>
      </c>
      <c r="C89" s="11">
        <f>'Pairings NB'!D393</f>
        <v/>
      </c>
      <c r="D89" s="11">
        <f>'Pairings NB'!E393&amp;"/"&amp;'Pairings NB'!E394</f>
        <v/>
      </c>
      <c r="E89" s="11">
        <f>'Pairings NB'!F393&amp;"-"&amp;'Pairings NB'!G393&amp;"-"&amp;'Pairings NB'!F393</f>
        <v/>
      </c>
      <c r="F89" s="11">
        <f>IFERROR(VLOOKUP('Pairings NB'!$M$393,Instructores!$A:$D,2,FALSE),"")</f>
        <v/>
      </c>
      <c r="G89" s="11">
        <f>'Pairings NB'!$M$393</f>
        <v/>
      </c>
      <c r="H89" s="11">
        <f>IFERROR(VLOOKUP('Pairings NB'!$M$393,Instructores!$A:$D,4,FALSE),"")</f>
        <v/>
      </c>
      <c r="I89" s="11">
        <f>'Pairings NB'!$O$393</f>
        <v/>
      </c>
      <c r="J89" s="11">
        <f>'Pairings NB'!J393</f>
        <v/>
      </c>
      <c r="K89" s="11">
        <f>IFERROR(VLOOKUP('Pairings NB'!$M$393,Instructores!$A:$D,3,FALSE),"")</f>
        <v/>
      </c>
      <c r="L89" s="11">
        <f>IF('Pairings NB'!J393=320,4,3)</f>
        <v/>
      </c>
      <c r="M89" s="11">
        <f>'Pairings NB'!$N$393</f>
        <v/>
      </c>
    </row>
    <row r="90">
      <c r="A90" s="11">
        <f>'Pairings NB'!B395</f>
        <v/>
      </c>
      <c r="B90" s="11">
        <f>'Pairings NB'!C395</f>
        <v/>
      </c>
      <c r="C90" s="11">
        <f>'Pairings NB'!D395</f>
        <v/>
      </c>
      <c r="D90" s="11">
        <f>'Pairings NB'!E395&amp;"/"&amp;'Pairings NB'!E396</f>
        <v/>
      </c>
      <c r="E90" s="11">
        <f>'Pairings NB'!F395&amp;"-"&amp;'Pairings NB'!G395&amp;"-"&amp;'Pairings NB'!F395</f>
        <v/>
      </c>
      <c r="F90" s="11">
        <f>IFERROR(VLOOKUP('Pairings NB'!$M$393,Instructores!$A:$D,2,FALSE),"")</f>
        <v/>
      </c>
      <c r="G90" s="11">
        <f>'Pairings NB'!$M$393</f>
        <v/>
      </c>
      <c r="H90" s="11">
        <f>IFERROR(VLOOKUP('Pairings NB'!$M$393,Instructores!$A:$D,4,FALSE),"")</f>
        <v/>
      </c>
      <c r="I90" s="11">
        <f>'Pairings NB'!$O$393</f>
        <v/>
      </c>
      <c r="J90" s="11">
        <f>'Pairings NB'!J395</f>
        <v/>
      </c>
      <c r="K90" s="11">
        <f>IFERROR(VLOOKUP('Pairings NB'!$M$393,Instructores!$A:$D,3,FALSE),"")</f>
        <v/>
      </c>
      <c r="L90" s="11">
        <f>IF('Pairings NB'!J395=320,4,3)</f>
        <v/>
      </c>
      <c r="M90" s="11">
        <f>'Pairings NB'!$N$393</f>
        <v/>
      </c>
    </row>
    <row r="91">
      <c r="A91" s="11">
        <f>'Pairings NB'!B400</f>
        <v/>
      </c>
      <c r="B91" s="11">
        <f>'Pairings NB'!C400</f>
        <v/>
      </c>
      <c r="C91" s="11">
        <f>'Pairings NB'!D400</f>
        <v/>
      </c>
      <c r="D91" s="11">
        <f>'Pairings NB'!E400&amp;"/"&amp;'Pairings NB'!E401</f>
        <v/>
      </c>
      <c r="E91" s="11">
        <f>'Pairings NB'!F400&amp;"-"&amp;'Pairings NB'!G400&amp;"-"&amp;'Pairings NB'!F400</f>
        <v/>
      </c>
      <c r="F91" s="11">
        <f>IFERROR(VLOOKUP('Pairings NB'!$M$400,Instructores!$A:$D,2,FALSE),"")</f>
        <v/>
      </c>
      <c r="G91" s="11">
        <f>'Pairings NB'!$M$400</f>
        <v/>
      </c>
      <c r="H91" s="11">
        <f>IFERROR(VLOOKUP('Pairings NB'!$M$400,Instructores!$A:$D,4,FALSE),"")</f>
        <v/>
      </c>
      <c r="I91" s="11">
        <f>'Pairings NB'!$O$400</f>
        <v/>
      </c>
      <c r="J91" s="11">
        <f>'Pairings NB'!J400</f>
        <v/>
      </c>
      <c r="K91" s="11">
        <f>IFERROR(VLOOKUP('Pairings NB'!$M$400,Instructores!$A:$D,3,FALSE),"")</f>
        <v/>
      </c>
      <c r="L91" s="11">
        <f>IF('Pairings NB'!J400=320,4,3)</f>
        <v/>
      </c>
      <c r="M91" s="11">
        <f>'Pairings NB'!$N$400</f>
        <v/>
      </c>
    </row>
    <row r="92">
      <c r="A92" s="11">
        <f>'Pairings NB'!B405</f>
        <v/>
      </c>
      <c r="B92" s="11">
        <f>'Pairings NB'!C405</f>
        <v/>
      </c>
      <c r="C92" s="11">
        <f>'Pairings NB'!D405</f>
        <v/>
      </c>
      <c r="D92" s="11">
        <f>'Pairings NB'!E405&amp;"/"&amp;'Pairings NB'!E406</f>
        <v/>
      </c>
      <c r="E92" s="11">
        <f>'Pairings NB'!F405&amp;"-"&amp;'Pairings NB'!G405&amp;"-"&amp;'Pairings NB'!F405</f>
        <v/>
      </c>
      <c r="F92" s="11">
        <f>IFERROR(VLOOKUP('Pairings NB'!$M$405,Instructores!$A:$D,2,FALSE),"")</f>
        <v/>
      </c>
      <c r="G92" s="11">
        <f>'Pairings NB'!$M$405</f>
        <v/>
      </c>
      <c r="H92" s="11">
        <f>IFERROR(VLOOKUP('Pairings NB'!$M$405,Instructores!$A:$D,4,FALSE),"")</f>
        <v/>
      </c>
      <c r="I92" s="11">
        <f>'Pairings NB'!$O$405</f>
        <v/>
      </c>
      <c r="J92" s="11">
        <f>'Pairings NB'!J405</f>
        <v/>
      </c>
      <c r="K92" s="11">
        <f>IFERROR(VLOOKUP('Pairings NB'!$M$405,Instructores!$A:$D,3,FALSE),"")</f>
        <v/>
      </c>
      <c r="L92" s="11">
        <f>IF('Pairings NB'!J405=320,4,3)</f>
        <v/>
      </c>
      <c r="M92" s="11">
        <f>'Pairings NB'!$N$405</f>
        <v/>
      </c>
    </row>
    <row r="93">
      <c r="A93" s="11">
        <f>'Pairings NB'!B410</f>
        <v/>
      </c>
      <c r="B93" s="11">
        <f>'Pairings NB'!C410</f>
        <v/>
      </c>
      <c r="C93" s="11">
        <f>'Pairings NB'!D410</f>
        <v/>
      </c>
      <c r="D93" s="11">
        <f>'Pairings NB'!E410&amp;"/"&amp;'Pairings NB'!E411</f>
        <v/>
      </c>
      <c r="E93" s="11">
        <f>'Pairings NB'!F410&amp;"-"&amp;'Pairings NB'!G410&amp;"-"&amp;'Pairings NB'!F410</f>
        <v/>
      </c>
      <c r="F93" s="11">
        <f>IFERROR(VLOOKUP('Pairings NB'!$M$410,Instructores!$A:$D,2,FALSE),"")</f>
        <v/>
      </c>
      <c r="G93" s="11">
        <f>'Pairings NB'!$M$410</f>
        <v/>
      </c>
      <c r="H93" s="11">
        <f>IFERROR(VLOOKUP('Pairings NB'!$M$410,Instructores!$A:$D,4,FALSE),"")</f>
        <v/>
      </c>
      <c r="I93" s="11">
        <f>'Pairings NB'!$O$410</f>
        <v/>
      </c>
      <c r="J93" s="11">
        <f>'Pairings NB'!J410</f>
        <v/>
      </c>
      <c r="K93" s="11">
        <f>IFERROR(VLOOKUP('Pairings NB'!$M$410,Instructores!$A:$D,3,FALSE),"")</f>
        <v/>
      </c>
      <c r="L93" s="11">
        <f>IF('Pairings NB'!J410=320,4,3)</f>
        <v/>
      </c>
      <c r="M93" s="11">
        <f>'Pairings NB'!$N$410</f>
        <v/>
      </c>
    </row>
    <row r="94">
      <c r="A94" s="11">
        <f>'Pairings NB'!B415</f>
        <v/>
      </c>
      <c r="B94" s="11">
        <f>'Pairings NB'!C415</f>
        <v/>
      </c>
      <c r="C94" s="11">
        <f>'Pairings NB'!D415</f>
        <v/>
      </c>
      <c r="D94" s="11">
        <f>'Pairings NB'!E415&amp;"/"&amp;'Pairings NB'!E416</f>
        <v/>
      </c>
      <c r="E94" s="11">
        <f>'Pairings NB'!F415&amp;"-"&amp;'Pairings NB'!G415&amp;"-"&amp;'Pairings NB'!F415</f>
        <v/>
      </c>
      <c r="F94" s="11">
        <f>IFERROR(VLOOKUP('Pairings NB'!$M$415,Instructores!$A:$D,2,FALSE),"")</f>
        <v/>
      </c>
      <c r="G94" s="11">
        <f>'Pairings NB'!$M$415</f>
        <v/>
      </c>
      <c r="H94" s="11">
        <f>IFERROR(VLOOKUP('Pairings NB'!$M$415,Instructores!$A:$D,4,FALSE),"")</f>
        <v/>
      </c>
      <c r="I94" s="11">
        <f>'Pairings NB'!$O$415</f>
        <v/>
      </c>
      <c r="J94" s="11">
        <f>'Pairings NB'!J415</f>
        <v/>
      </c>
      <c r="K94" s="11">
        <f>IFERROR(VLOOKUP('Pairings NB'!$M$415,Instructores!$A:$D,3,FALSE),"")</f>
        <v/>
      </c>
      <c r="L94" s="11">
        <f>IF('Pairings NB'!J415=320,4,3)</f>
        <v/>
      </c>
      <c r="M94" s="11">
        <f>'Pairings NB'!$N$415</f>
        <v/>
      </c>
    </row>
    <row r="95">
      <c r="A95" s="11">
        <f>'Pairings NB'!B420</f>
        <v/>
      </c>
      <c r="B95" s="11">
        <f>'Pairings NB'!C420</f>
        <v/>
      </c>
      <c r="C95" s="11">
        <f>'Pairings NB'!D420</f>
        <v/>
      </c>
      <c r="D95" s="11">
        <f>'Pairings NB'!E420&amp;"/"&amp;'Pairings NB'!E421</f>
        <v/>
      </c>
      <c r="E95" s="11">
        <f>'Pairings NB'!F420&amp;"-"&amp;'Pairings NB'!G420&amp;"-"&amp;'Pairings NB'!F420</f>
        <v/>
      </c>
      <c r="F95" s="11">
        <f>IFERROR(VLOOKUP('Pairings NB'!$M$420,Instructores!$A:$D,2,FALSE),"")</f>
        <v/>
      </c>
      <c r="G95" s="11">
        <f>'Pairings NB'!$M$420</f>
        <v/>
      </c>
      <c r="H95" s="11">
        <f>IFERROR(VLOOKUP('Pairings NB'!$M$420,Instructores!$A:$D,4,FALSE),"")</f>
        <v/>
      </c>
      <c r="I95" s="11">
        <f>'Pairings NB'!$O$420</f>
        <v/>
      </c>
      <c r="J95" s="11">
        <f>'Pairings NB'!J420</f>
        <v/>
      </c>
      <c r="K95" s="11">
        <f>IFERROR(VLOOKUP('Pairings NB'!$M$420,Instructores!$A:$D,3,FALSE),"")</f>
        <v/>
      </c>
      <c r="L95" s="11">
        <f>IF('Pairings NB'!J420=320,4,3)</f>
        <v/>
      </c>
      <c r="M95" s="11">
        <f>'Pairings NB'!$N$420</f>
        <v/>
      </c>
    </row>
    <row r="96">
      <c r="A96" s="11">
        <f>'Pairings NB'!B425</f>
        <v/>
      </c>
      <c r="B96" s="11">
        <f>'Pairings NB'!C425</f>
        <v/>
      </c>
      <c r="C96" s="11">
        <f>'Pairings NB'!D425</f>
        <v/>
      </c>
      <c r="D96" s="11">
        <f>'Pairings NB'!E425&amp;"/"&amp;'Pairings NB'!E426</f>
        <v/>
      </c>
      <c r="E96" s="11">
        <f>'Pairings NB'!F425&amp;"-"&amp;'Pairings NB'!G425&amp;"-"&amp;'Pairings NB'!F425</f>
        <v/>
      </c>
      <c r="F96" s="11">
        <f>IFERROR(VLOOKUP('Pairings NB'!$M$425,Instructores!$A:$D,2,FALSE),"")</f>
        <v/>
      </c>
      <c r="G96" s="11">
        <f>'Pairings NB'!$M$425</f>
        <v/>
      </c>
      <c r="H96" s="11">
        <f>IFERROR(VLOOKUP('Pairings NB'!$M$425,Instructores!$A:$D,4,FALSE),"")</f>
        <v/>
      </c>
      <c r="I96" s="11">
        <f>'Pairings NB'!$O$425</f>
        <v/>
      </c>
      <c r="J96" s="11">
        <f>'Pairings NB'!J425</f>
        <v/>
      </c>
      <c r="K96" s="11">
        <f>IFERROR(VLOOKUP('Pairings NB'!$M$425,Instructores!$A:$D,3,FALSE),"")</f>
        <v/>
      </c>
      <c r="L96" s="11">
        <f>IF('Pairings NB'!J425=320,4,3)</f>
        <v/>
      </c>
      <c r="M96" s="11">
        <f>'Pairings NB'!$N$425</f>
        <v/>
      </c>
    </row>
    <row r="97">
      <c r="A97" s="11">
        <f>'Pairings NB'!B430</f>
        <v/>
      </c>
      <c r="B97" s="11">
        <f>'Pairings NB'!C430</f>
        <v/>
      </c>
      <c r="C97" s="11">
        <f>'Pairings NB'!D430</f>
        <v/>
      </c>
      <c r="D97" s="11">
        <f>'Pairings NB'!E430&amp;"/"&amp;'Pairings NB'!E431</f>
        <v/>
      </c>
      <c r="E97" s="11">
        <f>'Pairings NB'!F430&amp;"-"&amp;'Pairings NB'!G430&amp;"-"&amp;'Pairings NB'!F430</f>
        <v/>
      </c>
      <c r="F97" s="11">
        <f>IFERROR(VLOOKUP('Pairings NB'!$M$430,Instructores!$A:$D,2,FALSE),"")</f>
        <v/>
      </c>
      <c r="G97" s="11">
        <f>'Pairings NB'!$M$430</f>
        <v/>
      </c>
      <c r="H97" s="11">
        <f>IFERROR(VLOOKUP('Pairings NB'!$M$430,Instructores!$A:$D,4,FALSE),"")</f>
        <v/>
      </c>
      <c r="I97" s="11">
        <f>'Pairings NB'!$O$430</f>
        <v/>
      </c>
      <c r="J97" s="11">
        <f>'Pairings NB'!J430</f>
        <v/>
      </c>
      <c r="K97" s="11">
        <f>IFERROR(VLOOKUP('Pairings NB'!$M$430,Instructores!$A:$D,3,FALSE),"")</f>
        <v/>
      </c>
      <c r="L97" s="11">
        <f>IF('Pairings NB'!J430=320,4,3)</f>
        <v/>
      </c>
      <c r="M97" s="11">
        <f>'Pairings NB'!$N$430</f>
        <v/>
      </c>
    </row>
    <row r="98">
      <c r="A98" s="11">
        <f>'Pairings NB'!B435</f>
        <v/>
      </c>
      <c r="B98" s="11">
        <f>'Pairings NB'!C435</f>
        <v/>
      </c>
      <c r="C98" s="11">
        <f>'Pairings NB'!D435</f>
        <v/>
      </c>
      <c r="D98" s="11">
        <f>'Pairings NB'!E435&amp;"/"&amp;'Pairings NB'!E436</f>
        <v/>
      </c>
      <c r="E98" s="11">
        <f>'Pairings NB'!F435&amp;"-"&amp;'Pairings NB'!G435&amp;"-"&amp;'Pairings NB'!F435</f>
        <v/>
      </c>
      <c r="F98" s="11">
        <f>IFERROR(VLOOKUP('Pairings NB'!$M$435,Instructores!$A:$D,2,FALSE),"")</f>
        <v/>
      </c>
      <c r="G98" s="11">
        <f>'Pairings NB'!$M$435</f>
        <v/>
      </c>
      <c r="H98" s="11">
        <f>IFERROR(VLOOKUP('Pairings NB'!$M$435,Instructores!$A:$D,4,FALSE),"")</f>
        <v/>
      </c>
      <c r="I98" s="11">
        <f>'Pairings NB'!$O$435</f>
        <v/>
      </c>
      <c r="J98" s="11">
        <f>'Pairings NB'!J435</f>
        <v/>
      </c>
      <c r="K98" s="11">
        <f>IFERROR(VLOOKUP('Pairings NB'!$M$435,Instructores!$A:$D,3,FALSE),"")</f>
        <v/>
      </c>
      <c r="L98" s="11">
        <f>IF('Pairings NB'!J435=320,4,3)</f>
        <v/>
      </c>
      <c r="M98" s="11">
        <f>'Pairings NB'!$N$435</f>
        <v/>
      </c>
    </row>
    <row r="99">
      <c r="A99" s="11">
        <f>'Pairings NB'!B440</f>
        <v/>
      </c>
      <c r="B99" s="11">
        <f>'Pairings NB'!C440</f>
        <v/>
      </c>
      <c r="C99" s="11">
        <f>'Pairings NB'!D440</f>
        <v/>
      </c>
      <c r="D99" s="11">
        <f>'Pairings NB'!E440&amp;"/"&amp;'Pairings NB'!E441</f>
        <v/>
      </c>
      <c r="E99" s="11">
        <f>'Pairings NB'!F440&amp;"-"&amp;'Pairings NB'!G440&amp;"-"&amp;'Pairings NB'!F440</f>
        <v/>
      </c>
      <c r="F99" s="11">
        <f>IFERROR(VLOOKUP('Pairings NB'!$M$440,Instructores!$A:$D,2,FALSE),"")</f>
        <v/>
      </c>
      <c r="G99" s="11">
        <f>'Pairings NB'!$M$440</f>
        <v/>
      </c>
      <c r="H99" s="11">
        <f>IFERROR(VLOOKUP('Pairings NB'!$M$440,Instructores!$A:$D,4,FALSE),"")</f>
        <v/>
      </c>
      <c r="I99" s="11">
        <f>'Pairings NB'!$O$440</f>
        <v/>
      </c>
      <c r="J99" s="11">
        <f>'Pairings NB'!J440</f>
        <v/>
      </c>
      <c r="K99" s="11">
        <f>IFERROR(VLOOKUP('Pairings NB'!$M$440,Instructores!$A:$D,3,FALSE),"")</f>
        <v/>
      </c>
      <c r="L99" s="11">
        <f>IF('Pairings NB'!J440=320,4,3)</f>
        <v/>
      </c>
      <c r="M99" s="11">
        <f>'Pairings NB'!$N$440</f>
        <v/>
      </c>
    </row>
    <row r="100">
      <c r="A100" s="11">
        <f>'Pairings NB'!B445</f>
        <v/>
      </c>
      <c r="B100" s="11">
        <f>'Pairings NB'!C445</f>
        <v/>
      </c>
      <c r="C100" s="11">
        <f>'Pairings NB'!D445</f>
        <v/>
      </c>
      <c r="D100" s="11">
        <f>'Pairings NB'!E445&amp;"/"&amp;'Pairings NB'!E446</f>
        <v/>
      </c>
      <c r="E100" s="11">
        <f>'Pairings NB'!F445&amp;"-"&amp;'Pairings NB'!G445&amp;"-"&amp;'Pairings NB'!F445</f>
        <v/>
      </c>
      <c r="F100" s="11">
        <f>IFERROR(VLOOKUP('Pairings NB'!$M$445,Instructores!$A:$D,2,FALSE),"")</f>
        <v/>
      </c>
      <c r="G100" s="11">
        <f>'Pairings NB'!$M$445</f>
        <v/>
      </c>
      <c r="H100" s="11">
        <f>IFERROR(VLOOKUP('Pairings NB'!$M$445,Instructores!$A:$D,4,FALSE),"")</f>
        <v/>
      </c>
      <c r="I100" s="11">
        <f>'Pairings NB'!$O$445</f>
        <v/>
      </c>
      <c r="J100" s="11">
        <f>'Pairings NB'!J445</f>
        <v/>
      </c>
      <c r="K100" s="11">
        <f>IFERROR(VLOOKUP('Pairings NB'!$M$445,Instructores!$A:$D,3,FALSE),"")</f>
        <v/>
      </c>
      <c r="L100" s="11">
        <f>IF('Pairings NB'!J445=320,4,3)</f>
        <v/>
      </c>
      <c r="M100" s="11">
        <f>'Pairings NB'!$N$445</f>
        <v/>
      </c>
    </row>
    <row r="101">
      <c r="A101" s="11">
        <f>'Pairings NB'!B450</f>
        <v/>
      </c>
      <c r="B101" s="11">
        <f>'Pairings NB'!C450</f>
        <v/>
      </c>
      <c r="C101" s="11">
        <f>'Pairings NB'!D450</f>
        <v/>
      </c>
      <c r="D101" s="11">
        <f>'Pairings NB'!E450&amp;"/"&amp;'Pairings NB'!E451</f>
        <v/>
      </c>
      <c r="E101" s="11">
        <f>'Pairings NB'!F450&amp;"-"&amp;'Pairings NB'!G450&amp;"-"&amp;'Pairings NB'!F450</f>
        <v/>
      </c>
      <c r="F101" s="11">
        <f>IFERROR(VLOOKUP('Pairings NB'!$M$450,Instructores!$A:$D,2,FALSE),"")</f>
        <v/>
      </c>
      <c r="G101" s="11">
        <f>'Pairings NB'!$M$450</f>
        <v/>
      </c>
      <c r="H101" s="11">
        <f>IFERROR(VLOOKUP('Pairings NB'!$M$450,Instructores!$A:$D,4,FALSE),"")</f>
        <v/>
      </c>
      <c r="I101" s="11">
        <f>'Pairings NB'!$O$450</f>
        <v/>
      </c>
      <c r="J101" s="11">
        <f>'Pairings NB'!J450</f>
        <v/>
      </c>
      <c r="K101" s="11">
        <f>IFERROR(VLOOKUP('Pairings NB'!$M$450,Instructores!$A:$D,3,FALSE),"")</f>
        <v/>
      </c>
      <c r="L101" s="11">
        <f>IF('Pairings NB'!J450=320,4,3)</f>
        <v/>
      </c>
      <c r="M101" s="11">
        <f>'Pairings NB'!$N$450</f>
        <v/>
      </c>
    </row>
    <row r="102">
      <c r="A102" s="11">
        <f>'Pairings NB'!B455</f>
        <v/>
      </c>
      <c r="B102" s="11">
        <f>'Pairings NB'!C455</f>
        <v/>
      </c>
      <c r="C102" s="11">
        <f>'Pairings NB'!D455</f>
        <v/>
      </c>
      <c r="D102" s="11">
        <f>'Pairings NB'!E455&amp;"/"&amp;'Pairings NB'!E456</f>
        <v/>
      </c>
      <c r="E102" s="11">
        <f>'Pairings NB'!F455&amp;"-"&amp;'Pairings NB'!G455&amp;"-"&amp;'Pairings NB'!F455</f>
        <v/>
      </c>
      <c r="F102" s="11">
        <f>IFERROR(VLOOKUP('Pairings NB'!$M$455,Instructores!$A:$D,2,FALSE),"")</f>
        <v/>
      </c>
      <c r="G102" s="11">
        <f>'Pairings NB'!$M$455</f>
        <v/>
      </c>
      <c r="H102" s="11">
        <f>IFERROR(VLOOKUP('Pairings NB'!$M$455,Instructores!$A:$D,4,FALSE),"")</f>
        <v/>
      </c>
      <c r="I102" s="11">
        <f>'Pairings NB'!$O$455</f>
        <v/>
      </c>
      <c r="J102" s="11">
        <f>'Pairings NB'!J455</f>
        <v/>
      </c>
      <c r="K102" s="11">
        <f>IFERROR(VLOOKUP('Pairings NB'!$M$455,Instructores!$A:$D,3,FALSE),"")</f>
        <v/>
      </c>
      <c r="L102" s="11">
        <f>IF('Pairings NB'!J455=320,4,3)</f>
        <v/>
      </c>
      <c r="M102" s="11">
        <f>'Pairings NB'!$N$455</f>
        <v/>
      </c>
    </row>
    <row r="103">
      <c r="A103" s="11">
        <f>'Pairings NB'!B460</f>
        <v/>
      </c>
      <c r="B103" s="11">
        <f>'Pairings NB'!C460</f>
        <v/>
      </c>
      <c r="C103" s="11">
        <f>'Pairings NB'!D460</f>
        <v/>
      </c>
      <c r="D103" s="11">
        <f>'Pairings NB'!E460&amp;"/"&amp;'Pairings NB'!E461</f>
        <v/>
      </c>
      <c r="E103" s="11">
        <f>'Pairings NB'!F460&amp;"-"&amp;'Pairings NB'!G460&amp;"-"&amp;'Pairings NB'!F460</f>
        <v/>
      </c>
      <c r="F103" s="11">
        <f>IFERROR(VLOOKUP('Pairings NB'!$M$460,Instructores!$A:$D,2,FALSE),"")</f>
        <v/>
      </c>
      <c r="G103" s="11">
        <f>'Pairings NB'!$M$460</f>
        <v/>
      </c>
      <c r="H103" s="11">
        <f>IFERROR(VLOOKUP('Pairings NB'!$M$460,Instructores!$A:$D,4,FALSE),"")</f>
        <v/>
      </c>
      <c r="I103" s="11">
        <f>'Pairings NB'!$O$460</f>
        <v/>
      </c>
      <c r="J103" s="11">
        <f>'Pairings NB'!J460</f>
        <v/>
      </c>
      <c r="K103" s="11">
        <f>IFERROR(VLOOKUP('Pairings NB'!$M$460,Instructores!$A:$D,3,FALSE),"")</f>
        <v/>
      </c>
      <c r="L103" s="11">
        <f>IF('Pairings NB'!J460=320,4,3)</f>
        <v/>
      </c>
      <c r="M103" s="11">
        <f>'Pairings NB'!$N$460</f>
        <v/>
      </c>
    </row>
    <row r="104">
      <c r="A104" s="11">
        <f>'Pairings NB'!B465</f>
        <v/>
      </c>
      <c r="B104" s="11">
        <f>'Pairings NB'!C465</f>
        <v/>
      </c>
      <c r="C104" s="11">
        <f>'Pairings NB'!D465</f>
        <v/>
      </c>
      <c r="D104" s="11">
        <f>'Pairings NB'!E465&amp;"/"&amp;'Pairings NB'!E466</f>
        <v/>
      </c>
      <c r="E104" s="11">
        <f>'Pairings NB'!F465&amp;"-"&amp;'Pairings NB'!G465&amp;"-"&amp;'Pairings NB'!F465</f>
        <v/>
      </c>
      <c r="F104" s="11">
        <f>IFERROR(VLOOKUP('Pairings NB'!$M$465,Instructores!$A:$D,2,FALSE),"")</f>
        <v/>
      </c>
      <c r="G104" s="11">
        <f>'Pairings NB'!$M$465</f>
        <v/>
      </c>
      <c r="H104" s="11">
        <f>IFERROR(VLOOKUP('Pairings NB'!$M$465,Instructores!$A:$D,4,FALSE),"")</f>
        <v/>
      </c>
      <c r="I104" s="11">
        <f>'Pairings NB'!$O$465</f>
        <v/>
      </c>
      <c r="J104" s="11">
        <f>'Pairings NB'!J465</f>
        <v/>
      </c>
      <c r="K104" s="11">
        <f>IFERROR(VLOOKUP('Pairings NB'!$M$465,Instructores!$A:$D,3,FALSE),"")</f>
        <v/>
      </c>
      <c r="L104" s="11">
        <f>IF('Pairings NB'!J465=320,4,3)</f>
        <v/>
      </c>
      <c r="M104" s="11">
        <f>'Pairings NB'!$N$465</f>
        <v/>
      </c>
    </row>
    <row r="105">
      <c r="A105" s="11">
        <f>'Pairings NB'!B467</f>
        <v/>
      </c>
      <c r="B105" s="11">
        <f>'Pairings NB'!C467</f>
        <v/>
      </c>
      <c r="C105" s="11">
        <f>'Pairings NB'!D467</f>
        <v/>
      </c>
      <c r="D105" s="11">
        <f>'Pairings NB'!E467&amp;"/"&amp;'Pairings NB'!E468</f>
        <v/>
      </c>
      <c r="E105" s="11">
        <f>'Pairings NB'!F467&amp;"-"&amp;'Pairings NB'!G467&amp;"-"&amp;'Pairings NB'!F467</f>
        <v/>
      </c>
      <c r="F105" s="11">
        <f>IFERROR(VLOOKUP('Pairings NB'!$M$465,Instructores!$A:$D,2,FALSE),"")</f>
        <v/>
      </c>
      <c r="G105" s="11">
        <f>'Pairings NB'!$M$465</f>
        <v/>
      </c>
      <c r="H105" s="11">
        <f>IFERROR(VLOOKUP('Pairings NB'!$M$465,Instructores!$A:$D,4,FALSE),"")</f>
        <v/>
      </c>
      <c r="I105" s="11">
        <f>'Pairings NB'!$O$465</f>
        <v/>
      </c>
      <c r="J105" s="11">
        <f>'Pairings NB'!J467</f>
        <v/>
      </c>
      <c r="K105" s="11">
        <f>IFERROR(VLOOKUP('Pairings NB'!$M$465,Instructores!$A:$D,3,FALSE),"")</f>
        <v/>
      </c>
      <c r="L105" s="11">
        <f>IF('Pairings NB'!J467=320,4,3)</f>
        <v/>
      </c>
      <c r="M105" s="11">
        <f>'Pairings NB'!$N$465</f>
        <v/>
      </c>
    </row>
    <row r="106">
      <c r="A106" s="11">
        <f>'Pairings NB'!B472</f>
        <v/>
      </c>
      <c r="B106" s="11">
        <f>'Pairings NB'!C472</f>
        <v/>
      </c>
      <c r="C106" s="11">
        <f>'Pairings NB'!D472</f>
        <v/>
      </c>
      <c r="D106" s="11">
        <f>'Pairings NB'!E472&amp;"/"&amp;'Pairings NB'!E473</f>
        <v/>
      </c>
      <c r="E106" s="11">
        <f>'Pairings NB'!F472&amp;"-"&amp;'Pairings NB'!G472&amp;"-"&amp;'Pairings NB'!F472</f>
        <v/>
      </c>
      <c r="F106" s="11">
        <f>IFERROR(VLOOKUP('Pairings NB'!$M$472,Instructores!$A:$D,2,FALSE),"")</f>
        <v/>
      </c>
      <c r="G106" s="11">
        <f>'Pairings NB'!$M$472</f>
        <v/>
      </c>
      <c r="H106" s="11">
        <f>IFERROR(VLOOKUP('Pairings NB'!$M$472,Instructores!$A:$D,4,FALSE),"")</f>
        <v/>
      </c>
      <c r="I106" s="11">
        <f>'Pairings NB'!$O$472</f>
        <v/>
      </c>
      <c r="J106" s="11">
        <f>'Pairings NB'!J472</f>
        <v/>
      </c>
      <c r="K106" s="11">
        <f>IFERROR(VLOOKUP('Pairings NB'!$M$472,Instructores!$A:$D,3,FALSE),"")</f>
        <v/>
      </c>
      <c r="L106" s="11">
        <f>IF('Pairings NB'!J472=320,4,3)</f>
        <v/>
      </c>
      <c r="M106" s="11">
        <f>'Pairings NB'!$N$472</f>
        <v/>
      </c>
    </row>
    <row r="107">
      <c r="A107" s="11">
        <f>'Pairings NB'!B474</f>
        <v/>
      </c>
      <c r="B107" s="11">
        <f>'Pairings NB'!C474</f>
        <v/>
      </c>
      <c r="C107" s="11">
        <f>'Pairings NB'!D474</f>
        <v/>
      </c>
      <c r="D107" s="11">
        <f>'Pairings NB'!E474&amp;"/"&amp;'Pairings NB'!E475</f>
        <v/>
      </c>
      <c r="E107" s="11">
        <f>'Pairings NB'!F474&amp;"-"&amp;'Pairings NB'!G474&amp;"-"&amp;'Pairings NB'!F474</f>
        <v/>
      </c>
      <c r="F107" s="11">
        <f>IFERROR(VLOOKUP('Pairings NB'!$M$472,Instructores!$A:$D,2,FALSE),"")</f>
        <v/>
      </c>
      <c r="G107" s="11">
        <f>'Pairings NB'!$M$472</f>
        <v/>
      </c>
      <c r="H107" s="11">
        <f>IFERROR(VLOOKUP('Pairings NB'!$M$472,Instructores!$A:$D,4,FALSE),"")</f>
        <v/>
      </c>
      <c r="I107" s="11">
        <f>'Pairings NB'!$O$472</f>
        <v/>
      </c>
      <c r="J107" s="11">
        <f>'Pairings NB'!J474</f>
        <v/>
      </c>
      <c r="K107" s="11">
        <f>IFERROR(VLOOKUP('Pairings NB'!$M$472,Instructores!$A:$D,3,FALSE),"")</f>
        <v/>
      </c>
      <c r="L107" s="11">
        <f>IF('Pairings NB'!J474=320,4,3)</f>
        <v/>
      </c>
      <c r="M107" s="11">
        <f>'Pairings NB'!$N$472</f>
        <v/>
      </c>
    </row>
    <row r="108">
      <c r="A108" s="11">
        <f>'Pairings NB'!B479</f>
        <v/>
      </c>
      <c r="B108" s="11">
        <f>'Pairings NB'!C479</f>
        <v/>
      </c>
      <c r="C108" s="11">
        <f>'Pairings NB'!D479</f>
        <v/>
      </c>
      <c r="D108" s="11">
        <f>'Pairings NB'!E479&amp;"/"&amp;'Pairings NB'!E480</f>
        <v/>
      </c>
      <c r="E108" s="11">
        <f>'Pairings NB'!F479&amp;"-"&amp;'Pairings NB'!G479&amp;"-"&amp;'Pairings NB'!F479</f>
        <v/>
      </c>
      <c r="F108" s="11">
        <f>IFERROR(VLOOKUP('Pairings NB'!$M$479,Instructores!$A:$D,2,FALSE),"")</f>
        <v/>
      </c>
      <c r="G108" s="11">
        <f>'Pairings NB'!$M$479</f>
        <v/>
      </c>
      <c r="H108" s="11">
        <f>IFERROR(VLOOKUP('Pairings NB'!$M$479,Instructores!$A:$D,4,FALSE),"")</f>
        <v/>
      </c>
      <c r="I108" s="11">
        <f>'Pairings NB'!$O$479</f>
        <v/>
      </c>
      <c r="J108" s="11">
        <f>'Pairings NB'!J479</f>
        <v/>
      </c>
      <c r="K108" s="11">
        <f>IFERROR(VLOOKUP('Pairings NB'!$M$479,Instructores!$A:$D,3,FALSE),"")</f>
        <v/>
      </c>
      <c r="L108" s="11">
        <f>IF('Pairings NB'!J479=320,4,3)</f>
        <v/>
      </c>
      <c r="M108" s="11">
        <f>'Pairings NB'!$N$479</f>
        <v/>
      </c>
    </row>
    <row r="109">
      <c r="A109" s="11">
        <f>'Pairings NB'!B481</f>
        <v/>
      </c>
      <c r="B109" s="11">
        <f>'Pairings NB'!C481</f>
        <v/>
      </c>
      <c r="C109" s="11">
        <f>'Pairings NB'!D481</f>
        <v/>
      </c>
      <c r="D109" s="11">
        <f>'Pairings NB'!E481&amp;"/"&amp;'Pairings NB'!E482</f>
        <v/>
      </c>
      <c r="E109" s="11">
        <f>'Pairings NB'!F481&amp;"-"&amp;'Pairings NB'!G481&amp;"-"&amp;'Pairings NB'!F481</f>
        <v/>
      </c>
      <c r="F109" s="11">
        <f>IFERROR(VLOOKUP('Pairings NB'!$M$479,Instructores!$A:$D,2,FALSE),"")</f>
        <v/>
      </c>
      <c r="G109" s="11">
        <f>'Pairings NB'!$M$479</f>
        <v/>
      </c>
      <c r="H109" s="11">
        <f>IFERROR(VLOOKUP('Pairings NB'!$M$479,Instructores!$A:$D,4,FALSE),"")</f>
        <v/>
      </c>
      <c r="I109" s="11">
        <f>'Pairings NB'!$O$479</f>
        <v/>
      </c>
      <c r="J109" s="11">
        <f>'Pairings NB'!J481</f>
        <v/>
      </c>
      <c r="K109" s="11">
        <f>IFERROR(VLOOKUP('Pairings NB'!$M$479,Instructores!$A:$D,3,FALSE),"")</f>
        <v/>
      </c>
      <c r="L109" s="11">
        <f>IF('Pairings NB'!J481=320,4,3)</f>
        <v/>
      </c>
      <c r="M109" s="11">
        <f>'Pairings NB'!$N$479</f>
        <v/>
      </c>
    </row>
    <row r="110">
      <c r="A110" s="11">
        <f>'Pairings NB'!B486</f>
        <v/>
      </c>
      <c r="B110" s="11">
        <f>'Pairings NB'!C486</f>
        <v/>
      </c>
      <c r="C110" s="11">
        <f>'Pairings NB'!D486</f>
        <v/>
      </c>
      <c r="D110" s="11">
        <f>'Pairings NB'!E486&amp;"/"&amp;'Pairings NB'!E487</f>
        <v/>
      </c>
      <c r="E110" s="11">
        <f>'Pairings NB'!F486&amp;"-"&amp;'Pairings NB'!G486&amp;"-"&amp;'Pairings NB'!F486</f>
        <v/>
      </c>
      <c r="F110" s="11">
        <f>IFERROR(VLOOKUP('Pairings NB'!$M$486,Instructores!$A:$D,2,FALSE),"")</f>
        <v/>
      </c>
      <c r="G110" s="11">
        <f>'Pairings NB'!$M$486</f>
        <v/>
      </c>
      <c r="H110" s="11">
        <f>IFERROR(VLOOKUP('Pairings NB'!$M$486,Instructores!$A:$D,4,FALSE),"")</f>
        <v/>
      </c>
      <c r="I110" s="11">
        <f>'Pairings NB'!$O$486</f>
        <v/>
      </c>
      <c r="J110" s="11">
        <f>'Pairings NB'!J486</f>
        <v/>
      </c>
      <c r="K110" s="11">
        <f>IFERROR(VLOOKUP('Pairings NB'!$M$486,Instructores!$A:$D,3,FALSE),"")</f>
        <v/>
      </c>
      <c r="L110" s="11">
        <f>IF('Pairings NB'!J486=320,4,3)</f>
        <v/>
      </c>
      <c r="M110" s="11">
        <f>'Pairings NB'!$N$486</f>
        <v/>
      </c>
    </row>
    <row r="111">
      <c r="A111" s="11">
        <f>'Pairings NB'!B491</f>
        <v/>
      </c>
      <c r="B111" s="11">
        <f>'Pairings NB'!C491</f>
        <v/>
      </c>
      <c r="C111" s="11">
        <f>'Pairings NB'!D491</f>
        <v/>
      </c>
      <c r="D111" s="11">
        <f>'Pairings NB'!E491&amp;"/"&amp;'Pairings NB'!E492</f>
        <v/>
      </c>
      <c r="E111" s="11">
        <f>'Pairings NB'!F491&amp;"-"&amp;'Pairings NB'!G491&amp;"-"&amp;'Pairings NB'!F491</f>
        <v/>
      </c>
      <c r="F111" s="11">
        <f>IFERROR(VLOOKUP('Pairings NB'!$M$491,Instructores!$A:$D,2,FALSE),"")</f>
        <v/>
      </c>
      <c r="G111" s="11">
        <f>'Pairings NB'!$M$491</f>
        <v/>
      </c>
      <c r="H111" s="11">
        <f>IFERROR(VLOOKUP('Pairings NB'!$M$491,Instructores!$A:$D,4,FALSE),"")</f>
        <v/>
      </c>
      <c r="I111" s="11">
        <f>'Pairings NB'!$O$491</f>
        <v/>
      </c>
      <c r="J111" s="11">
        <f>'Pairings NB'!J491</f>
        <v/>
      </c>
      <c r="K111" s="11">
        <f>IFERROR(VLOOKUP('Pairings NB'!$M$491,Instructores!$A:$D,3,FALSE),"")</f>
        <v/>
      </c>
      <c r="L111" s="11">
        <f>IF('Pairings NB'!J491=320,4,3)</f>
        <v/>
      </c>
      <c r="M111" s="11">
        <f>'Pairings NB'!$N$491</f>
        <v/>
      </c>
    </row>
    <row r="112">
      <c r="A112" s="11">
        <f>'Pairings NB'!B493</f>
        <v/>
      </c>
      <c r="B112" s="11">
        <f>'Pairings NB'!C493</f>
        <v/>
      </c>
      <c r="C112" s="11">
        <f>'Pairings NB'!D493</f>
        <v/>
      </c>
      <c r="D112" s="11">
        <f>'Pairings NB'!E493&amp;"/"&amp;'Pairings NB'!E494</f>
        <v/>
      </c>
      <c r="E112" s="11">
        <f>'Pairings NB'!F493&amp;"-"&amp;'Pairings NB'!G493&amp;"-"&amp;'Pairings NB'!F493</f>
        <v/>
      </c>
      <c r="F112" s="11">
        <f>IFERROR(VLOOKUP('Pairings NB'!$M$491,Instructores!$A:$D,2,FALSE),"")</f>
        <v/>
      </c>
      <c r="G112" s="11">
        <f>'Pairings NB'!$M$491</f>
        <v/>
      </c>
      <c r="H112" s="11">
        <f>IFERROR(VLOOKUP('Pairings NB'!$M$491,Instructores!$A:$D,4,FALSE),"")</f>
        <v/>
      </c>
      <c r="I112" s="11">
        <f>'Pairings NB'!$O$491</f>
        <v/>
      </c>
      <c r="J112" s="11">
        <f>'Pairings NB'!J493</f>
        <v/>
      </c>
      <c r="K112" s="11">
        <f>IFERROR(VLOOKUP('Pairings NB'!$M$491,Instructores!$A:$D,3,FALSE),"")</f>
        <v/>
      </c>
      <c r="L112" s="11">
        <f>IF('Pairings NB'!J493=320,4,3)</f>
        <v/>
      </c>
      <c r="M112" s="11">
        <f>'Pairings NB'!$N$491</f>
        <v/>
      </c>
    </row>
    <row r="113">
      <c r="A113" s="11">
        <f>'Pairings NB'!B498</f>
        <v/>
      </c>
      <c r="B113" s="11">
        <f>'Pairings NB'!C498</f>
        <v/>
      </c>
      <c r="C113" s="11">
        <f>'Pairings NB'!D498</f>
        <v/>
      </c>
      <c r="D113" s="11">
        <f>'Pairings NB'!E498&amp;"/"&amp;'Pairings NB'!E499</f>
        <v/>
      </c>
      <c r="E113" s="11">
        <f>'Pairings NB'!F498&amp;"-"&amp;'Pairings NB'!G498&amp;"-"&amp;'Pairings NB'!F498</f>
        <v/>
      </c>
      <c r="F113" s="11">
        <f>IFERROR(VLOOKUP('Pairings NB'!$M$498,Instructores!$A:$D,2,FALSE),"")</f>
        <v/>
      </c>
      <c r="G113" s="11">
        <f>'Pairings NB'!$M$498</f>
        <v/>
      </c>
      <c r="H113" s="11">
        <f>IFERROR(VLOOKUP('Pairings NB'!$M$498,Instructores!$A:$D,4,FALSE),"")</f>
        <v/>
      </c>
      <c r="I113" s="11">
        <f>'Pairings NB'!$O$498</f>
        <v/>
      </c>
      <c r="J113" s="11">
        <f>'Pairings NB'!J498</f>
        <v/>
      </c>
      <c r="K113" s="11">
        <f>IFERROR(VLOOKUP('Pairings NB'!$M$498,Instructores!$A:$D,3,FALSE),"")</f>
        <v/>
      </c>
      <c r="L113" s="11">
        <f>IF('Pairings NB'!J498=320,4,3)</f>
        <v/>
      </c>
      <c r="M113" s="11">
        <f>'Pairings NB'!$N$498</f>
        <v/>
      </c>
    </row>
    <row r="114">
      <c r="A114" s="11">
        <f>'Pairings NB'!B500</f>
        <v/>
      </c>
      <c r="B114" s="11">
        <f>'Pairings NB'!C500</f>
        <v/>
      </c>
      <c r="C114" s="11">
        <f>'Pairings NB'!D500</f>
        <v/>
      </c>
      <c r="D114" s="11">
        <f>'Pairings NB'!E500&amp;"/"&amp;'Pairings NB'!E501</f>
        <v/>
      </c>
      <c r="E114" s="11">
        <f>'Pairings NB'!F500&amp;"-"&amp;'Pairings NB'!G500&amp;"-"&amp;'Pairings NB'!F500</f>
        <v/>
      </c>
      <c r="F114" s="11">
        <f>IFERROR(VLOOKUP('Pairings NB'!$M$498,Instructores!$A:$D,2,FALSE),"")</f>
        <v/>
      </c>
      <c r="G114" s="11">
        <f>'Pairings NB'!$M$498</f>
        <v/>
      </c>
      <c r="H114" s="11">
        <f>IFERROR(VLOOKUP('Pairings NB'!$M$498,Instructores!$A:$D,4,FALSE),"")</f>
        <v/>
      </c>
      <c r="I114" s="11">
        <f>'Pairings NB'!$O$498</f>
        <v/>
      </c>
      <c r="J114" s="11">
        <f>'Pairings NB'!J500</f>
        <v/>
      </c>
      <c r="K114" s="11">
        <f>IFERROR(VLOOKUP('Pairings NB'!$M$498,Instructores!$A:$D,3,FALSE),"")</f>
        <v/>
      </c>
      <c r="L114" s="11">
        <f>IF('Pairings NB'!J500=320,4,3)</f>
        <v/>
      </c>
      <c r="M114" s="11">
        <f>'Pairings NB'!$N$498</f>
        <v/>
      </c>
    </row>
    <row r="115">
      <c r="A115" s="11">
        <f>'Pairings NB'!B505</f>
        <v/>
      </c>
      <c r="B115" s="11">
        <f>'Pairings NB'!C505</f>
        <v/>
      </c>
      <c r="C115" s="11">
        <f>'Pairings NB'!D505</f>
        <v/>
      </c>
      <c r="D115" s="11">
        <f>'Pairings NB'!E505&amp;"/"&amp;'Pairings NB'!E506</f>
        <v/>
      </c>
      <c r="E115" s="11">
        <f>'Pairings NB'!F505&amp;"-"&amp;'Pairings NB'!G505&amp;"-"&amp;'Pairings NB'!F505</f>
        <v/>
      </c>
      <c r="F115" s="11">
        <f>IFERROR(VLOOKUP('Pairings NB'!$M$505,Instructores!$A:$D,2,FALSE),"")</f>
        <v/>
      </c>
      <c r="G115" s="11">
        <f>'Pairings NB'!$M$505</f>
        <v/>
      </c>
      <c r="H115" s="11">
        <f>IFERROR(VLOOKUP('Pairings NB'!$M$505,Instructores!$A:$D,4,FALSE),"")</f>
        <v/>
      </c>
      <c r="I115" s="11">
        <f>'Pairings NB'!$O$505</f>
        <v/>
      </c>
      <c r="J115" s="11">
        <f>'Pairings NB'!J505</f>
        <v/>
      </c>
      <c r="K115" s="11">
        <f>IFERROR(VLOOKUP('Pairings NB'!$M$505,Instructores!$A:$D,3,FALSE),"")</f>
        <v/>
      </c>
      <c r="L115" s="11">
        <f>IF('Pairings NB'!J505=320,4,3)</f>
        <v/>
      </c>
      <c r="M115" s="11">
        <f>'Pairings NB'!$N$505</f>
        <v/>
      </c>
    </row>
    <row r="116">
      <c r="A116" s="11">
        <f>'Pairings NB'!B507</f>
        <v/>
      </c>
      <c r="B116" s="11">
        <f>'Pairings NB'!C507</f>
        <v/>
      </c>
      <c r="C116" s="11">
        <f>'Pairings NB'!D507</f>
        <v/>
      </c>
      <c r="D116" s="11">
        <f>'Pairings NB'!E507&amp;"/"&amp;'Pairings NB'!E508</f>
        <v/>
      </c>
      <c r="E116" s="11">
        <f>'Pairings NB'!F507&amp;"-"&amp;'Pairings NB'!G507&amp;"-"&amp;'Pairings NB'!F507</f>
        <v/>
      </c>
      <c r="F116" s="11">
        <f>IFERROR(VLOOKUP('Pairings NB'!$M$505,Instructores!$A:$D,2,FALSE),"")</f>
        <v/>
      </c>
      <c r="G116" s="11">
        <f>'Pairings NB'!$M$505</f>
        <v/>
      </c>
      <c r="H116" s="11">
        <f>IFERROR(VLOOKUP('Pairings NB'!$M$505,Instructores!$A:$D,4,FALSE),"")</f>
        <v/>
      </c>
      <c r="I116" s="11">
        <f>'Pairings NB'!$O$505</f>
        <v/>
      </c>
      <c r="J116" s="11">
        <f>'Pairings NB'!J507</f>
        <v/>
      </c>
      <c r="K116" s="11">
        <f>IFERROR(VLOOKUP('Pairings NB'!$M$505,Instructores!$A:$D,3,FALSE),"")</f>
        <v/>
      </c>
      <c r="L116" s="11">
        <f>IF('Pairings NB'!J507=320,4,3)</f>
        <v/>
      </c>
      <c r="M116" s="11">
        <f>'Pairings NB'!$N$505</f>
        <v/>
      </c>
    </row>
    <row r="117">
      <c r="A117" s="11">
        <f>'Pairings NB'!B512</f>
        <v/>
      </c>
      <c r="B117" s="11">
        <f>'Pairings NB'!C512</f>
        <v/>
      </c>
      <c r="C117" s="11">
        <f>'Pairings NB'!D512</f>
        <v/>
      </c>
      <c r="D117" s="11">
        <f>'Pairings NB'!E512&amp;"/"&amp;'Pairings NB'!E513</f>
        <v/>
      </c>
      <c r="E117" s="11">
        <f>'Pairings NB'!F512&amp;"-"&amp;'Pairings NB'!G512&amp;"-"&amp;'Pairings NB'!F512</f>
        <v/>
      </c>
      <c r="F117" s="11">
        <f>IFERROR(VLOOKUP('Pairings NB'!$M$512,Instructores!$A:$D,2,FALSE),"")</f>
        <v/>
      </c>
      <c r="G117" s="11">
        <f>'Pairings NB'!$M$512</f>
        <v/>
      </c>
      <c r="H117" s="11">
        <f>IFERROR(VLOOKUP('Pairings NB'!$M$512,Instructores!$A:$D,4,FALSE),"")</f>
        <v/>
      </c>
      <c r="I117" s="11">
        <f>'Pairings NB'!$O$512</f>
        <v/>
      </c>
      <c r="J117" s="11">
        <f>'Pairings NB'!J512</f>
        <v/>
      </c>
      <c r="K117" s="11">
        <f>IFERROR(VLOOKUP('Pairings NB'!$M$512,Instructores!$A:$D,3,FALSE),"")</f>
        <v/>
      </c>
      <c r="L117" s="11">
        <f>IF('Pairings NB'!J512=320,4,3)</f>
        <v/>
      </c>
      <c r="M117" s="11">
        <f>'Pairings NB'!$N$512</f>
        <v/>
      </c>
    </row>
    <row r="118">
      <c r="A118" s="11">
        <f>'Pairings NB'!B517</f>
        <v/>
      </c>
      <c r="B118" s="11">
        <f>'Pairings NB'!C517</f>
        <v/>
      </c>
      <c r="C118" s="11">
        <f>'Pairings NB'!D517</f>
        <v/>
      </c>
      <c r="D118" s="11">
        <f>'Pairings NB'!E517&amp;"/"&amp;'Pairings NB'!E518</f>
        <v/>
      </c>
      <c r="E118" s="11">
        <f>'Pairings NB'!F517&amp;"-"&amp;'Pairings NB'!G517&amp;"-"&amp;'Pairings NB'!F517</f>
        <v/>
      </c>
      <c r="F118" s="11">
        <f>IFERROR(VLOOKUP('Pairings NB'!$M$517,Instructores!$A:$D,2,FALSE),"")</f>
        <v/>
      </c>
      <c r="G118" s="11">
        <f>'Pairings NB'!$M$517</f>
        <v/>
      </c>
      <c r="H118" s="11">
        <f>IFERROR(VLOOKUP('Pairings NB'!$M$517,Instructores!$A:$D,4,FALSE),"")</f>
        <v/>
      </c>
      <c r="I118" s="11">
        <f>'Pairings NB'!$O$517</f>
        <v/>
      </c>
      <c r="J118" s="11">
        <f>'Pairings NB'!J517</f>
        <v/>
      </c>
      <c r="K118" s="11">
        <f>IFERROR(VLOOKUP('Pairings NB'!$M$517,Instructores!$A:$D,3,FALSE),"")</f>
        <v/>
      </c>
      <c r="L118" s="11">
        <f>IF('Pairings NB'!J517=320,4,3)</f>
        <v/>
      </c>
      <c r="M118" s="11">
        <f>'Pairings NB'!$N$517</f>
        <v/>
      </c>
    </row>
    <row r="119">
      <c r="A119" s="11">
        <f>'Pairings NB'!B522</f>
        <v/>
      </c>
      <c r="B119" s="11">
        <f>'Pairings NB'!C522</f>
        <v/>
      </c>
      <c r="C119" s="11">
        <f>'Pairings NB'!D522</f>
        <v/>
      </c>
      <c r="D119" s="11">
        <f>'Pairings NB'!E522&amp;"/"&amp;'Pairings NB'!E523</f>
        <v/>
      </c>
      <c r="E119" s="11">
        <f>'Pairings NB'!F522&amp;"-"&amp;'Pairings NB'!G522&amp;"-"&amp;'Pairings NB'!F522</f>
        <v/>
      </c>
      <c r="F119" s="11">
        <f>IFERROR(VLOOKUP('Pairings NB'!$M$522,Instructores!$A:$D,2,FALSE),"")</f>
        <v/>
      </c>
      <c r="G119" s="11">
        <f>'Pairings NB'!$M$522</f>
        <v/>
      </c>
      <c r="H119" s="11">
        <f>IFERROR(VLOOKUP('Pairings NB'!$M$522,Instructores!$A:$D,4,FALSE),"")</f>
        <v/>
      </c>
      <c r="I119" s="11">
        <f>'Pairings NB'!$O$522</f>
        <v/>
      </c>
      <c r="J119" s="11">
        <f>'Pairings NB'!J522</f>
        <v/>
      </c>
      <c r="K119" s="11">
        <f>IFERROR(VLOOKUP('Pairings NB'!$M$522,Instructores!$A:$D,3,FALSE),"")</f>
        <v/>
      </c>
      <c r="L119" s="11">
        <f>IF('Pairings NB'!J522=320,4,3)</f>
        <v/>
      </c>
      <c r="M119" s="11">
        <f>'Pairings NB'!$N$522</f>
        <v/>
      </c>
    </row>
    <row r="120">
      <c r="A120" s="11">
        <f>'Pairings NB'!B527</f>
        <v/>
      </c>
      <c r="B120" s="11">
        <f>'Pairings NB'!C527</f>
        <v/>
      </c>
      <c r="C120" s="11">
        <f>'Pairings NB'!D527</f>
        <v/>
      </c>
      <c r="D120" s="11">
        <f>'Pairings NB'!E527&amp;"/"&amp;'Pairings NB'!E528</f>
        <v/>
      </c>
      <c r="E120" s="11">
        <f>'Pairings NB'!F527&amp;"-"&amp;'Pairings NB'!G527&amp;"-"&amp;'Pairings NB'!F527</f>
        <v/>
      </c>
      <c r="F120" s="11">
        <f>IFERROR(VLOOKUP('Pairings NB'!$M$527,Instructores!$A:$D,2,FALSE),"")</f>
        <v/>
      </c>
      <c r="G120" s="11">
        <f>'Pairings NB'!$M$527</f>
        <v/>
      </c>
      <c r="H120" s="11">
        <f>IFERROR(VLOOKUP('Pairings NB'!$M$527,Instructores!$A:$D,4,FALSE),"")</f>
        <v/>
      </c>
      <c r="I120" s="11">
        <f>'Pairings NB'!$O$527</f>
        <v/>
      </c>
      <c r="J120" s="11">
        <f>'Pairings NB'!J527</f>
        <v/>
      </c>
      <c r="K120" s="11">
        <f>IFERROR(VLOOKUP('Pairings NB'!$M$527,Instructores!$A:$D,3,FALSE),"")</f>
        <v/>
      </c>
      <c r="L120" s="11">
        <f>IF('Pairings NB'!J527=320,4,3)</f>
        <v/>
      </c>
      <c r="M120" s="11">
        <f>'Pairings NB'!$N$527</f>
        <v/>
      </c>
    </row>
    <row r="121">
      <c r="A121" s="11">
        <f>'Pairings NB'!B532</f>
        <v/>
      </c>
      <c r="B121" s="11">
        <f>'Pairings NB'!C532</f>
        <v/>
      </c>
      <c r="C121" s="11">
        <f>'Pairings NB'!D532</f>
        <v/>
      </c>
      <c r="D121" s="11">
        <f>'Pairings NB'!E532&amp;"/"&amp;'Pairings NB'!E533</f>
        <v/>
      </c>
      <c r="E121" s="11">
        <f>'Pairings NB'!F532&amp;"-"&amp;'Pairings NB'!G532&amp;"-"&amp;'Pairings NB'!F532</f>
        <v/>
      </c>
      <c r="F121" s="11">
        <f>IFERROR(VLOOKUP('Pairings NB'!$M$532,Instructores!$A:$D,2,FALSE),"")</f>
        <v/>
      </c>
      <c r="G121" s="11">
        <f>'Pairings NB'!$M$532</f>
        <v/>
      </c>
      <c r="H121" s="11">
        <f>IFERROR(VLOOKUP('Pairings NB'!$M$532,Instructores!$A:$D,4,FALSE),"")</f>
        <v/>
      </c>
      <c r="I121" s="11">
        <f>'Pairings NB'!$O$532</f>
        <v/>
      </c>
      <c r="J121" s="11">
        <f>'Pairings NB'!J532</f>
        <v/>
      </c>
      <c r="K121" s="11">
        <f>IFERROR(VLOOKUP('Pairings NB'!$M$532,Instructores!$A:$D,3,FALSE),"")</f>
        <v/>
      </c>
      <c r="L121" s="11">
        <f>IF('Pairings NB'!J532=320,4,3)</f>
        <v/>
      </c>
      <c r="M121" s="11">
        <f>'Pairings NB'!$N$532</f>
        <v/>
      </c>
    </row>
    <row r="122">
      <c r="A122" s="11">
        <f>'Pairings NB'!B537</f>
        <v/>
      </c>
      <c r="B122" s="11">
        <f>'Pairings NB'!C537</f>
        <v/>
      </c>
      <c r="C122" s="11">
        <f>'Pairings NB'!D537</f>
        <v/>
      </c>
      <c r="D122" s="11">
        <f>'Pairings NB'!E537&amp;"/"&amp;'Pairings NB'!E538</f>
        <v/>
      </c>
      <c r="E122" s="11">
        <f>'Pairings NB'!F537&amp;"-"&amp;'Pairings NB'!G537&amp;"-"&amp;'Pairings NB'!F537</f>
        <v/>
      </c>
      <c r="F122" s="11">
        <f>IFERROR(VLOOKUP('Pairings NB'!$M$537,Instructores!$A:$D,2,FALSE),"")</f>
        <v/>
      </c>
      <c r="G122" s="11">
        <f>'Pairings NB'!$M$537</f>
        <v/>
      </c>
      <c r="H122" s="11">
        <f>IFERROR(VLOOKUP('Pairings NB'!$M$537,Instructores!$A:$D,4,FALSE),"")</f>
        <v/>
      </c>
      <c r="I122" s="11">
        <f>'Pairings NB'!$O$537</f>
        <v/>
      </c>
      <c r="J122" s="11">
        <f>'Pairings NB'!J537</f>
        <v/>
      </c>
      <c r="K122" s="11">
        <f>IFERROR(VLOOKUP('Pairings NB'!$M$537,Instructores!$A:$D,3,FALSE),"")</f>
        <v/>
      </c>
      <c r="L122" s="11">
        <f>IF('Pairings NB'!J537=320,4,3)</f>
        <v/>
      </c>
      <c r="M122" s="11">
        <f>'Pairings NB'!$N$537</f>
        <v/>
      </c>
    </row>
    <row r="123">
      <c r="A123" s="11">
        <f>'Pairings NB'!B542</f>
        <v/>
      </c>
      <c r="B123" s="11">
        <f>'Pairings NB'!C542</f>
        <v/>
      </c>
      <c r="C123" s="11">
        <f>'Pairings NB'!D542</f>
        <v/>
      </c>
      <c r="D123" s="11">
        <f>'Pairings NB'!E542&amp;"/"&amp;'Pairings NB'!E543</f>
        <v/>
      </c>
      <c r="E123" s="11">
        <f>'Pairings NB'!F542&amp;"-"&amp;'Pairings NB'!G542&amp;"-"&amp;'Pairings NB'!F542</f>
        <v/>
      </c>
      <c r="F123" s="11">
        <f>IFERROR(VLOOKUP('Pairings NB'!$M$542,Instructores!$A:$D,2,FALSE),"")</f>
        <v/>
      </c>
      <c r="G123" s="11">
        <f>'Pairings NB'!$M$542</f>
        <v/>
      </c>
      <c r="H123" s="11">
        <f>IFERROR(VLOOKUP('Pairings NB'!$M$542,Instructores!$A:$D,4,FALSE),"")</f>
        <v/>
      </c>
      <c r="I123" s="11">
        <f>'Pairings NB'!$O$542</f>
        <v/>
      </c>
      <c r="J123" s="11">
        <f>'Pairings NB'!J542</f>
        <v/>
      </c>
      <c r="K123" s="11">
        <f>IFERROR(VLOOKUP('Pairings NB'!$M$542,Instructores!$A:$D,3,FALSE),"")</f>
        <v/>
      </c>
      <c r="L123" s="11">
        <f>IF('Pairings NB'!J542=320,4,3)</f>
        <v/>
      </c>
      <c r="M123" s="11">
        <f>'Pairings NB'!$N$542</f>
        <v/>
      </c>
    </row>
    <row r="124">
      <c r="A124" s="11">
        <f>'Pairings NB'!B547</f>
        <v/>
      </c>
      <c r="B124" s="11">
        <f>'Pairings NB'!C547</f>
        <v/>
      </c>
      <c r="C124" s="11">
        <f>'Pairings NB'!D547</f>
        <v/>
      </c>
      <c r="D124" s="11">
        <f>'Pairings NB'!E547&amp;"/"&amp;'Pairings NB'!E548</f>
        <v/>
      </c>
      <c r="E124" s="11">
        <f>'Pairings NB'!F547&amp;"-"&amp;'Pairings NB'!G547&amp;"-"&amp;'Pairings NB'!F547</f>
        <v/>
      </c>
      <c r="F124" s="11">
        <f>IFERROR(VLOOKUP('Pairings NB'!$M$547,Instructores!$A:$D,2,FALSE),"")</f>
        <v/>
      </c>
      <c r="G124" s="11">
        <f>'Pairings NB'!$M$547</f>
        <v/>
      </c>
      <c r="H124" s="11">
        <f>IFERROR(VLOOKUP('Pairings NB'!$M$547,Instructores!$A:$D,4,FALSE),"")</f>
        <v/>
      </c>
      <c r="I124" s="11">
        <f>'Pairings NB'!$O$547</f>
        <v/>
      </c>
      <c r="J124" s="11">
        <f>'Pairings NB'!J547</f>
        <v/>
      </c>
      <c r="K124" s="11">
        <f>IFERROR(VLOOKUP('Pairings NB'!$M$547,Instructores!$A:$D,3,FALSE),"")</f>
        <v/>
      </c>
      <c r="L124" s="11">
        <f>IF('Pairings NB'!J547=320,4,3)</f>
        <v/>
      </c>
      <c r="M124" s="11">
        <f>'Pairings NB'!$N$547</f>
        <v/>
      </c>
    </row>
    <row r="125">
      <c r="A125" s="11">
        <f>'Pairings NB'!B552</f>
        <v/>
      </c>
      <c r="B125" s="11">
        <f>'Pairings NB'!C552</f>
        <v/>
      </c>
      <c r="C125" s="11">
        <f>'Pairings NB'!D552</f>
        <v/>
      </c>
      <c r="D125" s="11">
        <f>'Pairings NB'!E552&amp;"/"&amp;'Pairings NB'!E553</f>
        <v/>
      </c>
      <c r="E125" s="11">
        <f>'Pairings NB'!F552&amp;"-"&amp;'Pairings NB'!G552&amp;"-"&amp;'Pairings NB'!F552</f>
        <v/>
      </c>
      <c r="F125" s="11">
        <f>IFERROR(VLOOKUP('Pairings NB'!$M$552,Instructores!$A:$D,2,FALSE),"")</f>
        <v/>
      </c>
      <c r="G125" s="11">
        <f>'Pairings NB'!$M$552</f>
        <v/>
      </c>
      <c r="H125" s="11">
        <f>IFERROR(VLOOKUP('Pairings NB'!$M$552,Instructores!$A:$D,4,FALSE),"")</f>
        <v/>
      </c>
      <c r="I125" s="11">
        <f>'Pairings NB'!$O$552</f>
        <v/>
      </c>
      <c r="J125" s="11">
        <f>'Pairings NB'!J552</f>
        <v/>
      </c>
      <c r="K125" s="11">
        <f>IFERROR(VLOOKUP('Pairings NB'!$M$552,Instructores!$A:$D,3,FALSE),"")</f>
        <v/>
      </c>
      <c r="L125" s="11">
        <f>IF('Pairings NB'!J552=320,4,3)</f>
        <v/>
      </c>
      <c r="M125" s="11">
        <f>'Pairings NB'!$N$552</f>
        <v/>
      </c>
    </row>
    <row r="126">
      <c r="A126" s="11">
        <f>'Pairings NB'!B557</f>
        <v/>
      </c>
      <c r="B126" s="11">
        <f>'Pairings NB'!C557</f>
        <v/>
      </c>
      <c r="C126" s="11">
        <f>'Pairings NB'!D557</f>
        <v/>
      </c>
      <c r="D126" s="11">
        <f>'Pairings NB'!E557&amp;"/"&amp;'Pairings NB'!E558</f>
        <v/>
      </c>
      <c r="E126" s="11">
        <f>'Pairings NB'!F557&amp;"-"&amp;'Pairings NB'!G557&amp;"-"&amp;'Pairings NB'!F557</f>
        <v/>
      </c>
      <c r="F126" s="11">
        <f>IFERROR(VLOOKUP('Pairings NB'!$M$557,Instructores!$A:$D,2,FALSE),"")</f>
        <v/>
      </c>
      <c r="G126" s="11">
        <f>'Pairings NB'!$M$557</f>
        <v/>
      </c>
      <c r="H126" s="11">
        <f>IFERROR(VLOOKUP('Pairings NB'!$M$557,Instructores!$A:$D,4,FALSE),"")</f>
        <v/>
      </c>
      <c r="I126" s="11">
        <f>'Pairings NB'!$O$557</f>
        <v/>
      </c>
      <c r="J126" s="11">
        <f>'Pairings NB'!J557</f>
        <v/>
      </c>
      <c r="K126" s="11">
        <f>IFERROR(VLOOKUP('Pairings NB'!$M$557,Instructores!$A:$D,3,FALSE),"")</f>
        <v/>
      </c>
      <c r="L126" s="11">
        <f>IF('Pairings NB'!J557=320,4,3)</f>
        <v/>
      </c>
      <c r="M126" s="11">
        <f>'Pairings NB'!$N$557</f>
        <v/>
      </c>
    </row>
    <row r="127">
      <c r="A127" s="11">
        <f>'Pairings NB'!B562</f>
        <v/>
      </c>
      <c r="B127" s="11">
        <f>'Pairings NB'!C562</f>
        <v/>
      </c>
      <c r="C127" s="11">
        <f>'Pairings NB'!D562</f>
        <v/>
      </c>
      <c r="D127" s="11">
        <f>'Pairings NB'!E562&amp;"/"&amp;'Pairings NB'!E563</f>
        <v/>
      </c>
      <c r="E127" s="11">
        <f>'Pairings NB'!F562&amp;"-"&amp;'Pairings NB'!G562&amp;"-"&amp;'Pairings NB'!F562</f>
        <v/>
      </c>
      <c r="F127" s="11">
        <f>IFERROR(VLOOKUP('Pairings NB'!$M$562,Instructores!$A:$D,2,FALSE),"")</f>
        <v/>
      </c>
      <c r="G127" s="11">
        <f>'Pairings NB'!$M$562</f>
        <v/>
      </c>
      <c r="H127" s="11">
        <f>IFERROR(VLOOKUP('Pairings NB'!$M$562,Instructores!$A:$D,4,FALSE),"")</f>
        <v/>
      </c>
      <c r="I127" s="11">
        <f>'Pairings NB'!$O$562</f>
        <v/>
      </c>
      <c r="J127" s="11">
        <f>'Pairings NB'!J562</f>
        <v/>
      </c>
      <c r="K127" s="11">
        <f>IFERROR(VLOOKUP('Pairings NB'!$M$562,Instructores!$A:$D,3,FALSE),"")</f>
        <v/>
      </c>
      <c r="L127" s="11">
        <f>IF('Pairings NB'!J562=320,4,3)</f>
        <v/>
      </c>
      <c r="M127" s="11">
        <f>'Pairings NB'!$N$562</f>
        <v/>
      </c>
    </row>
    <row r="128">
      <c r="A128" s="11">
        <f>'Pairings NB'!B567</f>
        <v/>
      </c>
      <c r="B128" s="11">
        <f>'Pairings NB'!C567</f>
        <v/>
      </c>
      <c r="C128" s="11">
        <f>'Pairings NB'!D567</f>
        <v/>
      </c>
      <c r="D128" s="11">
        <f>'Pairings NB'!E567&amp;"/"&amp;'Pairings NB'!E568</f>
        <v/>
      </c>
      <c r="E128" s="11">
        <f>'Pairings NB'!F567&amp;"-"&amp;'Pairings NB'!G567&amp;"-"&amp;'Pairings NB'!F567</f>
        <v/>
      </c>
      <c r="F128" s="11">
        <f>IFERROR(VLOOKUP('Pairings NB'!$M$567,Instructores!$A:$D,2,FALSE),"")</f>
        <v/>
      </c>
      <c r="G128" s="11">
        <f>'Pairings NB'!$M$567</f>
        <v/>
      </c>
      <c r="H128" s="11">
        <f>IFERROR(VLOOKUP('Pairings NB'!$M$567,Instructores!$A:$D,4,FALSE),"")</f>
        <v/>
      </c>
      <c r="I128" s="11">
        <f>'Pairings NB'!$O$567</f>
        <v/>
      </c>
      <c r="J128" s="11">
        <f>'Pairings NB'!J567</f>
        <v/>
      </c>
      <c r="K128" s="11">
        <f>IFERROR(VLOOKUP('Pairings NB'!$M$567,Instructores!$A:$D,3,FALSE),"")</f>
        <v/>
      </c>
      <c r="L128" s="11">
        <f>IF('Pairings NB'!J567=320,4,3)</f>
        <v/>
      </c>
      <c r="M128" s="11">
        <f>'Pairings NB'!$N$567</f>
        <v/>
      </c>
    </row>
    <row r="129">
      <c r="A129" s="11">
        <f>'Pairings NB'!B572</f>
        <v/>
      </c>
      <c r="B129" s="11">
        <f>'Pairings NB'!C572</f>
        <v/>
      </c>
      <c r="C129" s="11">
        <f>'Pairings NB'!D572</f>
        <v/>
      </c>
      <c r="D129" s="11">
        <f>'Pairings NB'!E572&amp;"/"&amp;'Pairings NB'!E573</f>
        <v/>
      </c>
      <c r="E129" s="11">
        <f>'Pairings NB'!F572&amp;"-"&amp;'Pairings NB'!G572&amp;"-"&amp;'Pairings NB'!F572</f>
        <v/>
      </c>
      <c r="F129" s="11">
        <f>IFERROR(VLOOKUP('Pairings NB'!$M$572,Instructores!$A:$D,2,FALSE),"")</f>
        <v/>
      </c>
      <c r="G129" s="11">
        <f>'Pairings NB'!$M$572</f>
        <v/>
      </c>
      <c r="H129" s="11">
        <f>IFERROR(VLOOKUP('Pairings NB'!$M$572,Instructores!$A:$D,4,FALSE),"")</f>
        <v/>
      </c>
      <c r="I129" s="11">
        <f>'Pairings NB'!$O$572</f>
        <v/>
      </c>
      <c r="J129" s="11">
        <f>'Pairings NB'!J572</f>
        <v/>
      </c>
      <c r="K129" s="11">
        <f>IFERROR(VLOOKUP('Pairings NB'!$M$572,Instructores!$A:$D,3,FALSE),"")</f>
        <v/>
      </c>
      <c r="L129" s="11">
        <f>IF('Pairings NB'!J572=320,4,3)</f>
        <v/>
      </c>
      <c r="M129" s="11">
        <f>'Pairings NB'!$N$572</f>
        <v/>
      </c>
    </row>
    <row r="130">
      <c r="A130" s="11">
        <f>'Pairings NB'!B574</f>
        <v/>
      </c>
      <c r="B130" s="11">
        <f>'Pairings NB'!C574</f>
        <v/>
      </c>
      <c r="C130" s="11">
        <f>'Pairings NB'!D574</f>
        <v/>
      </c>
      <c r="D130" s="11">
        <f>'Pairings NB'!E574&amp;"/"&amp;'Pairings NB'!E575</f>
        <v/>
      </c>
      <c r="E130" s="11">
        <f>'Pairings NB'!F574&amp;"-"&amp;'Pairings NB'!G574&amp;"-"&amp;'Pairings NB'!F574</f>
        <v/>
      </c>
      <c r="F130" s="11">
        <f>IFERROR(VLOOKUP('Pairings NB'!$M$572,Instructores!$A:$D,2,FALSE),"")</f>
        <v/>
      </c>
      <c r="G130" s="11">
        <f>'Pairings NB'!$M$572</f>
        <v/>
      </c>
      <c r="H130" s="11">
        <f>IFERROR(VLOOKUP('Pairings NB'!$M$572,Instructores!$A:$D,4,FALSE),"")</f>
        <v/>
      </c>
      <c r="I130" s="11">
        <f>'Pairings NB'!$O$572</f>
        <v/>
      </c>
      <c r="J130" s="11">
        <f>'Pairings NB'!J574</f>
        <v/>
      </c>
      <c r="K130" s="11">
        <f>IFERROR(VLOOKUP('Pairings NB'!$M$572,Instructores!$A:$D,3,FALSE),"")</f>
        <v/>
      </c>
      <c r="L130" s="11">
        <f>IF('Pairings NB'!J574=320,4,3)</f>
        <v/>
      </c>
      <c r="M130" s="11">
        <f>'Pairings NB'!$N$572</f>
        <v/>
      </c>
    </row>
    <row r="131">
      <c r="A131" s="11">
        <f>'Pairings NB'!B579</f>
        <v/>
      </c>
      <c r="B131" s="11">
        <f>'Pairings NB'!C579</f>
        <v/>
      </c>
      <c r="C131" s="11">
        <f>'Pairings NB'!D579</f>
        <v/>
      </c>
      <c r="D131" s="11">
        <f>'Pairings NB'!E579&amp;"/"&amp;'Pairings NB'!E580</f>
        <v/>
      </c>
      <c r="E131" s="11">
        <f>'Pairings NB'!F579&amp;"-"&amp;'Pairings NB'!G579&amp;"-"&amp;'Pairings NB'!F579</f>
        <v/>
      </c>
      <c r="F131" s="11">
        <f>IFERROR(VLOOKUP('Pairings NB'!$M$579,Instructores!$A:$D,2,FALSE),"")</f>
        <v/>
      </c>
      <c r="G131" s="11">
        <f>'Pairings NB'!$M$579</f>
        <v/>
      </c>
      <c r="H131" s="11">
        <f>IFERROR(VLOOKUP('Pairings NB'!$M$579,Instructores!$A:$D,4,FALSE),"")</f>
        <v/>
      </c>
      <c r="I131" s="11">
        <f>'Pairings NB'!$O$579</f>
        <v/>
      </c>
      <c r="J131" s="11">
        <f>'Pairings NB'!J579</f>
        <v/>
      </c>
      <c r="K131" s="11">
        <f>IFERROR(VLOOKUP('Pairings NB'!$M$579,Instructores!$A:$D,3,FALSE),"")</f>
        <v/>
      </c>
      <c r="L131" s="11">
        <f>IF('Pairings NB'!J579=320,4,3)</f>
        <v/>
      </c>
      <c r="M131" s="11">
        <f>'Pairings NB'!$N$579</f>
        <v/>
      </c>
    </row>
    <row r="132">
      <c r="A132" s="11">
        <f>'Pairings NB'!B584</f>
        <v/>
      </c>
      <c r="B132" s="11">
        <f>'Pairings NB'!C584</f>
        <v/>
      </c>
      <c r="C132" s="11">
        <f>'Pairings NB'!D584</f>
        <v/>
      </c>
      <c r="D132" s="11">
        <f>'Pairings NB'!E584&amp;"/"&amp;'Pairings NB'!E585</f>
        <v/>
      </c>
      <c r="E132" s="11">
        <f>'Pairings NB'!F584&amp;"-"&amp;'Pairings NB'!G584&amp;"-"&amp;'Pairings NB'!F584</f>
        <v/>
      </c>
      <c r="F132" s="11">
        <f>IFERROR(VLOOKUP('Pairings NB'!$M$584,Instructores!$A:$D,2,FALSE),"")</f>
        <v/>
      </c>
      <c r="G132" s="11">
        <f>'Pairings NB'!$M$584</f>
        <v/>
      </c>
      <c r="H132" s="11">
        <f>IFERROR(VLOOKUP('Pairings NB'!$M$584,Instructores!$A:$D,4,FALSE),"")</f>
        <v/>
      </c>
      <c r="I132" s="11">
        <f>'Pairings NB'!$O$584</f>
        <v/>
      </c>
      <c r="J132" s="11">
        <f>'Pairings NB'!J584</f>
        <v/>
      </c>
      <c r="K132" s="11">
        <f>IFERROR(VLOOKUP('Pairings NB'!$M$584,Instructores!$A:$D,3,FALSE),"")</f>
        <v/>
      </c>
      <c r="L132" s="11">
        <f>IF('Pairings NB'!J584=320,4,3)</f>
        <v/>
      </c>
      <c r="M132" s="11">
        <f>'Pairings NB'!$N$584</f>
        <v/>
      </c>
    </row>
    <row r="133">
      <c r="A133" s="11">
        <f>'Pairings NB'!B589</f>
        <v/>
      </c>
      <c r="B133" s="11">
        <f>'Pairings NB'!C589</f>
        <v/>
      </c>
      <c r="C133" s="11">
        <f>'Pairings NB'!D589</f>
        <v/>
      </c>
      <c r="D133" s="11">
        <f>'Pairings NB'!E589&amp;"/"&amp;'Pairings NB'!E590</f>
        <v/>
      </c>
      <c r="E133" s="11">
        <f>'Pairings NB'!F589&amp;"-"&amp;'Pairings NB'!G589&amp;"-"&amp;'Pairings NB'!F589</f>
        <v/>
      </c>
      <c r="F133" s="11">
        <f>IFERROR(VLOOKUP('Pairings NB'!$M$589,Instructores!$A:$D,2,FALSE),"")</f>
        <v/>
      </c>
      <c r="G133" s="11">
        <f>'Pairings NB'!$M$589</f>
        <v/>
      </c>
      <c r="H133" s="11">
        <f>IFERROR(VLOOKUP('Pairings NB'!$M$589,Instructores!$A:$D,4,FALSE),"")</f>
        <v/>
      </c>
      <c r="I133" s="11">
        <f>'Pairings NB'!$O$589</f>
        <v/>
      </c>
      <c r="J133" s="11">
        <f>'Pairings NB'!J589</f>
        <v/>
      </c>
      <c r="K133" s="11">
        <f>IFERROR(VLOOKUP('Pairings NB'!$M$589,Instructores!$A:$D,3,FALSE),"")</f>
        <v/>
      </c>
      <c r="L133" s="11">
        <f>IF('Pairings NB'!J589=320,4,3)</f>
        <v/>
      </c>
      <c r="M133" s="11">
        <f>'Pairings NB'!$N$589</f>
        <v/>
      </c>
    </row>
    <row r="134">
      <c r="A134" s="11">
        <f>'Pairings NB'!B594</f>
        <v/>
      </c>
      <c r="B134" s="11">
        <f>'Pairings NB'!C594</f>
        <v/>
      </c>
      <c r="C134" s="11">
        <f>'Pairings NB'!D594</f>
        <v/>
      </c>
      <c r="D134" s="11">
        <f>'Pairings NB'!E594&amp;"/"&amp;'Pairings NB'!E595</f>
        <v/>
      </c>
      <c r="E134" s="11">
        <f>'Pairings NB'!F594&amp;"-"&amp;'Pairings NB'!G594&amp;"-"&amp;'Pairings NB'!F594</f>
        <v/>
      </c>
      <c r="F134" s="11">
        <f>IFERROR(VLOOKUP('Pairings NB'!$M$594,Instructores!$A:$D,2,FALSE),"")</f>
        <v/>
      </c>
      <c r="G134" s="11">
        <f>'Pairings NB'!$M$594</f>
        <v/>
      </c>
      <c r="H134" s="11">
        <f>IFERROR(VLOOKUP('Pairings NB'!$M$594,Instructores!$A:$D,4,FALSE),"")</f>
        <v/>
      </c>
      <c r="I134" s="11">
        <f>'Pairings NB'!$O$594</f>
        <v/>
      </c>
      <c r="J134" s="11">
        <f>'Pairings NB'!J594</f>
        <v/>
      </c>
      <c r="K134" s="11">
        <f>IFERROR(VLOOKUP('Pairings NB'!$M$594,Instructores!$A:$D,3,FALSE),"")</f>
        <v/>
      </c>
      <c r="L134" s="11">
        <f>IF('Pairings NB'!J594=320,4,3)</f>
        <v/>
      </c>
      <c r="M134" s="11">
        <f>'Pairings NB'!$N$594</f>
        <v/>
      </c>
    </row>
    <row r="135">
      <c r="A135" s="11">
        <f>'Pairings NB'!B599</f>
        <v/>
      </c>
      <c r="B135" s="11">
        <f>'Pairings NB'!C599</f>
        <v/>
      </c>
      <c r="C135" s="11">
        <f>'Pairings NB'!D599</f>
        <v/>
      </c>
      <c r="D135" s="11">
        <f>'Pairings NB'!E599&amp;"/"&amp;'Pairings NB'!E600</f>
        <v/>
      </c>
      <c r="E135" s="11">
        <f>'Pairings NB'!F599&amp;"-"&amp;'Pairings NB'!G599&amp;"-"&amp;'Pairings NB'!F599</f>
        <v/>
      </c>
      <c r="F135" s="11">
        <f>IFERROR(VLOOKUP('Pairings NB'!$M$599,Instructores!$A:$D,2,FALSE),"")</f>
        <v/>
      </c>
      <c r="G135" s="11">
        <f>'Pairings NB'!$M$599</f>
        <v/>
      </c>
      <c r="H135" s="11">
        <f>IFERROR(VLOOKUP('Pairings NB'!$M$599,Instructores!$A:$D,4,FALSE),"")</f>
        <v/>
      </c>
      <c r="I135" s="11">
        <f>'Pairings NB'!$O$599</f>
        <v/>
      </c>
      <c r="J135" s="11">
        <f>'Pairings NB'!J599</f>
        <v/>
      </c>
      <c r="K135" s="11">
        <f>IFERROR(VLOOKUP('Pairings NB'!$M$599,Instructores!$A:$D,3,FALSE),"")</f>
        <v/>
      </c>
      <c r="L135" s="11">
        <f>IF('Pairings NB'!J599=320,4,3)</f>
        <v/>
      </c>
      <c r="M135" s="11">
        <f>'Pairings NB'!$N$599</f>
        <v/>
      </c>
    </row>
    <row r="136">
      <c r="A136" s="11">
        <f>'Pairings NB'!B601</f>
        <v/>
      </c>
      <c r="B136" s="11">
        <f>'Pairings NB'!C601</f>
        <v/>
      </c>
      <c r="C136" s="11">
        <f>'Pairings NB'!D601</f>
        <v/>
      </c>
      <c r="D136" s="11">
        <f>'Pairings NB'!E601&amp;"/"&amp;'Pairings NB'!E602</f>
        <v/>
      </c>
      <c r="E136" s="11">
        <f>'Pairings NB'!F601&amp;"-"&amp;'Pairings NB'!G601&amp;"-"&amp;'Pairings NB'!F601</f>
        <v/>
      </c>
      <c r="F136" s="11">
        <f>IFERROR(VLOOKUP('Pairings NB'!$M$599,Instructores!$A:$D,2,FALSE),"")</f>
        <v/>
      </c>
      <c r="G136" s="11">
        <f>'Pairings NB'!$M$599</f>
        <v/>
      </c>
      <c r="H136" s="11">
        <f>IFERROR(VLOOKUP('Pairings NB'!$M$599,Instructores!$A:$D,4,FALSE),"")</f>
        <v/>
      </c>
      <c r="I136" s="11">
        <f>'Pairings NB'!$O$599</f>
        <v/>
      </c>
      <c r="J136" s="11">
        <f>'Pairings NB'!J601</f>
        <v/>
      </c>
      <c r="K136" s="11">
        <f>IFERROR(VLOOKUP('Pairings NB'!$M$599,Instructores!$A:$D,3,FALSE),"")</f>
        <v/>
      </c>
      <c r="L136" s="11">
        <f>IF('Pairings NB'!J601=320,4,3)</f>
        <v/>
      </c>
      <c r="M136" s="11">
        <f>'Pairings NB'!$N$599</f>
        <v/>
      </c>
    </row>
    <row r="137">
      <c r="A137" s="11">
        <f>'Pairings NB'!B606</f>
        <v/>
      </c>
      <c r="B137" s="11">
        <f>'Pairings NB'!C606</f>
        <v/>
      </c>
      <c r="C137" s="11">
        <f>'Pairings NB'!D606</f>
        <v/>
      </c>
      <c r="D137" s="11">
        <f>'Pairings NB'!E606&amp;"/"&amp;'Pairings NB'!E607</f>
        <v/>
      </c>
      <c r="E137" s="11">
        <f>'Pairings NB'!F606&amp;"-"&amp;'Pairings NB'!G606&amp;"-"&amp;'Pairings NB'!F606</f>
        <v/>
      </c>
      <c r="F137" s="11">
        <f>IFERROR(VLOOKUP('Pairings NB'!$M$606,Instructores!$A:$D,2,FALSE),"")</f>
        <v/>
      </c>
      <c r="G137" s="11">
        <f>'Pairings NB'!$M$606</f>
        <v/>
      </c>
      <c r="H137" s="11">
        <f>IFERROR(VLOOKUP('Pairings NB'!$M$606,Instructores!$A:$D,4,FALSE),"")</f>
        <v/>
      </c>
      <c r="I137" s="11">
        <f>'Pairings NB'!$O$606</f>
        <v/>
      </c>
      <c r="J137" s="11">
        <f>'Pairings NB'!J606</f>
        <v/>
      </c>
      <c r="K137" s="11">
        <f>IFERROR(VLOOKUP('Pairings NB'!$M$606,Instructores!$A:$D,3,FALSE),"")</f>
        <v/>
      </c>
      <c r="L137" s="11">
        <f>IF('Pairings NB'!J606=320,4,3)</f>
        <v/>
      </c>
      <c r="M137" s="11">
        <f>'Pairings NB'!$N$606</f>
        <v/>
      </c>
    </row>
    <row r="138">
      <c r="A138" s="11">
        <f>'Pairings NB'!B611</f>
        <v/>
      </c>
      <c r="B138" s="11">
        <f>'Pairings NB'!C611</f>
        <v/>
      </c>
      <c r="C138" s="11">
        <f>'Pairings NB'!D611</f>
        <v/>
      </c>
      <c r="D138" s="11">
        <f>'Pairings NB'!E611&amp;"/"&amp;'Pairings NB'!E612</f>
        <v/>
      </c>
      <c r="E138" s="11">
        <f>'Pairings NB'!F611&amp;"-"&amp;'Pairings NB'!G611&amp;"-"&amp;'Pairings NB'!F611</f>
        <v/>
      </c>
      <c r="F138" s="11">
        <f>IFERROR(VLOOKUP('Pairings NB'!$M$611,Instructores!$A:$D,2,FALSE),"")</f>
        <v/>
      </c>
      <c r="G138" s="11">
        <f>'Pairings NB'!$M$611</f>
        <v/>
      </c>
      <c r="H138" s="11">
        <f>IFERROR(VLOOKUP('Pairings NB'!$M$611,Instructores!$A:$D,4,FALSE),"")</f>
        <v/>
      </c>
      <c r="I138" s="11">
        <f>'Pairings NB'!$O$611</f>
        <v/>
      </c>
      <c r="J138" s="11">
        <f>'Pairings NB'!J611</f>
        <v/>
      </c>
      <c r="K138" s="11">
        <f>IFERROR(VLOOKUP('Pairings NB'!$M$611,Instructores!$A:$D,3,FALSE),"")</f>
        <v/>
      </c>
      <c r="L138" s="11">
        <f>IF('Pairings NB'!J611=320,4,3)</f>
        <v/>
      </c>
      <c r="M138" s="11">
        <f>'Pairings NB'!$N$611</f>
        <v/>
      </c>
    </row>
    <row r="139">
      <c r="A139" s="11">
        <f>'Pairings NB'!B616</f>
        <v/>
      </c>
      <c r="B139" s="11">
        <f>'Pairings NB'!C616</f>
        <v/>
      </c>
      <c r="C139" s="11">
        <f>'Pairings NB'!D616</f>
        <v/>
      </c>
      <c r="D139" s="11">
        <f>'Pairings NB'!E616&amp;"/"&amp;'Pairings NB'!E617</f>
        <v/>
      </c>
      <c r="E139" s="11">
        <f>'Pairings NB'!F616&amp;"-"&amp;'Pairings NB'!G616&amp;"-"&amp;'Pairings NB'!F616</f>
        <v/>
      </c>
      <c r="F139" s="11">
        <f>IFERROR(VLOOKUP('Pairings NB'!$M$616,Instructores!$A:$D,2,FALSE),"")</f>
        <v/>
      </c>
      <c r="G139" s="11">
        <f>'Pairings NB'!$M$616</f>
        <v/>
      </c>
      <c r="H139" s="11">
        <f>IFERROR(VLOOKUP('Pairings NB'!$M$616,Instructores!$A:$D,4,FALSE),"")</f>
        <v/>
      </c>
      <c r="I139" s="11">
        <f>'Pairings NB'!$O$616</f>
        <v/>
      </c>
      <c r="J139" s="11">
        <f>'Pairings NB'!J616</f>
        <v/>
      </c>
      <c r="K139" s="11">
        <f>IFERROR(VLOOKUP('Pairings NB'!$M$616,Instructores!$A:$D,3,FALSE),"")</f>
        <v/>
      </c>
      <c r="L139" s="11">
        <f>IF('Pairings NB'!J616=320,4,3)</f>
        <v/>
      </c>
      <c r="M139" s="11">
        <f>'Pairings NB'!$N$616</f>
        <v/>
      </c>
    </row>
    <row r="140">
      <c r="A140" s="11">
        <f>'Pairings NB'!B621</f>
        <v/>
      </c>
      <c r="B140" s="11">
        <f>'Pairings NB'!C621</f>
        <v/>
      </c>
      <c r="C140" s="11">
        <f>'Pairings NB'!D621</f>
        <v/>
      </c>
      <c r="D140" s="11">
        <f>'Pairings NB'!E621&amp;"/"&amp;'Pairings NB'!E622</f>
        <v/>
      </c>
      <c r="E140" s="11">
        <f>'Pairings NB'!F621&amp;"-"&amp;'Pairings NB'!G621&amp;"-"&amp;'Pairings NB'!F621</f>
        <v/>
      </c>
      <c r="F140" s="11">
        <f>IFERROR(VLOOKUP('Pairings NB'!$M$621,Instructores!$A:$D,2,FALSE),"")</f>
        <v/>
      </c>
      <c r="G140" s="11">
        <f>'Pairings NB'!$M$621</f>
        <v/>
      </c>
      <c r="H140" s="11">
        <f>IFERROR(VLOOKUP('Pairings NB'!$M$621,Instructores!$A:$D,4,FALSE),"")</f>
        <v/>
      </c>
      <c r="I140" s="11">
        <f>'Pairings NB'!$O$621</f>
        <v/>
      </c>
      <c r="J140" s="11">
        <f>'Pairings NB'!J621</f>
        <v/>
      </c>
      <c r="K140" s="11">
        <f>IFERROR(VLOOKUP('Pairings NB'!$M$621,Instructores!$A:$D,3,FALSE),"")</f>
        <v/>
      </c>
      <c r="L140" s="11">
        <f>IF('Pairings NB'!J621=320,4,3)</f>
        <v/>
      </c>
      <c r="M140" s="11">
        <f>'Pairings NB'!$N$621</f>
        <v/>
      </c>
    </row>
    <row r="141">
      <c r="A141" s="11">
        <f>'Pairings NB'!B626</f>
        <v/>
      </c>
      <c r="B141" s="11">
        <f>'Pairings NB'!C626</f>
        <v/>
      </c>
      <c r="C141" s="11">
        <f>'Pairings NB'!D626</f>
        <v/>
      </c>
      <c r="D141" s="11">
        <f>'Pairings NB'!E626&amp;"/"&amp;'Pairings NB'!E627</f>
        <v/>
      </c>
      <c r="E141" s="11">
        <f>'Pairings NB'!F626&amp;"-"&amp;'Pairings NB'!G626&amp;"-"&amp;'Pairings NB'!F626</f>
        <v/>
      </c>
      <c r="F141" s="11">
        <f>IFERROR(VLOOKUP('Pairings NB'!$M$626,Instructores!$A:$D,2,FALSE),"")</f>
        <v/>
      </c>
      <c r="G141" s="11">
        <f>'Pairings NB'!$M$626</f>
        <v/>
      </c>
      <c r="H141" s="11">
        <f>IFERROR(VLOOKUP('Pairings NB'!$M$626,Instructores!$A:$D,4,FALSE),"")</f>
        <v/>
      </c>
      <c r="I141" s="11">
        <f>'Pairings NB'!$O$626</f>
        <v/>
      </c>
      <c r="J141" s="11">
        <f>'Pairings NB'!J626</f>
        <v/>
      </c>
      <c r="K141" s="11">
        <f>IFERROR(VLOOKUP('Pairings NB'!$M$626,Instructores!$A:$D,3,FALSE),"")</f>
        <v/>
      </c>
      <c r="L141" s="11">
        <f>IF('Pairings NB'!J626=320,4,3)</f>
        <v/>
      </c>
      <c r="M141" s="11">
        <f>'Pairings NB'!$N$626</f>
        <v/>
      </c>
    </row>
    <row r="142">
      <c r="A142" s="11">
        <f>'Pairings NB'!B631</f>
        <v/>
      </c>
      <c r="B142" s="11">
        <f>'Pairings NB'!C631</f>
        <v/>
      </c>
      <c r="C142" s="11">
        <f>'Pairings NB'!D631</f>
        <v/>
      </c>
      <c r="D142" s="11">
        <f>'Pairings NB'!E631&amp;"/"&amp;'Pairings NB'!E632</f>
        <v/>
      </c>
      <c r="E142" s="11">
        <f>'Pairings NB'!F631&amp;"-"&amp;'Pairings NB'!G631&amp;"-"&amp;'Pairings NB'!F631</f>
        <v/>
      </c>
      <c r="F142" s="11">
        <f>IFERROR(VLOOKUP('Pairings NB'!$M$631,Instructores!$A:$D,2,FALSE),"")</f>
        <v/>
      </c>
      <c r="G142" s="11">
        <f>'Pairings NB'!$M$631</f>
        <v/>
      </c>
      <c r="H142" s="11">
        <f>IFERROR(VLOOKUP('Pairings NB'!$M$631,Instructores!$A:$D,4,FALSE),"")</f>
        <v/>
      </c>
      <c r="I142" s="11">
        <f>'Pairings NB'!$O$631</f>
        <v/>
      </c>
      <c r="J142" s="11">
        <f>'Pairings NB'!J631</f>
        <v/>
      </c>
      <c r="K142" s="11">
        <f>IFERROR(VLOOKUP('Pairings NB'!$M$631,Instructores!$A:$D,3,FALSE),"")</f>
        <v/>
      </c>
      <c r="L142" s="11">
        <f>IF('Pairings NB'!J631=320,4,3)</f>
        <v/>
      </c>
      <c r="M142" s="11">
        <f>'Pairings NB'!$N$631</f>
        <v/>
      </c>
    </row>
    <row r="143">
      <c r="A143" s="11">
        <f>'Pairings NB'!B636</f>
        <v/>
      </c>
      <c r="B143" s="11">
        <f>'Pairings NB'!C636</f>
        <v/>
      </c>
      <c r="C143" s="11">
        <f>'Pairings NB'!D636</f>
        <v/>
      </c>
      <c r="D143" s="11">
        <f>'Pairings NB'!E636&amp;"/"&amp;'Pairings NB'!E637</f>
        <v/>
      </c>
      <c r="E143" s="11">
        <f>'Pairings NB'!F636&amp;"-"&amp;'Pairings NB'!G636&amp;"-"&amp;'Pairings NB'!F636</f>
        <v/>
      </c>
      <c r="F143" s="11">
        <f>IFERROR(VLOOKUP('Pairings NB'!$M$636,Instructores!$A:$D,2,FALSE),"")</f>
        <v/>
      </c>
      <c r="G143" s="11">
        <f>'Pairings NB'!$M$636</f>
        <v/>
      </c>
      <c r="H143" s="11">
        <f>IFERROR(VLOOKUP('Pairings NB'!$M$636,Instructores!$A:$D,4,FALSE),"")</f>
        <v/>
      </c>
      <c r="I143" s="11">
        <f>'Pairings NB'!$O$636</f>
        <v/>
      </c>
      <c r="J143" s="11">
        <f>'Pairings NB'!J636</f>
        <v/>
      </c>
      <c r="K143" s="11">
        <f>IFERROR(VLOOKUP('Pairings NB'!$M$636,Instructores!$A:$D,3,FALSE),"")</f>
        <v/>
      </c>
      <c r="L143" s="11">
        <f>IF('Pairings NB'!J636=320,4,3)</f>
        <v/>
      </c>
      <c r="M143" s="11">
        <f>'Pairings NB'!$N$636</f>
        <v/>
      </c>
    </row>
    <row r="144">
      <c r="A144" s="11">
        <f>'Pairings NB'!B641</f>
        <v/>
      </c>
      <c r="B144" s="11">
        <f>'Pairings NB'!C641</f>
        <v/>
      </c>
      <c r="C144" s="11">
        <f>'Pairings NB'!D641</f>
        <v/>
      </c>
      <c r="D144" s="11">
        <f>'Pairings NB'!E641&amp;"/"&amp;'Pairings NB'!E642</f>
        <v/>
      </c>
      <c r="E144" s="11">
        <f>'Pairings NB'!F641&amp;"-"&amp;'Pairings NB'!G641&amp;"-"&amp;'Pairings NB'!F641</f>
        <v/>
      </c>
      <c r="F144" s="11">
        <f>IFERROR(VLOOKUP('Pairings NB'!$M$641,Instructores!$A:$D,2,FALSE),"")</f>
        <v/>
      </c>
      <c r="G144" s="11">
        <f>'Pairings NB'!$M$641</f>
        <v/>
      </c>
      <c r="H144" s="11">
        <f>IFERROR(VLOOKUP('Pairings NB'!$M$641,Instructores!$A:$D,4,FALSE),"")</f>
        <v/>
      </c>
      <c r="I144" s="11">
        <f>'Pairings NB'!$O$641</f>
        <v/>
      </c>
      <c r="J144" s="11">
        <f>'Pairings NB'!J641</f>
        <v/>
      </c>
      <c r="K144" s="11">
        <f>IFERROR(VLOOKUP('Pairings NB'!$M$641,Instructores!$A:$D,3,FALSE),"")</f>
        <v/>
      </c>
      <c r="L144" s="11">
        <f>IF('Pairings NB'!J641=320,4,3)</f>
        <v/>
      </c>
      <c r="M144" s="11">
        <f>'Pairings NB'!$N$641</f>
        <v/>
      </c>
    </row>
    <row r="145">
      <c r="A145" s="11">
        <f>'Pairings NB'!B646</f>
        <v/>
      </c>
      <c r="B145" s="11">
        <f>'Pairings NB'!C646</f>
        <v/>
      </c>
      <c r="C145" s="11">
        <f>'Pairings NB'!D646</f>
        <v/>
      </c>
      <c r="D145" s="11">
        <f>'Pairings NB'!E646&amp;"/"&amp;'Pairings NB'!E647</f>
        <v/>
      </c>
      <c r="E145" s="11">
        <f>'Pairings NB'!F646&amp;"-"&amp;'Pairings NB'!G646&amp;"-"&amp;'Pairings NB'!F646</f>
        <v/>
      </c>
      <c r="F145" s="11">
        <f>IFERROR(VLOOKUP('Pairings NB'!$M$646,Instructores!$A:$D,2,FALSE),"")</f>
        <v/>
      </c>
      <c r="G145" s="11">
        <f>'Pairings NB'!$M$646</f>
        <v/>
      </c>
      <c r="H145" s="11">
        <f>IFERROR(VLOOKUP('Pairings NB'!$M$646,Instructores!$A:$D,4,FALSE),"")</f>
        <v/>
      </c>
      <c r="I145" s="11">
        <f>'Pairings NB'!$O$646</f>
        <v/>
      </c>
      <c r="J145" s="11">
        <f>'Pairings NB'!J646</f>
        <v/>
      </c>
      <c r="K145" s="11">
        <f>IFERROR(VLOOKUP('Pairings NB'!$M$646,Instructores!$A:$D,3,FALSE),"")</f>
        <v/>
      </c>
      <c r="L145" s="11">
        <f>IF('Pairings NB'!J646=320,4,3)</f>
        <v/>
      </c>
      <c r="M145" s="11">
        <f>'Pairings NB'!$N$646</f>
        <v/>
      </c>
    </row>
    <row r="146">
      <c r="A146" s="11">
        <f>'Pairings NB'!B648</f>
        <v/>
      </c>
      <c r="B146" s="11">
        <f>'Pairings NB'!C648</f>
        <v/>
      </c>
      <c r="C146" s="11">
        <f>'Pairings NB'!D648</f>
        <v/>
      </c>
      <c r="D146" s="11">
        <f>'Pairings NB'!E648&amp;"/"&amp;'Pairings NB'!E649</f>
        <v/>
      </c>
      <c r="E146" s="11">
        <f>'Pairings NB'!F648&amp;"-"&amp;'Pairings NB'!G648&amp;"-"&amp;'Pairings NB'!F648</f>
        <v/>
      </c>
      <c r="F146" s="11">
        <f>IFERROR(VLOOKUP('Pairings NB'!$M$646,Instructores!$A:$D,2,FALSE),"")</f>
        <v/>
      </c>
      <c r="G146" s="11">
        <f>'Pairings NB'!$M$646</f>
        <v/>
      </c>
      <c r="H146" s="11">
        <f>IFERROR(VLOOKUP('Pairings NB'!$M$646,Instructores!$A:$D,4,FALSE),"")</f>
        <v/>
      </c>
      <c r="I146" s="11">
        <f>'Pairings NB'!$O$646</f>
        <v/>
      </c>
      <c r="J146" s="11">
        <f>'Pairings NB'!J648</f>
        <v/>
      </c>
      <c r="K146" s="11">
        <f>IFERROR(VLOOKUP('Pairings NB'!$M$646,Instructores!$A:$D,3,FALSE),"")</f>
        <v/>
      </c>
      <c r="L146" s="11">
        <f>IF('Pairings NB'!J648=320,4,3)</f>
        <v/>
      </c>
      <c r="M146" s="11">
        <f>'Pairings NB'!$N$646</f>
        <v/>
      </c>
    </row>
    <row r="147">
      <c r="A147" s="11">
        <f>'Pairings NB'!B653</f>
        <v/>
      </c>
      <c r="B147" s="11">
        <f>'Pairings NB'!C653</f>
        <v/>
      </c>
      <c r="C147" s="11">
        <f>'Pairings NB'!D653</f>
        <v/>
      </c>
      <c r="D147" s="11">
        <f>'Pairings NB'!E653&amp;"/"&amp;'Pairings NB'!E654</f>
        <v/>
      </c>
      <c r="E147" s="11">
        <f>'Pairings NB'!F653&amp;"-"&amp;'Pairings NB'!G653&amp;"-"&amp;'Pairings NB'!F653</f>
        <v/>
      </c>
      <c r="F147" s="11">
        <f>IFERROR(VLOOKUP('Pairings NB'!$M$653,Instructores!$A:$D,2,FALSE),"")</f>
        <v/>
      </c>
      <c r="G147" s="11">
        <f>'Pairings NB'!$M$653</f>
        <v/>
      </c>
      <c r="H147" s="11">
        <f>IFERROR(VLOOKUP('Pairings NB'!$M$653,Instructores!$A:$D,4,FALSE),"")</f>
        <v/>
      </c>
      <c r="I147" s="11">
        <f>'Pairings NB'!$O$653</f>
        <v/>
      </c>
      <c r="J147" s="11">
        <f>'Pairings NB'!J653</f>
        <v/>
      </c>
      <c r="K147" s="11">
        <f>IFERROR(VLOOKUP('Pairings NB'!$M$653,Instructores!$A:$D,3,FALSE),"")</f>
        <v/>
      </c>
      <c r="L147" s="11">
        <f>IF('Pairings NB'!J653=320,4,3)</f>
        <v/>
      </c>
      <c r="M147" s="11">
        <f>'Pairings NB'!$N$653</f>
        <v/>
      </c>
    </row>
    <row r="148">
      <c r="A148" s="11">
        <f>'Pairings NB'!B658</f>
        <v/>
      </c>
      <c r="B148" s="11">
        <f>'Pairings NB'!C658</f>
        <v/>
      </c>
      <c r="C148" s="11">
        <f>'Pairings NB'!D658</f>
        <v/>
      </c>
      <c r="D148" s="11">
        <f>'Pairings NB'!E658&amp;"/"&amp;'Pairings NB'!E659</f>
        <v/>
      </c>
      <c r="E148" s="11">
        <f>'Pairings NB'!F658&amp;"-"&amp;'Pairings NB'!G658&amp;"-"&amp;'Pairings NB'!F658</f>
        <v/>
      </c>
      <c r="F148" s="11">
        <f>IFERROR(VLOOKUP('Pairings NB'!$M$658,Instructores!$A:$D,2,FALSE),"")</f>
        <v/>
      </c>
      <c r="G148" s="11">
        <f>'Pairings NB'!$M$658</f>
        <v/>
      </c>
      <c r="H148" s="11">
        <f>IFERROR(VLOOKUP('Pairings NB'!$M$658,Instructores!$A:$D,4,FALSE),"")</f>
        <v/>
      </c>
      <c r="I148" s="11">
        <f>'Pairings NB'!$O$658</f>
        <v/>
      </c>
      <c r="J148" s="11">
        <f>'Pairings NB'!J658</f>
        <v/>
      </c>
      <c r="K148" s="11">
        <f>IFERROR(VLOOKUP('Pairings NB'!$M$658,Instructores!$A:$D,3,FALSE),"")</f>
        <v/>
      </c>
      <c r="L148" s="11">
        <f>IF('Pairings NB'!J658=320,4,3)</f>
        <v/>
      </c>
      <c r="M148" s="11">
        <f>'Pairings NB'!$N$658</f>
        <v/>
      </c>
    </row>
    <row r="149">
      <c r="A149" s="11">
        <f>'Pairings NB'!B660</f>
        <v/>
      </c>
      <c r="B149" s="11">
        <f>'Pairings NB'!C660</f>
        <v/>
      </c>
      <c r="C149" s="11">
        <f>'Pairings NB'!D660</f>
        <v/>
      </c>
      <c r="D149" s="11">
        <f>'Pairings NB'!E660&amp;"/"&amp;'Pairings NB'!E661</f>
        <v/>
      </c>
      <c r="E149" s="11">
        <f>'Pairings NB'!F660&amp;"-"&amp;'Pairings NB'!G660&amp;"-"&amp;'Pairings NB'!F660</f>
        <v/>
      </c>
      <c r="F149" s="11">
        <f>IFERROR(VLOOKUP('Pairings NB'!$M$658,Instructores!$A:$D,2,FALSE),"")</f>
        <v/>
      </c>
      <c r="G149" s="11">
        <f>'Pairings NB'!$M$658</f>
        <v/>
      </c>
      <c r="H149" s="11">
        <f>IFERROR(VLOOKUP('Pairings NB'!$M$658,Instructores!$A:$D,4,FALSE),"")</f>
        <v/>
      </c>
      <c r="I149" s="11">
        <f>'Pairings NB'!$O$658</f>
        <v/>
      </c>
      <c r="J149" s="11">
        <f>'Pairings NB'!J660</f>
        <v/>
      </c>
      <c r="K149" s="11">
        <f>IFERROR(VLOOKUP('Pairings NB'!$M$658,Instructores!$A:$D,3,FALSE),"")</f>
        <v/>
      </c>
      <c r="L149" s="11">
        <f>IF('Pairings NB'!J660=320,4,3)</f>
        <v/>
      </c>
      <c r="M149" s="11">
        <f>'Pairings NB'!$N$658</f>
        <v/>
      </c>
    </row>
    <row r="150">
      <c r="A150" s="11">
        <f>'Pairings NB'!B665</f>
        <v/>
      </c>
      <c r="B150" s="11">
        <f>'Pairings NB'!C665</f>
        <v/>
      </c>
      <c r="C150" s="11">
        <f>'Pairings NB'!D665</f>
        <v/>
      </c>
      <c r="D150" s="11">
        <f>'Pairings NB'!E665&amp;"/"&amp;'Pairings NB'!E666</f>
        <v/>
      </c>
      <c r="E150" s="11">
        <f>'Pairings NB'!F665&amp;"-"&amp;'Pairings NB'!G665&amp;"-"&amp;'Pairings NB'!F665</f>
        <v/>
      </c>
      <c r="F150" s="11">
        <f>IFERROR(VLOOKUP('Pairings NB'!$M$665,Instructores!$A:$D,2,FALSE),"")</f>
        <v/>
      </c>
      <c r="G150" s="11">
        <f>'Pairings NB'!$M$665</f>
        <v/>
      </c>
      <c r="H150" s="11">
        <f>IFERROR(VLOOKUP('Pairings NB'!$M$665,Instructores!$A:$D,4,FALSE),"")</f>
        <v/>
      </c>
      <c r="I150" s="11">
        <f>'Pairings NB'!$O$665</f>
        <v/>
      </c>
      <c r="J150" s="11">
        <f>'Pairings NB'!J665</f>
        <v/>
      </c>
      <c r="K150" s="11">
        <f>IFERROR(VLOOKUP('Pairings NB'!$M$665,Instructores!$A:$D,3,FALSE),"")</f>
        <v/>
      </c>
      <c r="L150" s="11">
        <f>IF('Pairings NB'!J665=320,4,3)</f>
        <v/>
      </c>
      <c r="M150" s="11">
        <f>'Pairings NB'!$N$665</f>
        <v/>
      </c>
    </row>
    <row r="151">
      <c r="A151" s="11">
        <f>'Pairings NB'!B667</f>
        <v/>
      </c>
      <c r="B151" s="11">
        <f>'Pairings NB'!C667</f>
        <v/>
      </c>
      <c r="C151" s="11">
        <f>'Pairings NB'!D667</f>
        <v/>
      </c>
      <c r="D151" s="11">
        <f>'Pairings NB'!E667&amp;"/"&amp;'Pairings NB'!E668</f>
        <v/>
      </c>
      <c r="E151" s="11">
        <f>'Pairings NB'!F667&amp;"-"&amp;'Pairings NB'!G667&amp;"-"&amp;'Pairings NB'!F667</f>
        <v/>
      </c>
      <c r="F151" s="11">
        <f>IFERROR(VLOOKUP('Pairings NB'!$M$665,Instructores!$A:$D,2,FALSE),"")</f>
        <v/>
      </c>
      <c r="G151" s="11">
        <f>'Pairings NB'!$M$665</f>
        <v/>
      </c>
      <c r="H151" s="11">
        <f>IFERROR(VLOOKUP('Pairings NB'!$M$665,Instructores!$A:$D,4,FALSE),"")</f>
        <v/>
      </c>
      <c r="I151" s="11">
        <f>'Pairings NB'!$O$665</f>
        <v/>
      </c>
      <c r="J151" s="11">
        <f>'Pairings NB'!J667</f>
        <v/>
      </c>
      <c r="K151" s="11">
        <f>IFERROR(VLOOKUP('Pairings NB'!$M$665,Instructores!$A:$D,3,FALSE),"")</f>
        <v/>
      </c>
      <c r="L151" s="11">
        <f>IF('Pairings NB'!J667=320,4,3)</f>
        <v/>
      </c>
      <c r="M151" s="11">
        <f>'Pairings NB'!$N$665</f>
        <v/>
      </c>
    </row>
    <row r="152">
      <c r="A152" s="11">
        <f>'Pairings NB'!B672</f>
        <v/>
      </c>
      <c r="B152" s="11">
        <f>'Pairings NB'!C672</f>
        <v/>
      </c>
      <c r="C152" s="11">
        <f>'Pairings NB'!D672</f>
        <v/>
      </c>
      <c r="D152" s="11">
        <f>'Pairings NB'!E672&amp;"/"&amp;'Pairings NB'!E673</f>
        <v/>
      </c>
      <c r="E152" s="11">
        <f>'Pairings NB'!F672&amp;"-"&amp;'Pairings NB'!G672&amp;"-"&amp;'Pairings NB'!F672</f>
        <v/>
      </c>
      <c r="F152" s="11">
        <f>IFERROR(VLOOKUP('Pairings NB'!$M$672,Instructores!$A:$D,2,FALSE),"")</f>
        <v/>
      </c>
      <c r="G152" s="11">
        <f>'Pairings NB'!$M$672</f>
        <v/>
      </c>
      <c r="H152" s="11">
        <f>IFERROR(VLOOKUP('Pairings NB'!$M$672,Instructores!$A:$D,4,FALSE),"")</f>
        <v/>
      </c>
      <c r="I152" s="11">
        <f>'Pairings NB'!$O$672</f>
        <v/>
      </c>
      <c r="J152" s="11">
        <f>'Pairings NB'!J672</f>
        <v/>
      </c>
      <c r="K152" s="11">
        <f>IFERROR(VLOOKUP('Pairings NB'!$M$672,Instructores!$A:$D,3,FALSE),"")</f>
        <v/>
      </c>
      <c r="L152" s="11">
        <f>IF('Pairings NB'!J672=320,4,3)</f>
        <v/>
      </c>
      <c r="M152" s="11">
        <f>'Pairings NB'!$N$672</f>
        <v/>
      </c>
    </row>
    <row r="153">
      <c r="A153" s="11">
        <f>'Pairings NB'!B677</f>
        <v/>
      </c>
      <c r="B153" s="11">
        <f>'Pairings NB'!C677</f>
        <v/>
      </c>
      <c r="C153" s="11">
        <f>'Pairings NB'!D677</f>
        <v/>
      </c>
      <c r="D153" s="11">
        <f>'Pairings NB'!E677&amp;"/"&amp;'Pairings NB'!E678</f>
        <v/>
      </c>
      <c r="E153" s="11">
        <f>'Pairings NB'!F677&amp;"-"&amp;'Pairings NB'!G677&amp;"-"&amp;'Pairings NB'!F677</f>
        <v/>
      </c>
      <c r="F153" s="11">
        <f>IFERROR(VLOOKUP('Pairings NB'!$M$677,Instructores!$A:$D,2,FALSE),"")</f>
        <v/>
      </c>
      <c r="G153" s="11">
        <f>'Pairings NB'!$M$677</f>
        <v/>
      </c>
      <c r="H153" s="11">
        <f>IFERROR(VLOOKUP('Pairings NB'!$M$677,Instructores!$A:$D,4,FALSE),"")</f>
        <v/>
      </c>
      <c r="I153" s="11">
        <f>'Pairings NB'!$O$677</f>
        <v/>
      </c>
      <c r="J153" s="11">
        <f>'Pairings NB'!J677</f>
        <v/>
      </c>
      <c r="K153" s="11">
        <f>IFERROR(VLOOKUP('Pairings NB'!$M$677,Instructores!$A:$D,3,FALSE),"")</f>
        <v/>
      </c>
      <c r="L153" s="11">
        <f>IF('Pairings NB'!J677=320,4,3)</f>
        <v/>
      </c>
      <c r="M153" s="11">
        <f>'Pairings NB'!$N$677</f>
        <v/>
      </c>
    </row>
    <row r="154">
      <c r="A154" s="11">
        <f>'Pairings NB'!B679</f>
        <v/>
      </c>
      <c r="B154" s="11">
        <f>'Pairings NB'!C679</f>
        <v/>
      </c>
      <c r="C154" s="11">
        <f>'Pairings NB'!D679</f>
        <v/>
      </c>
      <c r="D154" s="11">
        <f>'Pairings NB'!E679&amp;"/"&amp;'Pairings NB'!E680</f>
        <v/>
      </c>
      <c r="E154" s="11">
        <f>'Pairings NB'!F679&amp;"-"&amp;'Pairings NB'!G679&amp;"-"&amp;'Pairings NB'!F679</f>
        <v/>
      </c>
      <c r="F154" s="11">
        <f>IFERROR(VLOOKUP('Pairings NB'!$M$677,Instructores!$A:$D,2,FALSE),"")</f>
        <v/>
      </c>
      <c r="G154" s="11">
        <f>'Pairings NB'!$M$677</f>
        <v/>
      </c>
      <c r="H154" s="11">
        <f>IFERROR(VLOOKUP('Pairings NB'!$M$677,Instructores!$A:$D,4,FALSE),"")</f>
        <v/>
      </c>
      <c r="I154" s="11">
        <f>'Pairings NB'!$O$677</f>
        <v/>
      </c>
      <c r="J154" s="11">
        <f>'Pairings NB'!J679</f>
        <v/>
      </c>
      <c r="K154" s="11">
        <f>IFERROR(VLOOKUP('Pairings NB'!$M$677,Instructores!$A:$D,3,FALSE),"")</f>
        <v/>
      </c>
      <c r="L154" s="11">
        <f>IF('Pairings NB'!J679=320,4,3)</f>
        <v/>
      </c>
      <c r="M154" s="11">
        <f>'Pairings NB'!$N$677</f>
        <v/>
      </c>
    </row>
    <row r="155">
      <c r="A155" s="11">
        <f>'Pairings NB'!B684</f>
        <v/>
      </c>
      <c r="B155" s="11">
        <f>'Pairings NB'!C684</f>
        <v/>
      </c>
      <c r="C155" s="11">
        <f>'Pairings NB'!D684</f>
        <v/>
      </c>
      <c r="D155" s="11">
        <f>'Pairings NB'!E684&amp;"/"&amp;'Pairings NB'!E685</f>
        <v/>
      </c>
      <c r="E155" s="11">
        <f>'Pairings NB'!F684&amp;"-"&amp;'Pairings NB'!G684&amp;"-"&amp;'Pairings NB'!F684</f>
        <v/>
      </c>
      <c r="F155" s="11">
        <f>IFERROR(VLOOKUP('Pairings NB'!$M$684,Instructores!$A:$D,2,FALSE),"")</f>
        <v/>
      </c>
      <c r="G155" s="11">
        <f>'Pairings NB'!$M$684</f>
        <v/>
      </c>
      <c r="H155" s="11">
        <f>IFERROR(VLOOKUP('Pairings NB'!$M$684,Instructores!$A:$D,4,FALSE),"")</f>
        <v/>
      </c>
      <c r="I155" s="11">
        <f>'Pairings NB'!$O$684</f>
        <v/>
      </c>
      <c r="J155" s="11">
        <f>'Pairings NB'!J684</f>
        <v/>
      </c>
      <c r="K155" s="11">
        <f>IFERROR(VLOOKUP('Pairings NB'!$M$684,Instructores!$A:$D,3,FALSE),"")</f>
        <v/>
      </c>
      <c r="L155" s="11">
        <f>IF('Pairings NB'!J684=320,4,3)</f>
        <v/>
      </c>
      <c r="M155" s="11">
        <f>'Pairings NB'!$N$684</f>
        <v/>
      </c>
    </row>
    <row r="156">
      <c r="A156" s="11">
        <f>'Pairings NB'!B689</f>
        <v/>
      </c>
      <c r="B156" s="11">
        <f>'Pairings NB'!C689</f>
        <v/>
      </c>
      <c r="C156" s="11">
        <f>'Pairings NB'!D689</f>
        <v/>
      </c>
      <c r="D156" s="11">
        <f>'Pairings NB'!E689&amp;"/"&amp;'Pairings NB'!E690</f>
        <v/>
      </c>
      <c r="E156" s="11">
        <f>'Pairings NB'!F689&amp;"-"&amp;'Pairings NB'!G689&amp;"-"&amp;'Pairings NB'!F689</f>
        <v/>
      </c>
      <c r="F156" s="11">
        <f>IFERROR(VLOOKUP('Pairings NB'!$M$689,Instructores!$A:$D,2,FALSE),"")</f>
        <v/>
      </c>
      <c r="G156" s="11">
        <f>'Pairings NB'!$M$689</f>
        <v/>
      </c>
      <c r="H156" s="11">
        <f>IFERROR(VLOOKUP('Pairings NB'!$M$689,Instructores!$A:$D,4,FALSE),"")</f>
        <v/>
      </c>
      <c r="I156" s="11">
        <f>'Pairings NB'!$O$689</f>
        <v/>
      </c>
      <c r="J156" s="11">
        <f>'Pairings NB'!J689</f>
        <v/>
      </c>
      <c r="K156" s="11">
        <f>IFERROR(VLOOKUP('Pairings NB'!$M$689,Instructores!$A:$D,3,FALSE),"")</f>
        <v/>
      </c>
      <c r="L156" s="11">
        <f>IF('Pairings NB'!J689=320,4,3)</f>
        <v/>
      </c>
      <c r="M156" s="11">
        <f>'Pairings NB'!$N$689</f>
        <v/>
      </c>
    </row>
    <row r="157">
      <c r="A157" s="11">
        <f>'Pairings NB'!B694</f>
        <v/>
      </c>
      <c r="B157" s="11">
        <f>'Pairings NB'!C694</f>
        <v/>
      </c>
      <c r="C157" s="11">
        <f>'Pairings NB'!D694</f>
        <v/>
      </c>
      <c r="D157" s="11">
        <f>'Pairings NB'!E694&amp;"/"&amp;'Pairings NB'!E695</f>
        <v/>
      </c>
      <c r="E157" s="11">
        <f>'Pairings NB'!F694&amp;"-"&amp;'Pairings NB'!G694&amp;"-"&amp;'Pairings NB'!F694</f>
        <v/>
      </c>
      <c r="F157" s="11">
        <f>IFERROR(VLOOKUP('Pairings NB'!$M$694,Instructores!$A:$D,2,FALSE),"")</f>
        <v/>
      </c>
      <c r="G157" s="11">
        <f>'Pairings NB'!$M$694</f>
        <v/>
      </c>
      <c r="H157" s="11">
        <f>IFERROR(VLOOKUP('Pairings NB'!$M$694,Instructores!$A:$D,4,FALSE),"")</f>
        <v/>
      </c>
      <c r="I157" s="11">
        <f>'Pairings NB'!$O$694</f>
        <v/>
      </c>
      <c r="J157" s="11">
        <f>'Pairings NB'!J694</f>
        <v/>
      </c>
      <c r="K157" s="11">
        <f>IFERROR(VLOOKUP('Pairings NB'!$M$694,Instructores!$A:$D,3,FALSE),"")</f>
        <v/>
      </c>
      <c r="L157" s="11">
        <f>IF('Pairings NB'!J694=320,4,3)</f>
        <v/>
      </c>
      <c r="M157" s="11">
        <f>'Pairings NB'!$N$694</f>
        <v/>
      </c>
    </row>
    <row r="158">
      <c r="A158" s="11">
        <f>'Pairings NB'!B699</f>
        <v/>
      </c>
      <c r="B158" s="11">
        <f>'Pairings NB'!C699</f>
        <v/>
      </c>
      <c r="C158" s="11">
        <f>'Pairings NB'!D699</f>
        <v/>
      </c>
      <c r="D158" s="11">
        <f>'Pairings NB'!E699&amp;"/"&amp;'Pairings NB'!E700</f>
        <v/>
      </c>
      <c r="E158" s="11">
        <f>'Pairings NB'!F699&amp;"-"&amp;'Pairings NB'!G699&amp;"-"&amp;'Pairings NB'!F699</f>
        <v/>
      </c>
      <c r="F158" s="11">
        <f>IFERROR(VLOOKUP('Pairings NB'!$M$699,Instructores!$A:$D,2,FALSE),"")</f>
        <v/>
      </c>
      <c r="G158" s="11">
        <f>'Pairings NB'!$M$699</f>
        <v/>
      </c>
      <c r="H158" s="11">
        <f>IFERROR(VLOOKUP('Pairings NB'!$M$699,Instructores!$A:$D,4,FALSE),"")</f>
        <v/>
      </c>
      <c r="I158" s="11">
        <f>'Pairings NB'!$O$699</f>
        <v/>
      </c>
      <c r="J158" s="11">
        <f>'Pairings NB'!J699</f>
        <v/>
      </c>
      <c r="K158" s="11">
        <f>IFERROR(VLOOKUP('Pairings NB'!$M$699,Instructores!$A:$D,3,FALSE),"")</f>
        <v/>
      </c>
      <c r="L158" s="11">
        <f>IF('Pairings NB'!J699=320,4,3)</f>
        <v/>
      </c>
      <c r="M158" s="11">
        <f>'Pairings NB'!$N$699</f>
        <v/>
      </c>
    </row>
    <row r="159">
      <c r="A159" s="11">
        <f>'Pairings NB'!B704</f>
        <v/>
      </c>
      <c r="B159" s="11">
        <f>'Pairings NB'!C704</f>
        <v/>
      </c>
      <c r="C159" s="11">
        <f>'Pairings NB'!D704</f>
        <v/>
      </c>
      <c r="D159" s="11">
        <f>'Pairings NB'!E704&amp;"/"&amp;'Pairings NB'!E705</f>
        <v/>
      </c>
      <c r="E159" s="11">
        <f>'Pairings NB'!F704&amp;"-"&amp;'Pairings NB'!G704&amp;"-"&amp;'Pairings NB'!F704</f>
        <v/>
      </c>
      <c r="F159" s="11">
        <f>IFERROR(VLOOKUP('Pairings NB'!$M$704,Instructores!$A:$D,2,FALSE),"")</f>
        <v/>
      </c>
      <c r="G159" s="11">
        <f>'Pairings NB'!$M$704</f>
        <v/>
      </c>
      <c r="H159" s="11">
        <f>IFERROR(VLOOKUP('Pairings NB'!$M$704,Instructores!$A:$D,4,FALSE),"")</f>
        <v/>
      </c>
      <c r="I159" s="11">
        <f>'Pairings NB'!$O$704</f>
        <v/>
      </c>
      <c r="J159" s="11">
        <f>'Pairings NB'!J704</f>
        <v/>
      </c>
      <c r="K159" s="11">
        <f>IFERROR(VLOOKUP('Pairings NB'!$M$704,Instructores!$A:$D,3,FALSE),"")</f>
        <v/>
      </c>
      <c r="L159" s="11">
        <f>IF('Pairings NB'!J704=320,4,3)</f>
        <v/>
      </c>
      <c r="M159" s="11">
        <f>'Pairings NB'!$N$704</f>
        <v/>
      </c>
    </row>
    <row r="160">
      <c r="A160" s="11">
        <f>'Pairings NB'!B709</f>
        <v/>
      </c>
      <c r="B160" s="11">
        <f>'Pairings NB'!C709</f>
        <v/>
      </c>
      <c r="C160" s="11">
        <f>'Pairings NB'!D709</f>
        <v/>
      </c>
      <c r="D160" s="11">
        <f>'Pairings NB'!E709&amp;"/"&amp;'Pairings NB'!E710</f>
        <v/>
      </c>
      <c r="E160" s="11">
        <f>'Pairings NB'!F709&amp;"-"&amp;'Pairings NB'!G709&amp;"-"&amp;'Pairings NB'!F709</f>
        <v/>
      </c>
      <c r="F160" s="11">
        <f>IFERROR(VLOOKUP('Pairings NB'!$M$709,Instructores!$A:$D,2,FALSE),"")</f>
        <v/>
      </c>
      <c r="G160" s="11">
        <f>'Pairings NB'!$M$709</f>
        <v/>
      </c>
      <c r="H160" s="11">
        <f>IFERROR(VLOOKUP('Pairings NB'!$M$709,Instructores!$A:$D,4,FALSE),"")</f>
        <v/>
      </c>
      <c r="I160" s="11">
        <f>'Pairings NB'!$O$709</f>
        <v/>
      </c>
      <c r="J160" s="11">
        <f>'Pairings NB'!J709</f>
        <v/>
      </c>
      <c r="K160" s="11">
        <f>IFERROR(VLOOKUP('Pairings NB'!$M$709,Instructores!$A:$D,3,FALSE),"")</f>
        <v/>
      </c>
      <c r="L160" s="11">
        <f>IF('Pairings NB'!J709=320,4,3)</f>
        <v/>
      </c>
      <c r="M160" s="11">
        <f>'Pairings NB'!$N$709</f>
        <v/>
      </c>
    </row>
    <row r="161">
      <c r="A161" s="11">
        <f>'Pairings NB'!B714</f>
        <v/>
      </c>
      <c r="B161" s="11">
        <f>'Pairings NB'!C714</f>
        <v/>
      </c>
      <c r="C161" s="11">
        <f>'Pairings NB'!D714</f>
        <v/>
      </c>
      <c r="D161" s="11">
        <f>'Pairings NB'!E714&amp;"/"&amp;'Pairings NB'!E715</f>
        <v/>
      </c>
      <c r="E161" s="11">
        <f>'Pairings NB'!F714&amp;"-"&amp;'Pairings NB'!G714&amp;"-"&amp;'Pairings NB'!F714</f>
        <v/>
      </c>
      <c r="F161" s="11">
        <f>IFERROR(VLOOKUP('Pairings NB'!$M$714,Instructores!$A:$D,2,FALSE),"")</f>
        <v/>
      </c>
      <c r="G161" s="11">
        <f>'Pairings NB'!$M$714</f>
        <v/>
      </c>
      <c r="H161" s="11">
        <f>IFERROR(VLOOKUP('Pairings NB'!$M$714,Instructores!$A:$D,4,FALSE),"")</f>
        <v/>
      </c>
      <c r="I161" s="11">
        <f>'Pairings NB'!$O$714</f>
        <v/>
      </c>
      <c r="J161" s="11">
        <f>'Pairings NB'!J714</f>
        <v/>
      </c>
      <c r="K161" s="11">
        <f>IFERROR(VLOOKUP('Pairings NB'!$M$714,Instructores!$A:$D,3,FALSE),"")</f>
        <v/>
      </c>
      <c r="L161" s="11">
        <f>IF('Pairings NB'!J714=320,4,3)</f>
        <v/>
      </c>
      <c r="M161" s="11">
        <f>'Pairings NB'!$N$714</f>
        <v/>
      </c>
    </row>
    <row r="162">
      <c r="A162" s="11">
        <f>'Pairings NB'!B719</f>
        <v/>
      </c>
      <c r="B162" s="11">
        <f>'Pairings NB'!C719</f>
        <v/>
      </c>
      <c r="C162" s="11">
        <f>'Pairings NB'!D719</f>
        <v/>
      </c>
      <c r="D162" s="11">
        <f>'Pairings NB'!E719&amp;"/"&amp;'Pairings NB'!E720</f>
        <v/>
      </c>
      <c r="E162" s="11">
        <f>'Pairings NB'!F719&amp;"-"&amp;'Pairings NB'!G719&amp;"-"&amp;'Pairings NB'!F719</f>
        <v/>
      </c>
      <c r="F162" s="11">
        <f>IFERROR(VLOOKUP('Pairings NB'!$M$719,Instructores!$A:$D,2,FALSE),"")</f>
        <v/>
      </c>
      <c r="G162" s="11">
        <f>'Pairings NB'!$M$719</f>
        <v/>
      </c>
      <c r="H162" s="11">
        <f>IFERROR(VLOOKUP('Pairings NB'!$M$719,Instructores!$A:$D,4,FALSE),"")</f>
        <v/>
      </c>
      <c r="I162" s="11">
        <f>'Pairings NB'!$O$719</f>
        <v/>
      </c>
      <c r="J162" s="11">
        <f>'Pairings NB'!J719</f>
        <v/>
      </c>
      <c r="K162" s="11">
        <f>IFERROR(VLOOKUP('Pairings NB'!$M$719,Instructores!$A:$D,3,FALSE),"")</f>
        <v/>
      </c>
      <c r="L162" s="11">
        <f>IF('Pairings NB'!J719=320,4,3)</f>
        <v/>
      </c>
      <c r="M162" s="11">
        <f>'Pairings NB'!$N$719</f>
        <v/>
      </c>
    </row>
    <row r="163">
      <c r="A163" s="11">
        <f>'Pairings NB'!B724</f>
        <v/>
      </c>
      <c r="B163" s="11">
        <f>'Pairings NB'!C724</f>
        <v/>
      </c>
      <c r="C163" s="11">
        <f>'Pairings NB'!D724</f>
        <v/>
      </c>
      <c r="D163" s="11">
        <f>'Pairings NB'!E724&amp;"/"&amp;'Pairings NB'!E725</f>
        <v/>
      </c>
      <c r="E163" s="11">
        <f>'Pairings NB'!F724&amp;"-"&amp;'Pairings NB'!G724&amp;"-"&amp;'Pairings NB'!F724</f>
        <v/>
      </c>
      <c r="F163" s="11">
        <f>IFERROR(VLOOKUP('Pairings NB'!$M$724,Instructores!$A:$D,2,FALSE),"")</f>
        <v/>
      </c>
      <c r="G163" s="11">
        <f>'Pairings NB'!$M$724</f>
        <v/>
      </c>
      <c r="H163" s="11">
        <f>IFERROR(VLOOKUP('Pairings NB'!$M$724,Instructores!$A:$D,4,FALSE),"")</f>
        <v/>
      </c>
      <c r="I163" s="11">
        <f>'Pairings NB'!$O$724</f>
        <v/>
      </c>
      <c r="J163" s="11">
        <f>'Pairings NB'!J724</f>
        <v/>
      </c>
      <c r="K163" s="11">
        <f>IFERROR(VLOOKUP('Pairings NB'!$M$724,Instructores!$A:$D,3,FALSE),"")</f>
        <v/>
      </c>
      <c r="L163" s="11">
        <f>IF('Pairings NB'!J724=320,4,3)</f>
        <v/>
      </c>
      <c r="M163" s="11">
        <f>'Pairings NB'!$N$724</f>
        <v/>
      </c>
    </row>
    <row r="164">
      <c r="A164" s="11">
        <f>'Pairings NB'!B729</f>
        <v/>
      </c>
      <c r="B164" s="11">
        <f>'Pairings NB'!C729</f>
        <v/>
      </c>
      <c r="C164" s="11">
        <f>'Pairings NB'!D729</f>
        <v/>
      </c>
      <c r="D164" s="11">
        <f>'Pairings NB'!E729&amp;"/"&amp;'Pairings NB'!E730</f>
        <v/>
      </c>
      <c r="E164" s="11">
        <f>'Pairings NB'!F729&amp;"-"&amp;'Pairings NB'!G729&amp;"-"&amp;'Pairings NB'!F729</f>
        <v/>
      </c>
      <c r="F164" s="11">
        <f>IFERROR(VLOOKUP('Pairings NB'!$M$729,Instructores!$A:$D,2,FALSE),"")</f>
        <v/>
      </c>
      <c r="G164" s="11">
        <f>'Pairings NB'!$M$729</f>
        <v/>
      </c>
      <c r="H164" s="11">
        <f>IFERROR(VLOOKUP('Pairings NB'!$M$729,Instructores!$A:$D,4,FALSE),"")</f>
        <v/>
      </c>
      <c r="I164" s="11">
        <f>'Pairings NB'!$O$729</f>
        <v/>
      </c>
      <c r="J164" s="11">
        <f>'Pairings NB'!J729</f>
        <v/>
      </c>
      <c r="K164" s="11">
        <f>IFERROR(VLOOKUP('Pairings NB'!$M$729,Instructores!$A:$D,3,FALSE),"")</f>
        <v/>
      </c>
      <c r="L164" s="11">
        <f>IF('Pairings NB'!J729=320,4,3)</f>
        <v/>
      </c>
      <c r="M164" s="11">
        <f>'Pairings NB'!$N$729</f>
        <v/>
      </c>
    </row>
    <row r="165">
      <c r="A165" s="11">
        <f>'Pairings NB'!B734</f>
        <v/>
      </c>
      <c r="B165" s="11">
        <f>'Pairings NB'!C734</f>
        <v/>
      </c>
      <c r="C165" s="11">
        <f>'Pairings NB'!D734</f>
        <v/>
      </c>
      <c r="D165" s="11">
        <f>'Pairings NB'!E734&amp;"/"&amp;'Pairings NB'!E735</f>
        <v/>
      </c>
      <c r="E165" s="11">
        <f>'Pairings NB'!F734&amp;"-"&amp;'Pairings NB'!G734&amp;"-"&amp;'Pairings NB'!F734</f>
        <v/>
      </c>
      <c r="F165" s="11">
        <f>IFERROR(VLOOKUP('Pairings NB'!$M$734,Instructores!$A:$D,2,FALSE),"")</f>
        <v/>
      </c>
      <c r="G165" s="11">
        <f>'Pairings NB'!$M$734</f>
        <v/>
      </c>
      <c r="H165" s="11">
        <f>IFERROR(VLOOKUP('Pairings NB'!$M$734,Instructores!$A:$D,4,FALSE),"")</f>
        <v/>
      </c>
      <c r="I165" s="11">
        <f>'Pairings NB'!$O$734</f>
        <v/>
      </c>
      <c r="J165" s="11">
        <f>'Pairings NB'!J734</f>
        <v/>
      </c>
      <c r="K165" s="11">
        <f>IFERROR(VLOOKUP('Pairings NB'!$M$734,Instructores!$A:$D,3,FALSE),"")</f>
        <v/>
      </c>
      <c r="L165" s="11">
        <f>IF('Pairings NB'!J734=320,4,3)</f>
        <v/>
      </c>
      <c r="M165" s="11">
        <f>'Pairings NB'!$N$734</f>
        <v/>
      </c>
    </row>
    <row r="166">
      <c r="A166" s="11">
        <f>'Pairings NB'!B736</f>
        <v/>
      </c>
      <c r="B166" s="11">
        <f>'Pairings NB'!C736</f>
        <v/>
      </c>
      <c r="C166" s="11">
        <f>'Pairings NB'!D736</f>
        <v/>
      </c>
      <c r="D166" s="11">
        <f>'Pairings NB'!E736&amp;"/"&amp;'Pairings NB'!E737</f>
        <v/>
      </c>
      <c r="E166" s="11">
        <f>'Pairings NB'!F736&amp;"-"&amp;'Pairings NB'!G736&amp;"-"&amp;'Pairings NB'!F736</f>
        <v/>
      </c>
      <c r="F166" s="11">
        <f>IFERROR(VLOOKUP('Pairings NB'!$M$734,Instructores!$A:$D,2,FALSE),"")</f>
        <v/>
      </c>
      <c r="G166" s="11">
        <f>'Pairings NB'!$M$734</f>
        <v/>
      </c>
      <c r="H166" s="11">
        <f>IFERROR(VLOOKUP('Pairings NB'!$M$734,Instructores!$A:$D,4,FALSE),"")</f>
        <v/>
      </c>
      <c r="I166" s="11">
        <f>'Pairings NB'!$O$734</f>
        <v/>
      </c>
      <c r="J166" s="11">
        <f>'Pairings NB'!J736</f>
        <v/>
      </c>
      <c r="K166" s="11">
        <f>IFERROR(VLOOKUP('Pairings NB'!$M$734,Instructores!$A:$D,3,FALSE),"")</f>
        <v/>
      </c>
      <c r="L166" s="11">
        <f>IF('Pairings NB'!J736=320,4,3)</f>
        <v/>
      </c>
      <c r="M166" s="11">
        <f>'Pairings NB'!$N$734</f>
        <v/>
      </c>
    </row>
    <row r="167">
      <c r="A167" s="11">
        <f>'Pairings NB'!B741</f>
        <v/>
      </c>
      <c r="B167" s="11">
        <f>'Pairings NB'!C741</f>
        <v/>
      </c>
      <c r="C167" s="11">
        <f>'Pairings NB'!D741</f>
        <v/>
      </c>
      <c r="D167" s="11">
        <f>'Pairings NB'!E741&amp;"/"&amp;'Pairings NB'!E742</f>
        <v/>
      </c>
      <c r="E167" s="11">
        <f>'Pairings NB'!F741&amp;"-"&amp;'Pairings NB'!G741&amp;"-"&amp;'Pairings NB'!F741</f>
        <v/>
      </c>
      <c r="F167" s="11">
        <f>IFERROR(VLOOKUP('Pairings NB'!$M$741,Instructores!$A:$D,2,FALSE),"")</f>
        <v/>
      </c>
      <c r="G167" s="11">
        <f>'Pairings NB'!$M$741</f>
        <v/>
      </c>
      <c r="H167" s="11">
        <f>IFERROR(VLOOKUP('Pairings NB'!$M$741,Instructores!$A:$D,4,FALSE),"")</f>
        <v/>
      </c>
      <c r="I167" s="11">
        <f>'Pairings NB'!$O$741</f>
        <v/>
      </c>
      <c r="J167" s="11">
        <f>'Pairings NB'!J741</f>
        <v/>
      </c>
      <c r="K167" s="11">
        <f>IFERROR(VLOOKUP('Pairings NB'!$M$741,Instructores!$A:$D,3,FALSE),"")</f>
        <v/>
      </c>
      <c r="L167" s="11">
        <f>IF('Pairings NB'!J741=320,4,3)</f>
        <v/>
      </c>
      <c r="M167" s="11">
        <f>'Pairings NB'!$N$741</f>
        <v/>
      </c>
    </row>
    <row r="168">
      <c r="A168" s="11">
        <f>'Pairings NB'!B746</f>
        <v/>
      </c>
      <c r="B168" s="11">
        <f>'Pairings NB'!C746</f>
        <v/>
      </c>
      <c r="C168" s="11">
        <f>'Pairings NB'!D746</f>
        <v/>
      </c>
      <c r="D168" s="11">
        <f>'Pairings NB'!E746&amp;"/"&amp;'Pairings NB'!E747</f>
        <v/>
      </c>
      <c r="E168" s="11">
        <f>'Pairings NB'!F746&amp;"-"&amp;'Pairings NB'!G746&amp;"-"&amp;'Pairings NB'!F746</f>
        <v/>
      </c>
      <c r="F168" s="11">
        <f>IFERROR(VLOOKUP('Pairings NB'!$M$746,Instructores!$A:$D,2,FALSE),"")</f>
        <v/>
      </c>
      <c r="G168" s="11">
        <f>'Pairings NB'!$M$746</f>
        <v/>
      </c>
      <c r="H168" s="11">
        <f>IFERROR(VLOOKUP('Pairings NB'!$M$746,Instructores!$A:$D,4,FALSE),"")</f>
        <v/>
      </c>
      <c r="I168" s="11">
        <f>'Pairings NB'!$O$746</f>
        <v/>
      </c>
      <c r="J168" s="11">
        <f>'Pairings NB'!J746</f>
        <v/>
      </c>
      <c r="K168" s="11">
        <f>IFERROR(VLOOKUP('Pairings NB'!$M$746,Instructores!$A:$D,3,FALSE),"")</f>
        <v/>
      </c>
      <c r="L168" s="11">
        <f>IF('Pairings NB'!J746=320,4,3)</f>
        <v/>
      </c>
      <c r="M168" s="11">
        <f>'Pairings NB'!$N$746</f>
        <v/>
      </c>
    </row>
    <row r="169">
      <c r="A169" s="11">
        <f>'Pairings NB'!B751</f>
        <v/>
      </c>
      <c r="B169" s="11">
        <f>'Pairings NB'!C751</f>
        <v/>
      </c>
      <c r="C169" s="11">
        <f>'Pairings NB'!D751</f>
        <v/>
      </c>
      <c r="D169" s="11">
        <f>'Pairings NB'!E751&amp;"/"&amp;'Pairings NB'!E752</f>
        <v/>
      </c>
      <c r="E169" s="11">
        <f>'Pairings NB'!F751&amp;"-"&amp;'Pairings NB'!G751&amp;"-"&amp;'Pairings NB'!F751</f>
        <v/>
      </c>
      <c r="F169" s="11">
        <f>IFERROR(VLOOKUP('Pairings NB'!$M$751,Instructores!$A:$D,2,FALSE),"")</f>
        <v/>
      </c>
      <c r="G169" s="11">
        <f>'Pairings NB'!$M$751</f>
        <v/>
      </c>
      <c r="H169" s="11">
        <f>IFERROR(VLOOKUP('Pairings NB'!$M$751,Instructores!$A:$D,4,FALSE),"")</f>
        <v/>
      </c>
      <c r="I169" s="11">
        <f>'Pairings NB'!$O$751</f>
        <v/>
      </c>
      <c r="J169" s="11">
        <f>'Pairings NB'!J751</f>
        <v/>
      </c>
      <c r="K169" s="11">
        <f>IFERROR(VLOOKUP('Pairings NB'!$M$751,Instructores!$A:$D,3,FALSE),"")</f>
        <v/>
      </c>
      <c r="L169" s="11">
        <f>IF('Pairings NB'!J751=320,4,3)</f>
        <v/>
      </c>
      <c r="M169" s="11">
        <f>'Pairings NB'!$N$751</f>
        <v/>
      </c>
    </row>
    <row r="170">
      <c r="A170" s="11">
        <f>'Pairings NB'!B756</f>
        <v/>
      </c>
      <c r="B170" s="11">
        <f>'Pairings NB'!C756</f>
        <v/>
      </c>
      <c r="C170" s="11">
        <f>'Pairings NB'!D756</f>
        <v/>
      </c>
      <c r="D170" s="11">
        <f>'Pairings NB'!E756&amp;"/"&amp;'Pairings NB'!E757</f>
        <v/>
      </c>
      <c r="E170" s="11">
        <f>'Pairings NB'!F756&amp;"-"&amp;'Pairings NB'!G756&amp;"-"&amp;'Pairings NB'!F756</f>
        <v/>
      </c>
      <c r="F170" s="11">
        <f>IFERROR(VLOOKUP('Pairings NB'!$M$756,Instructores!$A:$D,2,FALSE),"")</f>
        <v/>
      </c>
      <c r="G170" s="11">
        <f>'Pairings NB'!$M$756</f>
        <v/>
      </c>
      <c r="H170" s="11">
        <f>IFERROR(VLOOKUP('Pairings NB'!$M$756,Instructores!$A:$D,4,FALSE),"")</f>
        <v/>
      </c>
      <c r="I170" s="11">
        <f>'Pairings NB'!$O$756</f>
        <v/>
      </c>
      <c r="J170" s="11">
        <f>'Pairings NB'!J756</f>
        <v/>
      </c>
      <c r="K170" s="11">
        <f>IFERROR(VLOOKUP('Pairings NB'!$M$756,Instructores!$A:$D,3,FALSE),"")</f>
        <v/>
      </c>
      <c r="L170" s="11">
        <f>IF('Pairings NB'!J756=320,4,3)</f>
        <v/>
      </c>
      <c r="M170" s="11">
        <f>'Pairings NB'!$N$756</f>
        <v/>
      </c>
    </row>
    <row r="171">
      <c r="A171" s="11">
        <f>'Pairings NB'!B761</f>
        <v/>
      </c>
      <c r="B171" s="11">
        <f>'Pairings NB'!C761</f>
        <v/>
      </c>
      <c r="C171" s="11">
        <f>'Pairings NB'!D761</f>
        <v/>
      </c>
      <c r="D171" s="11">
        <f>'Pairings NB'!E761&amp;"/"&amp;'Pairings NB'!E762</f>
        <v/>
      </c>
      <c r="E171" s="11">
        <f>'Pairings NB'!F761&amp;"-"&amp;'Pairings NB'!G761&amp;"-"&amp;'Pairings NB'!F761</f>
        <v/>
      </c>
      <c r="F171" s="11">
        <f>IFERROR(VLOOKUP('Pairings NB'!$M$761,Instructores!$A:$D,2,FALSE),"")</f>
        <v/>
      </c>
      <c r="G171" s="11">
        <f>'Pairings NB'!$M$761</f>
        <v/>
      </c>
      <c r="H171" s="11">
        <f>IFERROR(VLOOKUP('Pairings NB'!$M$761,Instructores!$A:$D,4,FALSE),"")</f>
        <v/>
      </c>
      <c r="I171" s="11">
        <f>'Pairings NB'!$O$761</f>
        <v/>
      </c>
      <c r="J171" s="11">
        <f>'Pairings NB'!J761</f>
        <v/>
      </c>
      <c r="K171" s="11">
        <f>IFERROR(VLOOKUP('Pairings NB'!$M$761,Instructores!$A:$D,3,FALSE),"")</f>
        <v/>
      </c>
      <c r="L171" s="11">
        <f>IF('Pairings NB'!J761=320,4,3)</f>
        <v/>
      </c>
      <c r="M171" s="11">
        <f>'Pairings NB'!$N$761</f>
        <v/>
      </c>
    </row>
    <row r="172">
      <c r="A172" s="11">
        <f>'Pairings NB'!B766</f>
        <v/>
      </c>
      <c r="B172" s="11">
        <f>'Pairings NB'!C766</f>
        <v/>
      </c>
      <c r="C172" s="11">
        <f>'Pairings NB'!D766</f>
        <v/>
      </c>
      <c r="D172" s="11">
        <f>'Pairings NB'!E766&amp;"/"&amp;'Pairings NB'!E767</f>
        <v/>
      </c>
      <c r="E172" s="11">
        <f>'Pairings NB'!F766&amp;"-"&amp;'Pairings NB'!G766&amp;"-"&amp;'Pairings NB'!F766</f>
        <v/>
      </c>
      <c r="F172" s="11">
        <f>IFERROR(VLOOKUP('Pairings NB'!$M$766,Instructores!$A:$D,2,FALSE),"")</f>
        <v/>
      </c>
      <c r="G172" s="11">
        <f>'Pairings NB'!$M$766</f>
        <v/>
      </c>
      <c r="H172" s="11">
        <f>IFERROR(VLOOKUP('Pairings NB'!$M$766,Instructores!$A:$D,4,FALSE),"")</f>
        <v/>
      </c>
      <c r="I172" s="11">
        <f>'Pairings NB'!$O$766</f>
        <v/>
      </c>
      <c r="J172" s="11">
        <f>'Pairings NB'!J766</f>
        <v/>
      </c>
      <c r="K172" s="11">
        <f>IFERROR(VLOOKUP('Pairings NB'!$M$766,Instructores!$A:$D,3,FALSE),"")</f>
        <v/>
      </c>
      <c r="L172" s="11">
        <f>IF('Pairings NB'!J766=320,4,3)</f>
        <v/>
      </c>
      <c r="M172" s="11">
        <f>'Pairings NB'!$N$766</f>
        <v/>
      </c>
    </row>
    <row r="173">
      <c r="A173" s="11">
        <f>'Pairings NB'!B771</f>
        <v/>
      </c>
      <c r="B173" s="11">
        <f>'Pairings NB'!C771</f>
        <v/>
      </c>
      <c r="C173" s="11">
        <f>'Pairings NB'!D771</f>
        <v/>
      </c>
      <c r="D173" s="11">
        <f>'Pairings NB'!E771&amp;"/"&amp;'Pairings NB'!E772</f>
        <v/>
      </c>
      <c r="E173" s="11">
        <f>'Pairings NB'!F771&amp;"-"&amp;'Pairings NB'!G771&amp;"-"&amp;'Pairings NB'!F771</f>
        <v/>
      </c>
      <c r="F173" s="11">
        <f>IFERROR(VLOOKUP('Pairings NB'!$M$771,Instructores!$A:$D,2,FALSE),"")</f>
        <v/>
      </c>
      <c r="G173" s="11">
        <f>'Pairings NB'!$M$771</f>
        <v/>
      </c>
      <c r="H173" s="11">
        <f>IFERROR(VLOOKUP('Pairings NB'!$M$771,Instructores!$A:$D,4,FALSE),"")</f>
        <v/>
      </c>
      <c r="I173" s="11">
        <f>'Pairings NB'!$O$771</f>
        <v/>
      </c>
      <c r="J173" s="11">
        <f>'Pairings NB'!J771</f>
        <v/>
      </c>
      <c r="K173" s="11">
        <f>IFERROR(VLOOKUP('Pairings NB'!$M$771,Instructores!$A:$D,3,FALSE),"")</f>
        <v/>
      </c>
      <c r="L173" s="11">
        <f>IF('Pairings NB'!J771=320,4,3)</f>
        <v/>
      </c>
      <c r="M173" s="11">
        <f>'Pairings NB'!$N$771</f>
        <v/>
      </c>
    </row>
    <row r="174">
      <c r="A174" s="11">
        <f>'Pairings NB'!B773</f>
        <v/>
      </c>
      <c r="B174" s="11">
        <f>'Pairings NB'!C773</f>
        <v/>
      </c>
      <c r="C174" s="11">
        <f>'Pairings NB'!D773</f>
        <v/>
      </c>
      <c r="D174" s="11">
        <f>'Pairings NB'!E773&amp;"/"&amp;'Pairings NB'!E774</f>
        <v/>
      </c>
      <c r="E174" s="11">
        <f>'Pairings NB'!F773&amp;"-"&amp;'Pairings NB'!G773&amp;"-"&amp;'Pairings NB'!F773</f>
        <v/>
      </c>
      <c r="F174" s="11">
        <f>IFERROR(VLOOKUP('Pairings NB'!$M$771,Instructores!$A:$D,2,FALSE),"")</f>
        <v/>
      </c>
      <c r="G174" s="11">
        <f>'Pairings NB'!$M$771</f>
        <v/>
      </c>
      <c r="H174" s="11">
        <f>IFERROR(VLOOKUP('Pairings NB'!$M$771,Instructores!$A:$D,4,FALSE),"")</f>
        <v/>
      </c>
      <c r="I174" s="11">
        <f>'Pairings NB'!$O$771</f>
        <v/>
      </c>
      <c r="J174" s="11">
        <f>'Pairings NB'!J773</f>
        <v/>
      </c>
      <c r="K174" s="11">
        <f>IFERROR(VLOOKUP('Pairings NB'!$M$771,Instructores!$A:$D,3,FALSE),"")</f>
        <v/>
      </c>
      <c r="L174" s="11">
        <f>IF('Pairings NB'!J773=320,4,3)</f>
        <v/>
      </c>
      <c r="M174" s="11">
        <f>'Pairings NB'!$N$771</f>
        <v/>
      </c>
    </row>
    <row r="175">
      <c r="A175" s="11">
        <f>'Pairings NB'!B778</f>
        <v/>
      </c>
      <c r="B175" s="11">
        <f>'Pairings NB'!C778</f>
        <v/>
      </c>
      <c r="C175" s="11">
        <f>'Pairings NB'!D778</f>
        <v/>
      </c>
      <c r="D175" s="11">
        <f>'Pairings NB'!E778&amp;"/"&amp;'Pairings NB'!E779</f>
        <v/>
      </c>
      <c r="E175" s="11">
        <f>'Pairings NB'!F778&amp;"-"&amp;'Pairings NB'!G778&amp;"-"&amp;'Pairings NB'!F778</f>
        <v/>
      </c>
      <c r="F175" s="11">
        <f>IFERROR(VLOOKUP('Pairings NB'!$M$778,Instructores!$A:$D,2,FALSE),"")</f>
        <v/>
      </c>
      <c r="G175" s="11">
        <f>'Pairings NB'!$M$778</f>
        <v/>
      </c>
      <c r="H175" s="11">
        <f>IFERROR(VLOOKUP('Pairings NB'!$M$778,Instructores!$A:$D,4,FALSE),"")</f>
        <v/>
      </c>
      <c r="I175" s="11">
        <f>'Pairings NB'!$O$778</f>
        <v/>
      </c>
      <c r="J175" s="11">
        <f>'Pairings NB'!J778</f>
        <v/>
      </c>
      <c r="K175" s="11">
        <f>IFERROR(VLOOKUP('Pairings NB'!$M$778,Instructores!$A:$D,3,FALSE),"")</f>
        <v/>
      </c>
      <c r="L175" s="11">
        <f>IF('Pairings NB'!J778=320,4,3)</f>
        <v/>
      </c>
      <c r="M175" s="11">
        <f>'Pairings NB'!$N$778</f>
        <v/>
      </c>
    </row>
    <row r="176">
      <c r="A176" s="11">
        <f>'Pairings NB'!B783</f>
        <v/>
      </c>
      <c r="B176" s="11">
        <f>'Pairings NB'!C783</f>
        <v/>
      </c>
      <c r="C176" s="11">
        <f>'Pairings NB'!D783</f>
        <v/>
      </c>
      <c r="D176" s="11">
        <f>'Pairings NB'!E783&amp;"/"&amp;'Pairings NB'!E784</f>
        <v/>
      </c>
      <c r="E176" s="11">
        <f>'Pairings NB'!F783&amp;"-"&amp;'Pairings NB'!G783&amp;"-"&amp;'Pairings NB'!F783</f>
        <v/>
      </c>
      <c r="F176" s="11">
        <f>IFERROR(VLOOKUP('Pairings NB'!$M$783,Instructores!$A:$D,2,FALSE),"")</f>
        <v/>
      </c>
      <c r="G176" s="11">
        <f>'Pairings NB'!$M$783</f>
        <v/>
      </c>
      <c r="H176" s="11">
        <f>IFERROR(VLOOKUP('Pairings NB'!$M$783,Instructores!$A:$D,4,FALSE),"")</f>
        <v/>
      </c>
      <c r="I176" s="11">
        <f>'Pairings NB'!$O$783</f>
        <v/>
      </c>
      <c r="J176" s="11">
        <f>'Pairings NB'!J783</f>
        <v/>
      </c>
      <c r="K176" s="11">
        <f>IFERROR(VLOOKUP('Pairings NB'!$M$783,Instructores!$A:$D,3,FALSE),"")</f>
        <v/>
      </c>
      <c r="L176" s="11">
        <f>IF('Pairings NB'!J783=320,4,3)</f>
        <v/>
      </c>
      <c r="M176" s="11">
        <f>'Pairings NB'!$N$783</f>
        <v/>
      </c>
    </row>
    <row r="177">
      <c r="A177" s="11">
        <f>'Pairings NB'!B788</f>
        <v/>
      </c>
      <c r="B177" s="11">
        <f>'Pairings NB'!C788</f>
        <v/>
      </c>
      <c r="C177" s="11">
        <f>'Pairings NB'!D788</f>
        <v/>
      </c>
      <c r="D177" s="11">
        <f>'Pairings NB'!E788&amp;"/"&amp;'Pairings NB'!E789</f>
        <v/>
      </c>
      <c r="E177" s="11">
        <f>'Pairings NB'!F788&amp;"-"&amp;'Pairings NB'!G788&amp;"-"&amp;'Pairings NB'!F788</f>
        <v/>
      </c>
      <c r="F177" s="11">
        <f>IFERROR(VLOOKUP('Pairings NB'!$M$788,Instructores!$A:$D,2,FALSE),"")</f>
        <v/>
      </c>
      <c r="G177" s="11">
        <f>'Pairings NB'!$M$788</f>
        <v/>
      </c>
      <c r="H177" s="11">
        <f>IFERROR(VLOOKUP('Pairings NB'!$M$788,Instructores!$A:$D,4,FALSE),"")</f>
        <v/>
      </c>
      <c r="I177" s="11">
        <f>'Pairings NB'!$O$788</f>
        <v/>
      </c>
      <c r="J177" s="11">
        <f>'Pairings NB'!J788</f>
        <v/>
      </c>
      <c r="K177" s="11">
        <f>IFERROR(VLOOKUP('Pairings NB'!$M$788,Instructores!$A:$D,3,FALSE),"")</f>
        <v/>
      </c>
      <c r="L177" s="11">
        <f>IF('Pairings NB'!J788=320,4,3)</f>
        <v/>
      </c>
      <c r="M177" s="11">
        <f>'Pairings NB'!$N$788</f>
        <v/>
      </c>
    </row>
    <row r="178">
      <c r="A178" s="11">
        <f>'Pairings NB'!B793</f>
        <v/>
      </c>
      <c r="B178" s="11">
        <f>'Pairings NB'!C793</f>
        <v/>
      </c>
      <c r="C178" s="11">
        <f>'Pairings NB'!D793</f>
        <v/>
      </c>
      <c r="D178" s="11">
        <f>'Pairings NB'!E793&amp;"/"&amp;'Pairings NB'!E794</f>
        <v/>
      </c>
      <c r="E178" s="11">
        <f>'Pairings NB'!F793&amp;"-"&amp;'Pairings NB'!G793&amp;"-"&amp;'Pairings NB'!F793</f>
        <v/>
      </c>
      <c r="F178" s="11">
        <f>IFERROR(VLOOKUP('Pairings NB'!$M$793,Instructores!$A:$D,2,FALSE),"")</f>
        <v/>
      </c>
      <c r="G178" s="11">
        <f>'Pairings NB'!$M$793</f>
        <v/>
      </c>
      <c r="H178" s="11">
        <f>IFERROR(VLOOKUP('Pairings NB'!$M$793,Instructores!$A:$D,4,FALSE),"")</f>
        <v/>
      </c>
      <c r="I178" s="11">
        <f>'Pairings NB'!$O$793</f>
        <v/>
      </c>
      <c r="J178" s="11">
        <f>'Pairings NB'!J793</f>
        <v/>
      </c>
      <c r="K178" s="11">
        <f>IFERROR(VLOOKUP('Pairings NB'!$M$793,Instructores!$A:$D,3,FALSE),"")</f>
        <v/>
      </c>
      <c r="L178" s="11">
        <f>IF('Pairings NB'!J793=320,4,3)</f>
        <v/>
      </c>
      <c r="M178" s="11">
        <f>'Pairings NB'!$N$793</f>
        <v/>
      </c>
    </row>
    <row r="179">
      <c r="A179" s="11">
        <f>'Pairings NB'!B798</f>
        <v/>
      </c>
      <c r="B179" s="11">
        <f>'Pairings NB'!C798</f>
        <v/>
      </c>
      <c r="C179" s="11">
        <f>'Pairings NB'!D798</f>
        <v/>
      </c>
      <c r="D179" s="11">
        <f>'Pairings NB'!E798&amp;"/"&amp;'Pairings NB'!E799</f>
        <v/>
      </c>
      <c r="E179" s="11">
        <f>'Pairings NB'!F798&amp;"-"&amp;'Pairings NB'!G798&amp;"-"&amp;'Pairings NB'!F798</f>
        <v/>
      </c>
      <c r="F179" s="11">
        <f>IFERROR(VLOOKUP('Pairings NB'!$M$798,Instructores!$A:$D,2,FALSE),"")</f>
        <v/>
      </c>
      <c r="G179" s="11">
        <f>'Pairings NB'!$M$798</f>
        <v/>
      </c>
      <c r="H179" s="11">
        <f>IFERROR(VLOOKUP('Pairings NB'!$M$798,Instructores!$A:$D,4,FALSE),"")</f>
        <v/>
      </c>
      <c r="I179" s="11">
        <f>'Pairings NB'!$O$798</f>
        <v/>
      </c>
      <c r="J179" s="11">
        <f>'Pairings NB'!J798</f>
        <v/>
      </c>
      <c r="K179" s="11">
        <f>IFERROR(VLOOKUP('Pairings NB'!$M$798,Instructores!$A:$D,3,FALSE),"")</f>
        <v/>
      </c>
      <c r="L179" s="11">
        <f>IF('Pairings NB'!J798=320,4,3)</f>
        <v/>
      </c>
      <c r="M179" s="11">
        <f>'Pairings NB'!$N$798</f>
        <v/>
      </c>
    </row>
    <row r="180">
      <c r="A180" s="11">
        <f>'Pairings NB'!B803</f>
        <v/>
      </c>
      <c r="B180" s="11">
        <f>'Pairings NB'!C803</f>
        <v/>
      </c>
      <c r="C180" s="11">
        <f>'Pairings NB'!D803</f>
        <v/>
      </c>
      <c r="D180" s="11">
        <f>'Pairings NB'!E803&amp;"/"&amp;'Pairings NB'!E804</f>
        <v/>
      </c>
      <c r="E180" s="11">
        <f>'Pairings NB'!F803&amp;"-"&amp;'Pairings NB'!G803&amp;"-"&amp;'Pairings NB'!F803</f>
        <v/>
      </c>
      <c r="F180" s="11">
        <f>IFERROR(VLOOKUP('Pairings NB'!$M$803,Instructores!$A:$D,2,FALSE),"")</f>
        <v/>
      </c>
      <c r="G180" s="11">
        <f>'Pairings NB'!$M$803</f>
        <v/>
      </c>
      <c r="H180" s="11">
        <f>IFERROR(VLOOKUP('Pairings NB'!$M$803,Instructores!$A:$D,4,FALSE),"")</f>
        <v/>
      </c>
      <c r="I180" s="11">
        <f>'Pairings NB'!$O$803</f>
        <v/>
      </c>
      <c r="J180" s="11">
        <f>'Pairings NB'!J803</f>
        <v/>
      </c>
      <c r="K180" s="11">
        <f>IFERROR(VLOOKUP('Pairings NB'!$M$803,Instructores!$A:$D,3,FALSE),"")</f>
        <v/>
      </c>
      <c r="L180" s="11">
        <f>IF('Pairings NB'!J803=320,4,3)</f>
        <v/>
      </c>
      <c r="M180" s="11">
        <f>'Pairings NB'!$N$803</f>
        <v/>
      </c>
    </row>
    <row r="181">
      <c r="A181" s="11">
        <f>'Pairings NB'!B808</f>
        <v/>
      </c>
      <c r="B181" s="11">
        <f>'Pairings NB'!C808</f>
        <v/>
      </c>
      <c r="C181" s="11">
        <f>'Pairings NB'!D808</f>
        <v/>
      </c>
      <c r="D181" s="11">
        <f>'Pairings NB'!E808&amp;"/"&amp;'Pairings NB'!E809</f>
        <v/>
      </c>
      <c r="E181" s="11">
        <f>'Pairings NB'!F808&amp;"-"&amp;'Pairings NB'!G808&amp;"-"&amp;'Pairings NB'!F808</f>
        <v/>
      </c>
      <c r="F181" s="11">
        <f>IFERROR(VLOOKUP('Pairings NB'!$M$808,Instructores!$A:$D,2,FALSE),"")</f>
        <v/>
      </c>
      <c r="G181" s="11">
        <f>'Pairings NB'!$M$808</f>
        <v/>
      </c>
      <c r="H181" s="11">
        <f>IFERROR(VLOOKUP('Pairings NB'!$M$808,Instructores!$A:$D,4,FALSE),"")</f>
        <v/>
      </c>
      <c r="I181" s="11">
        <f>'Pairings NB'!$O$808</f>
        <v/>
      </c>
      <c r="J181" s="11">
        <f>'Pairings NB'!J808</f>
        <v/>
      </c>
      <c r="K181" s="11">
        <f>IFERROR(VLOOKUP('Pairings NB'!$M$808,Instructores!$A:$D,3,FALSE),"")</f>
        <v/>
      </c>
      <c r="L181" s="11">
        <f>IF('Pairings NB'!J808=320,4,3)</f>
        <v/>
      </c>
      <c r="M181" s="11">
        <f>'Pairings NB'!$N$808</f>
        <v/>
      </c>
    </row>
    <row r="182">
      <c r="A182" s="11">
        <f>'Pairings NB'!B813</f>
        <v/>
      </c>
      <c r="B182" s="11">
        <f>'Pairings NB'!C813</f>
        <v/>
      </c>
      <c r="C182" s="11">
        <f>'Pairings NB'!D813</f>
        <v/>
      </c>
      <c r="D182" s="11">
        <f>'Pairings NB'!E813&amp;"/"&amp;'Pairings NB'!E814</f>
        <v/>
      </c>
      <c r="E182" s="11">
        <f>'Pairings NB'!F813&amp;"-"&amp;'Pairings NB'!G813&amp;"-"&amp;'Pairings NB'!F813</f>
        <v/>
      </c>
      <c r="F182" s="11">
        <f>IFERROR(VLOOKUP('Pairings NB'!$M$813,Instructores!$A:$D,2,FALSE),"")</f>
        <v/>
      </c>
      <c r="G182" s="11">
        <f>'Pairings NB'!$M$813</f>
        <v/>
      </c>
      <c r="H182" s="11">
        <f>IFERROR(VLOOKUP('Pairings NB'!$M$813,Instructores!$A:$D,4,FALSE),"")</f>
        <v/>
      </c>
      <c r="I182" s="11">
        <f>'Pairings NB'!$O$813</f>
        <v/>
      </c>
      <c r="J182" s="11">
        <f>'Pairings NB'!J813</f>
        <v/>
      </c>
      <c r="K182" s="11">
        <f>IFERROR(VLOOKUP('Pairings NB'!$M$813,Instructores!$A:$D,3,FALSE),"")</f>
        <v/>
      </c>
      <c r="L182" s="11">
        <f>IF('Pairings NB'!J813=320,4,3)</f>
        <v/>
      </c>
      <c r="M182" s="11">
        <f>'Pairings NB'!$N$813</f>
        <v/>
      </c>
    </row>
    <row r="183">
      <c r="A183" s="11">
        <f>'Pairings NB'!B818</f>
        <v/>
      </c>
      <c r="B183" s="11">
        <f>'Pairings NB'!C818</f>
        <v/>
      </c>
      <c r="C183" s="11">
        <f>'Pairings NB'!D818</f>
        <v/>
      </c>
      <c r="D183" s="11">
        <f>'Pairings NB'!E818&amp;"/"&amp;'Pairings NB'!E819</f>
        <v/>
      </c>
      <c r="E183" s="11">
        <f>'Pairings NB'!F818&amp;"-"&amp;'Pairings NB'!G818&amp;"-"&amp;'Pairings NB'!F818</f>
        <v/>
      </c>
      <c r="F183" s="11">
        <f>IFERROR(VLOOKUP('Pairings NB'!$M$818,Instructores!$A:$D,2,FALSE),"")</f>
        <v/>
      </c>
      <c r="G183" s="11">
        <f>'Pairings NB'!$M$818</f>
        <v/>
      </c>
      <c r="H183" s="11">
        <f>IFERROR(VLOOKUP('Pairings NB'!$M$818,Instructores!$A:$D,4,FALSE),"")</f>
        <v/>
      </c>
      <c r="I183" s="11">
        <f>'Pairings NB'!$O$818</f>
        <v/>
      </c>
      <c r="J183" s="11">
        <f>'Pairings NB'!J818</f>
        <v/>
      </c>
      <c r="K183" s="11">
        <f>IFERROR(VLOOKUP('Pairings NB'!$M$818,Instructores!$A:$D,3,FALSE),"")</f>
        <v/>
      </c>
      <c r="L183" s="11">
        <f>IF('Pairings NB'!J818=320,4,3)</f>
        <v/>
      </c>
      <c r="M183" s="11">
        <f>'Pairings NB'!$N$818</f>
        <v/>
      </c>
    </row>
    <row r="184">
      <c r="A184" s="11">
        <f>'Pairings NB'!B823</f>
        <v/>
      </c>
      <c r="B184" s="11">
        <f>'Pairings NB'!C823</f>
        <v/>
      </c>
      <c r="C184" s="11">
        <f>'Pairings NB'!D823</f>
        <v/>
      </c>
      <c r="D184" s="11">
        <f>'Pairings NB'!E823&amp;"/"&amp;'Pairings NB'!E824</f>
        <v/>
      </c>
      <c r="E184" s="11">
        <f>'Pairings NB'!F823&amp;"-"&amp;'Pairings NB'!G823&amp;"-"&amp;'Pairings NB'!F823</f>
        <v/>
      </c>
      <c r="F184" s="11">
        <f>IFERROR(VLOOKUP('Pairings NB'!$M$823,Instructores!$A:$D,2,FALSE),"")</f>
        <v/>
      </c>
      <c r="G184" s="11">
        <f>'Pairings NB'!$M$823</f>
        <v/>
      </c>
      <c r="H184" s="11">
        <f>IFERROR(VLOOKUP('Pairings NB'!$M$823,Instructores!$A:$D,4,FALSE),"")</f>
        <v/>
      </c>
      <c r="I184" s="11">
        <f>'Pairings NB'!$O$823</f>
        <v/>
      </c>
      <c r="J184" s="11">
        <f>'Pairings NB'!J823</f>
        <v/>
      </c>
      <c r="K184" s="11">
        <f>IFERROR(VLOOKUP('Pairings NB'!$M$823,Instructores!$A:$D,3,FALSE),"")</f>
        <v/>
      </c>
      <c r="L184" s="11">
        <f>IF('Pairings NB'!J823=320,4,3)</f>
        <v/>
      </c>
      <c r="M184" s="11">
        <f>'Pairings NB'!$N$823</f>
        <v/>
      </c>
    </row>
    <row r="185">
      <c r="A185" s="11">
        <f>'Pairings NB'!B828</f>
        <v/>
      </c>
      <c r="B185" s="11">
        <f>'Pairings NB'!C828</f>
        <v/>
      </c>
      <c r="C185" s="11">
        <f>'Pairings NB'!D828</f>
        <v/>
      </c>
      <c r="D185" s="11">
        <f>'Pairings NB'!E828&amp;"/"&amp;'Pairings NB'!E829</f>
        <v/>
      </c>
      <c r="E185" s="11">
        <f>'Pairings NB'!F828&amp;"-"&amp;'Pairings NB'!G828&amp;"-"&amp;'Pairings NB'!F828</f>
        <v/>
      </c>
      <c r="F185" s="11">
        <f>IFERROR(VLOOKUP('Pairings NB'!$M$828,Instructores!$A:$D,2,FALSE),"")</f>
        <v/>
      </c>
      <c r="G185" s="11">
        <f>'Pairings NB'!$M$828</f>
        <v/>
      </c>
      <c r="H185" s="11">
        <f>IFERROR(VLOOKUP('Pairings NB'!$M$828,Instructores!$A:$D,4,FALSE),"")</f>
        <v/>
      </c>
      <c r="I185" s="11">
        <f>'Pairings NB'!$O$828</f>
        <v/>
      </c>
      <c r="J185" s="11">
        <f>'Pairings NB'!J828</f>
        <v/>
      </c>
      <c r="K185" s="11">
        <f>IFERROR(VLOOKUP('Pairings NB'!$M$828,Instructores!$A:$D,3,FALSE),"")</f>
        <v/>
      </c>
      <c r="L185" s="11">
        <f>IF('Pairings NB'!J828=320,4,3)</f>
        <v/>
      </c>
      <c r="M185" s="11">
        <f>'Pairings NB'!$N$828</f>
        <v/>
      </c>
    </row>
    <row r="186">
      <c r="A186" s="11">
        <f>'Pairings NB'!B833</f>
        <v/>
      </c>
      <c r="B186" s="11">
        <f>'Pairings NB'!C833</f>
        <v/>
      </c>
      <c r="C186" s="11">
        <f>'Pairings NB'!D833</f>
        <v/>
      </c>
      <c r="D186" s="11">
        <f>'Pairings NB'!E833&amp;"/"&amp;'Pairings NB'!E834</f>
        <v/>
      </c>
      <c r="E186" s="11">
        <f>'Pairings NB'!F833&amp;"-"&amp;'Pairings NB'!G833&amp;"-"&amp;'Pairings NB'!F833</f>
        <v/>
      </c>
      <c r="F186" s="11">
        <f>IFERROR(VLOOKUP('Pairings NB'!$M$833,Instructores!$A:$D,2,FALSE),"")</f>
        <v/>
      </c>
      <c r="G186" s="11">
        <f>'Pairings NB'!$M$833</f>
        <v/>
      </c>
      <c r="H186" s="11">
        <f>IFERROR(VLOOKUP('Pairings NB'!$M$833,Instructores!$A:$D,4,FALSE),"")</f>
        <v/>
      </c>
      <c r="I186" s="11">
        <f>'Pairings NB'!$O$833</f>
        <v/>
      </c>
      <c r="J186" s="11">
        <f>'Pairings NB'!J833</f>
        <v/>
      </c>
      <c r="K186" s="11">
        <f>IFERROR(VLOOKUP('Pairings NB'!$M$833,Instructores!$A:$D,3,FALSE),"")</f>
        <v/>
      </c>
      <c r="L186" s="11">
        <f>IF('Pairings NB'!J833=320,4,3)</f>
        <v/>
      </c>
      <c r="M186" s="11">
        <f>'Pairings NB'!$N$833</f>
        <v/>
      </c>
    </row>
    <row r="187">
      <c r="A187" s="11">
        <f>'Pairings NB'!B838</f>
        <v/>
      </c>
      <c r="B187" s="11">
        <f>'Pairings NB'!C838</f>
        <v/>
      </c>
      <c r="C187" s="11">
        <f>'Pairings NB'!D838</f>
        <v/>
      </c>
      <c r="D187" s="11">
        <f>'Pairings NB'!E838&amp;"/"&amp;'Pairings NB'!E839</f>
        <v/>
      </c>
      <c r="E187" s="11">
        <f>'Pairings NB'!F838&amp;"-"&amp;'Pairings NB'!G838&amp;"-"&amp;'Pairings NB'!F838</f>
        <v/>
      </c>
      <c r="F187" s="11">
        <f>IFERROR(VLOOKUP('Pairings NB'!$M$838,Instructores!$A:$D,2,FALSE),"")</f>
        <v/>
      </c>
      <c r="G187" s="11">
        <f>'Pairings NB'!$M$838</f>
        <v/>
      </c>
      <c r="H187" s="11">
        <f>IFERROR(VLOOKUP('Pairings NB'!$M$838,Instructores!$A:$D,4,FALSE),"")</f>
        <v/>
      </c>
      <c r="I187" s="11">
        <f>'Pairings NB'!$O$838</f>
        <v/>
      </c>
      <c r="J187" s="11">
        <f>'Pairings NB'!J838</f>
        <v/>
      </c>
      <c r="K187" s="11">
        <f>IFERROR(VLOOKUP('Pairings NB'!$M$838,Instructores!$A:$D,3,FALSE),"")</f>
        <v/>
      </c>
      <c r="L187" s="11">
        <f>IF('Pairings NB'!J838=320,4,3)</f>
        <v/>
      </c>
      <c r="M187" s="11">
        <f>'Pairings NB'!$N$838</f>
        <v/>
      </c>
    </row>
    <row r="188">
      <c r="A188" s="11">
        <f>'Pairings NB'!B840</f>
        <v/>
      </c>
      <c r="B188" s="11">
        <f>'Pairings NB'!C840</f>
        <v/>
      </c>
      <c r="C188" s="11">
        <f>'Pairings NB'!D840</f>
        <v/>
      </c>
      <c r="D188" s="11">
        <f>'Pairings NB'!E840&amp;"/"&amp;'Pairings NB'!E841</f>
        <v/>
      </c>
      <c r="E188" s="11">
        <f>'Pairings NB'!F840&amp;"-"&amp;'Pairings NB'!G840&amp;"-"&amp;'Pairings NB'!F840</f>
        <v/>
      </c>
      <c r="F188" s="11">
        <f>IFERROR(VLOOKUP('Pairings NB'!$M$838,Instructores!$A:$D,2,FALSE),"")</f>
        <v/>
      </c>
      <c r="G188" s="11">
        <f>'Pairings NB'!$M$838</f>
        <v/>
      </c>
      <c r="H188" s="11">
        <f>IFERROR(VLOOKUP('Pairings NB'!$M$838,Instructores!$A:$D,4,FALSE),"")</f>
        <v/>
      </c>
      <c r="I188" s="11">
        <f>'Pairings NB'!$O$838</f>
        <v/>
      </c>
      <c r="J188" s="11">
        <f>'Pairings NB'!J840</f>
        <v/>
      </c>
      <c r="K188" s="11">
        <f>IFERROR(VLOOKUP('Pairings NB'!$M$838,Instructores!$A:$D,3,FALSE),"")</f>
        <v/>
      </c>
      <c r="L188" s="11">
        <f>IF('Pairings NB'!J840=320,4,3)</f>
        <v/>
      </c>
      <c r="M188" s="11">
        <f>'Pairings NB'!$N$838</f>
        <v/>
      </c>
    </row>
    <row r="189">
      <c r="A189" s="11">
        <f>'Pairings NB'!B845</f>
        <v/>
      </c>
      <c r="B189" s="11">
        <f>'Pairings NB'!C845</f>
        <v/>
      </c>
      <c r="C189" s="11">
        <f>'Pairings NB'!D845</f>
        <v/>
      </c>
      <c r="D189" s="11">
        <f>'Pairings NB'!E845&amp;"/"&amp;'Pairings NB'!E846</f>
        <v/>
      </c>
      <c r="E189" s="11">
        <f>'Pairings NB'!F845&amp;"-"&amp;'Pairings NB'!G845&amp;"-"&amp;'Pairings NB'!F845</f>
        <v/>
      </c>
      <c r="F189" s="11">
        <f>IFERROR(VLOOKUP('Pairings NB'!$M$845,Instructores!$A:$D,2,FALSE),"")</f>
        <v/>
      </c>
      <c r="G189" s="11">
        <f>'Pairings NB'!$M$845</f>
        <v/>
      </c>
      <c r="H189" s="11">
        <f>IFERROR(VLOOKUP('Pairings NB'!$M$845,Instructores!$A:$D,4,FALSE),"")</f>
        <v/>
      </c>
      <c r="I189" s="11">
        <f>'Pairings NB'!$O$845</f>
        <v/>
      </c>
      <c r="J189" s="11">
        <f>'Pairings NB'!J845</f>
        <v/>
      </c>
      <c r="K189" s="11">
        <f>IFERROR(VLOOKUP('Pairings NB'!$M$845,Instructores!$A:$D,3,FALSE),"")</f>
        <v/>
      </c>
      <c r="L189" s="11">
        <f>IF('Pairings NB'!J845=320,4,3)</f>
        <v/>
      </c>
      <c r="M189" s="11">
        <f>'Pairings NB'!$N$845</f>
        <v/>
      </c>
    </row>
    <row r="190">
      <c r="A190" s="11">
        <f>'Pairings NB'!B850</f>
        <v/>
      </c>
      <c r="B190" s="11">
        <f>'Pairings NB'!C850</f>
        <v/>
      </c>
      <c r="C190" s="11">
        <f>'Pairings NB'!D850</f>
        <v/>
      </c>
      <c r="D190" s="11">
        <f>'Pairings NB'!E850&amp;"/"&amp;'Pairings NB'!E851</f>
        <v/>
      </c>
      <c r="E190" s="11">
        <f>'Pairings NB'!F850&amp;"-"&amp;'Pairings NB'!G850&amp;"-"&amp;'Pairings NB'!F850</f>
        <v/>
      </c>
      <c r="F190" s="11">
        <f>IFERROR(VLOOKUP('Pairings NB'!$M$850,Instructores!$A:$D,2,FALSE),"")</f>
        <v/>
      </c>
      <c r="G190" s="11">
        <f>'Pairings NB'!$M$850</f>
        <v/>
      </c>
      <c r="H190" s="11">
        <f>IFERROR(VLOOKUP('Pairings NB'!$M$850,Instructores!$A:$D,4,FALSE),"")</f>
        <v/>
      </c>
      <c r="I190" s="11">
        <f>'Pairings NB'!$O$850</f>
        <v/>
      </c>
      <c r="J190" s="11">
        <f>'Pairings NB'!J850</f>
        <v/>
      </c>
      <c r="K190" s="11">
        <f>IFERROR(VLOOKUP('Pairings NB'!$M$850,Instructores!$A:$D,3,FALSE),"")</f>
        <v/>
      </c>
      <c r="L190" s="11">
        <f>IF('Pairings NB'!J850=320,4,3)</f>
        <v/>
      </c>
      <c r="M190" s="11">
        <f>'Pairings NB'!$N$850</f>
        <v/>
      </c>
    </row>
    <row r="191">
      <c r="A191" s="11">
        <f>'Pairings NB'!B852</f>
        <v/>
      </c>
      <c r="B191" s="11">
        <f>'Pairings NB'!C852</f>
        <v/>
      </c>
      <c r="C191" s="11">
        <f>'Pairings NB'!D852</f>
        <v/>
      </c>
      <c r="D191" s="11">
        <f>'Pairings NB'!E852&amp;"/"&amp;'Pairings NB'!E853</f>
        <v/>
      </c>
      <c r="E191" s="11">
        <f>'Pairings NB'!F852&amp;"-"&amp;'Pairings NB'!G852&amp;"-"&amp;'Pairings NB'!F852</f>
        <v/>
      </c>
      <c r="F191" s="11">
        <f>IFERROR(VLOOKUP('Pairings NB'!$M$850,Instructores!$A:$D,2,FALSE),"")</f>
        <v/>
      </c>
      <c r="G191" s="11">
        <f>'Pairings NB'!$M$850</f>
        <v/>
      </c>
      <c r="H191" s="11">
        <f>IFERROR(VLOOKUP('Pairings NB'!$M$850,Instructores!$A:$D,4,FALSE),"")</f>
        <v/>
      </c>
      <c r="I191" s="11">
        <f>'Pairings NB'!$O$850</f>
        <v/>
      </c>
      <c r="J191" s="11">
        <f>'Pairings NB'!J852</f>
        <v/>
      </c>
      <c r="K191" s="11">
        <f>IFERROR(VLOOKUP('Pairings NB'!$M$850,Instructores!$A:$D,3,FALSE),"")</f>
        <v/>
      </c>
      <c r="L191" s="11">
        <f>IF('Pairings NB'!J852=320,4,3)</f>
        <v/>
      </c>
      <c r="M191" s="11">
        <f>'Pairings NB'!$N$850</f>
        <v/>
      </c>
    </row>
    <row r="192">
      <c r="A192" s="11">
        <f>'Pairings NB'!B857</f>
        <v/>
      </c>
      <c r="B192" s="11">
        <f>'Pairings NB'!C857</f>
        <v/>
      </c>
      <c r="C192" s="11">
        <f>'Pairings NB'!D857</f>
        <v/>
      </c>
      <c r="D192" s="11">
        <f>'Pairings NB'!E857&amp;"/"&amp;'Pairings NB'!E858</f>
        <v/>
      </c>
      <c r="E192" s="11">
        <f>'Pairings NB'!F857&amp;"-"&amp;'Pairings NB'!G857&amp;"-"&amp;'Pairings NB'!F857</f>
        <v/>
      </c>
      <c r="F192" s="11">
        <f>IFERROR(VLOOKUP('Pairings NB'!$M$857,Instructores!$A:$D,2,FALSE),"")</f>
        <v/>
      </c>
      <c r="G192" s="11">
        <f>'Pairings NB'!$M$857</f>
        <v/>
      </c>
      <c r="H192" s="11">
        <f>IFERROR(VLOOKUP('Pairings NB'!$M$857,Instructores!$A:$D,4,FALSE),"")</f>
        <v/>
      </c>
      <c r="I192" s="11">
        <f>'Pairings NB'!$O$857</f>
        <v/>
      </c>
      <c r="J192" s="11">
        <f>'Pairings NB'!J857</f>
        <v/>
      </c>
      <c r="K192" s="11">
        <f>IFERROR(VLOOKUP('Pairings NB'!$M$857,Instructores!$A:$D,3,FALSE),"")</f>
        <v/>
      </c>
      <c r="L192" s="11">
        <f>IF('Pairings NB'!J857=320,4,3)</f>
        <v/>
      </c>
      <c r="M192" s="11">
        <f>'Pairings NB'!$N$857</f>
        <v/>
      </c>
    </row>
    <row r="193">
      <c r="A193" s="11">
        <f>'Pairings NB'!B862</f>
        <v/>
      </c>
      <c r="B193" s="11">
        <f>'Pairings NB'!C862</f>
        <v/>
      </c>
      <c r="C193" s="11">
        <f>'Pairings NB'!D862</f>
        <v/>
      </c>
      <c r="D193" s="11">
        <f>'Pairings NB'!E862&amp;"/"&amp;'Pairings NB'!E863</f>
        <v/>
      </c>
      <c r="E193" s="11">
        <f>'Pairings NB'!F862&amp;"-"&amp;'Pairings NB'!G862&amp;"-"&amp;'Pairings NB'!F862</f>
        <v/>
      </c>
      <c r="F193" s="11">
        <f>IFERROR(VLOOKUP('Pairings NB'!$M$862,Instructores!$A:$D,2,FALSE),"")</f>
        <v/>
      </c>
      <c r="G193" s="11">
        <f>'Pairings NB'!$M$862</f>
        <v/>
      </c>
      <c r="H193" s="11">
        <f>IFERROR(VLOOKUP('Pairings NB'!$M$862,Instructores!$A:$D,4,FALSE),"")</f>
        <v/>
      </c>
      <c r="I193" s="11">
        <f>'Pairings NB'!$O$862</f>
        <v/>
      </c>
      <c r="J193" s="11">
        <f>'Pairings NB'!J862</f>
        <v/>
      </c>
      <c r="K193" s="11">
        <f>IFERROR(VLOOKUP('Pairings NB'!$M$862,Instructores!$A:$D,3,FALSE),"")</f>
        <v/>
      </c>
      <c r="L193" s="11">
        <f>IF('Pairings NB'!J862=320,4,3)</f>
        <v/>
      </c>
      <c r="M193" s="11">
        <f>'Pairings NB'!$N$862</f>
        <v/>
      </c>
    </row>
    <row r="194">
      <c r="A194" s="11">
        <f>'Pairings NB'!B864</f>
        <v/>
      </c>
      <c r="B194" s="11">
        <f>'Pairings NB'!C864</f>
        <v/>
      </c>
      <c r="C194" s="11">
        <f>'Pairings NB'!D864</f>
        <v/>
      </c>
      <c r="D194" s="11">
        <f>'Pairings NB'!E864&amp;"/"&amp;'Pairings NB'!E865</f>
        <v/>
      </c>
      <c r="E194" s="11">
        <f>'Pairings NB'!F864&amp;"-"&amp;'Pairings NB'!G864&amp;"-"&amp;'Pairings NB'!F864</f>
        <v/>
      </c>
      <c r="F194" s="11">
        <f>IFERROR(VLOOKUP('Pairings NB'!$M$862,Instructores!$A:$D,2,FALSE),"")</f>
        <v/>
      </c>
      <c r="G194" s="11">
        <f>'Pairings NB'!$M$862</f>
        <v/>
      </c>
      <c r="H194" s="11">
        <f>IFERROR(VLOOKUP('Pairings NB'!$M$862,Instructores!$A:$D,4,FALSE),"")</f>
        <v/>
      </c>
      <c r="I194" s="11">
        <f>'Pairings NB'!$O$862</f>
        <v/>
      </c>
      <c r="J194" s="11">
        <f>'Pairings NB'!J864</f>
        <v/>
      </c>
      <c r="K194" s="11">
        <f>IFERROR(VLOOKUP('Pairings NB'!$M$862,Instructores!$A:$D,3,FALSE),"")</f>
        <v/>
      </c>
      <c r="L194" s="11">
        <f>IF('Pairings NB'!J864=320,4,3)</f>
        <v/>
      </c>
      <c r="M194" s="11">
        <f>'Pairings NB'!$N$862</f>
        <v/>
      </c>
    </row>
    <row r="195">
      <c r="A195" s="11">
        <f>'Pairings NB'!B869</f>
        <v/>
      </c>
      <c r="B195" s="11">
        <f>'Pairings NB'!C869</f>
        <v/>
      </c>
      <c r="C195" s="11">
        <f>'Pairings NB'!D869</f>
        <v/>
      </c>
      <c r="D195" s="11">
        <f>'Pairings NB'!E869&amp;"/"&amp;'Pairings NB'!E870</f>
        <v/>
      </c>
      <c r="E195" s="11">
        <f>'Pairings NB'!F869&amp;"-"&amp;'Pairings NB'!G869&amp;"-"&amp;'Pairings NB'!F869</f>
        <v/>
      </c>
      <c r="F195" s="11">
        <f>IFERROR(VLOOKUP('Pairings NB'!$M$869,Instructores!$A:$D,2,FALSE),"")</f>
        <v/>
      </c>
      <c r="G195" s="11">
        <f>'Pairings NB'!$M$869</f>
        <v/>
      </c>
      <c r="H195" s="11">
        <f>IFERROR(VLOOKUP('Pairings NB'!$M$869,Instructores!$A:$D,4,FALSE),"")</f>
        <v/>
      </c>
      <c r="I195" s="11">
        <f>'Pairings NB'!$O$869</f>
        <v/>
      </c>
      <c r="J195" s="11">
        <f>'Pairings NB'!J869</f>
        <v/>
      </c>
      <c r="K195" s="11">
        <f>IFERROR(VLOOKUP('Pairings NB'!$M$869,Instructores!$A:$D,3,FALSE),"")</f>
        <v/>
      </c>
      <c r="L195" s="11">
        <f>IF('Pairings NB'!J869=320,4,3)</f>
        <v/>
      </c>
      <c r="M195" s="11">
        <f>'Pairings NB'!$N$869</f>
        <v/>
      </c>
    </row>
    <row r="196">
      <c r="A196" s="11">
        <f>'Pairings NB'!B874</f>
        <v/>
      </c>
      <c r="B196" s="11">
        <f>'Pairings NB'!C874</f>
        <v/>
      </c>
      <c r="C196" s="11">
        <f>'Pairings NB'!D874</f>
        <v/>
      </c>
      <c r="D196" s="11">
        <f>'Pairings NB'!E874&amp;"/"&amp;'Pairings NB'!E875</f>
        <v/>
      </c>
      <c r="E196" s="11">
        <f>'Pairings NB'!F874&amp;"-"&amp;'Pairings NB'!G874&amp;"-"&amp;'Pairings NB'!F874</f>
        <v/>
      </c>
      <c r="F196" s="11">
        <f>IFERROR(VLOOKUP('Pairings NB'!$M$874,Instructores!$A:$D,2,FALSE),"")</f>
        <v/>
      </c>
      <c r="G196" s="11">
        <f>'Pairings NB'!$M$874</f>
        <v/>
      </c>
      <c r="H196" s="11">
        <f>IFERROR(VLOOKUP('Pairings NB'!$M$874,Instructores!$A:$D,4,FALSE),"")</f>
        <v/>
      </c>
      <c r="I196" s="11">
        <f>'Pairings NB'!$O$874</f>
        <v/>
      </c>
      <c r="J196" s="11">
        <f>'Pairings NB'!J874</f>
        <v/>
      </c>
      <c r="K196" s="11">
        <f>IFERROR(VLOOKUP('Pairings NB'!$M$874,Instructores!$A:$D,3,FALSE),"")</f>
        <v/>
      </c>
      <c r="L196" s="11">
        <f>IF('Pairings NB'!J874=320,4,3)</f>
        <v/>
      </c>
      <c r="M196" s="11">
        <f>'Pairings NB'!$N$874</f>
        <v/>
      </c>
    </row>
    <row r="197">
      <c r="A197" s="11">
        <f>'Pairings NB'!B879</f>
        <v/>
      </c>
      <c r="B197" s="11">
        <f>'Pairings NB'!C879</f>
        <v/>
      </c>
      <c r="C197" s="11">
        <f>'Pairings NB'!D879</f>
        <v/>
      </c>
      <c r="D197" s="11">
        <f>'Pairings NB'!E879&amp;"/"&amp;'Pairings NB'!E880</f>
        <v/>
      </c>
      <c r="E197" s="11">
        <f>'Pairings NB'!F879&amp;"-"&amp;'Pairings NB'!G879&amp;"-"&amp;'Pairings NB'!F879</f>
        <v/>
      </c>
      <c r="F197" s="11">
        <f>IFERROR(VLOOKUP('Pairings NB'!$M$879,Instructores!$A:$D,2,FALSE),"")</f>
        <v/>
      </c>
      <c r="G197" s="11">
        <f>'Pairings NB'!$M$879</f>
        <v/>
      </c>
      <c r="H197" s="11">
        <f>IFERROR(VLOOKUP('Pairings NB'!$M$879,Instructores!$A:$D,4,FALSE),"")</f>
        <v/>
      </c>
      <c r="I197" s="11">
        <f>'Pairings NB'!$O$879</f>
        <v/>
      </c>
      <c r="J197" s="11">
        <f>'Pairings NB'!J879</f>
        <v/>
      </c>
      <c r="K197" s="11">
        <f>IFERROR(VLOOKUP('Pairings NB'!$M$879,Instructores!$A:$D,3,FALSE),"")</f>
        <v/>
      </c>
      <c r="L197" s="11">
        <f>IF('Pairings NB'!J879=320,4,3)</f>
        <v/>
      </c>
      <c r="M197" s="11">
        <f>'Pairings NB'!$N$879</f>
        <v/>
      </c>
    </row>
    <row r="198">
      <c r="A198" s="11">
        <f>'Pairings NB'!B884</f>
        <v/>
      </c>
      <c r="B198" s="11">
        <f>'Pairings NB'!C884</f>
        <v/>
      </c>
      <c r="C198" s="11">
        <f>'Pairings NB'!D884</f>
        <v/>
      </c>
      <c r="D198" s="11">
        <f>'Pairings NB'!E884&amp;"/"&amp;'Pairings NB'!E885</f>
        <v/>
      </c>
      <c r="E198" s="11">
        <f>'Pairings NB'!F884&amp;"-"&amp;'Pairings NB'!G884&amp;"-"&amp;'Pairings NB'!F884</f>
        <v/>
      </c>
      <c r="F198" s="11">
        <f>IFERROR(VLOOKUP('Pairings NB'!$M$884,Instructores!$A:$D,2,FALSE),"")</f>
        <v/>
      </c>
      <c r="G198" s="11">
        <f>'Pairings NB'!$M$884</f>
        <v/>
      </c>
      <c r="H198" s="11">
        <f>IFERROR(VLOOKUP('Pairings NB'!$M$884,Instructores!$A:$D,4,FALSE),"")</f>
        <v/>
      </c>
      <c r="I198" s="11">
        <f>'Pairings NB'!$O$884</f>
        <v/>
      </c>
      <c r="J198" s="11">
        <f>'Pairings NB'!J884</f>
        <v/>
      </c>
      <c r="K198" s="11">
        <f>IFERROR(VLOOKUP('Pairings NB'!$M$884,Instructores!$A:$D,3,FALSE),"")</f>
        <v/>
      </c>
      <c r="L198" s="11">
        <f>IF('Pairings NB'!J884=320,4,3)</f>
        <v/>
      </c>
      <c r="M198" s="11">
        <f>'Pairings NB'!$N$884</f>
        <v/>
      </c>
    </row>
    <row r="199">
      <c r="A199" s="11">
        <f>'Pairings NB'!B889</f>
        <v/>
      </c>
      <c r="B199" s="11">
        <f>'Pairings NB'!C889</f>
        <v/>
      </c>
      <c r="C199" s="11">
        <f>'Pairings NB'!D889</f>
        <v/>
      </c>
      <c r="D199" s="11">
        <f>'Pairings NB'!E889&amp;"/"&amp;'Pairings NB'!E890</f>
        <v/>
      </c>
      <c r="E199" s="11">
        <f>'Pairings NB'!F889&amp;"-"&amp;'Pairings NB'!G889&amp;"-"&amp;'Pairings NB'!F889</f>
        <v/>
      </c>
      <c r="F199" s="11">
        <f>IFERROR(VLOOKUP('Pairings NB'!$M$889,Instructores!$A:$D,2,FALSE),"")</f>
        <v/>
      </c>
      <c r="G199" s="11">
        <f>'Pairings NB'!$M$889</f>
        <v/>
      </c>
      <c r="H199" s="11">
        <f>IFERROR(VLOOKUP('Pairings NB'!$M$889,Instructores!$A:$D,4,FALSE),"")</f>
        <v/>
      </c>
      <c r="I199" s="11">
        <f>'Pairings NB'!$O$889</f>
        <v/>
      </c>
      <c r="J199" s="11">
        <f>'Pairings NB'!J889</f>
        <v/>
      </c>
      <c r="K199" s="11">
        <f>IFERROR(VLOOKUP('Pairings NB'!$M$889,Instructores!$A:$D,3,FALSE),"")</f>
        <v/>
      </c>
      <c r="L199" s="11">
        <f>IF('Pairings NB'!J889=320,4,3)</f>
        <v/>
      </c>
      <c r="M199" s="11">
        <f>'Pairings NB'!$N$889</f>
        <v/>
      </c>
    </row>
    <row r="200">
      <c r="A200" s="11">
        <f>'Pairings NB'!B894</f>
        <v/>
      </c>
      <c r="B200" s="11">
        <f>'Pairings NB'!C894</f>
        <v/>
      </c>
      <c r="C200" s="11">
        <f>'Pairings NB'!D894</f>
        <v/>
      </c>
      <c r="D200" s="11">
        <f>'Pairings NB'!E894&amp;"/"&amp;'Pairings NB'!E895</f>
        <v/>
      </c>
      <c r="E200" s="11">
        <f>'Pairings NB'!F894&amp;"-"&amp;'Pairings NB'!G894&amp;"-"&amp;'Pairings NB'!F894</f>
        <v/>
      </c>
      <c r="F200" s="11">
        <f>IFERROR(VLOOKUP('Pairings NB'!$M$894,Instructores!$A:$D,2,FALSE),"")</f>
        <v/>
      </c>
      <c r="G200" s="11">
        <f>'Pairings NB'!$M$894</f>
        <v/>
      </c>
      <c r="H200" s="11">
        <f>IFERROR(VLOOKUP('Pairings NB'!$M$894,Instructores!$A:$D,4,FALSE),"")</f>
        <v/>
      </c>
      <c r="I200" s="11">
        <f>'Pairings NB'!$O$894</f>
        <v/>
      </c>
      <c r="J200" s="11">
        <f>'Pairings NB'!J894</f>
        <v/>
      </c>
      <c r="K200" s="11">
        <f>IFERROR(VLOOKUP('Pairings NB'!$M$894,Instructores!$A:$D,3,FALSE),"")</f>
        <v/>
      </c>
      <c r="L200" s="11">
        <f>IF('Pairings NB'!J894=320,4,3)</f>
        <v/>
      </c>
      <c r="M200" s="11">
        <f>'Pairings NB'!$N$894</f>
        <v/>
      </c>
    </row>
    <row r="201">
      <c r="A201" s="11">
        <f>'Pairings NB'!B899</f>
        <v/>
      </c>
      <c r="B201" s="11">
        <f>'Pairings NB'!C899</f>
        <v/>
      </c>
      <c r="C201" s="11">
        <f>'Pairings NB'!D899</f>
        <v/>
      </c>
      <c r="D201" s="11">
        <f>'Pairings NB'!E899&amp;"/"&amp;'Pairings NB'!E900</f>
        <v/>
      </c>
      <c r="E201" s="11">
        <f>'Pairings NB'!F899&amp;"-"&amp;'Pairings NB'!G899&amp;"-"&amp;'Pairings NB'!F899</f>
        <v/>
      </c>
      <c r="F201" s="11">
        <f>IFERROR(VLOOKUP('Pairings NB'!$M$899,Instructores!$A:$D,2,FALSE),"")</f>
        <v/>
      </c>
      <c r="G201" s="11">
        <f>'Pairings NB'!$M$899</f>
        <v/>
      </c>
      <c r="H201" s="11">
        <f>IFERROR(VLOOKUP('Pairings NB'!$M$899,Instructores!$A:$D,4,FALSE),"")</f>
        <v/>
      </c>
      <c r="I201" s="11">
        <f>'Pairings NB'!$O$899</f>
        <v/>
      </c>
      <c r="J201" s="11">
        <f>'Pairings NB'!J899</f>
        <v/>
      </c>
      <c r="K201" s="11">
        <f>IFERROR(VLOOKUP('Pairings NB'!$M$899,Instructores!$A:$D,3,FALSE),"")</f>
        <v/>
      </c>
      <c r="L201" s="11">
        <f>IF('Pairings NB'!J899=320,4,3)</f>
        <v/>
      </c>
      <c r="M201" s="11">
        <f>'Pairings NB'!$N$899</f>
        <v/>
      </c>
    </row>
    <row r="202">
      <c r="A202" s="11">
        <f>'Pairings NB'!B904</f>
        <v/>
      </c>
      <c r="B202" s="11">
        <f>'Pairings NB'!C904</f>
        <v/>
      </c>
      <c r="C202" s="11">
        <f>'Pairings NB'!D904</f>
        <v/>
      </c>
      <c r="D202" s="11">
        <f>'Pairings NB'!E904&amp;"/"&amp;'Pairings NB'!E905</f>
        <v/>
      </c>
      <c r="E202" s="11">
        <f>'Pairings NB'!F904&amp;"-"&amp;'Pairings NB'!G904&amp;"-"&amp;'Pairings NB'!F904</f>
        <v/>
      </c>
      <c r="F202" s="11">
        <f>IFERROR(VLOOKUP('Pairings NB'!$M$904,Instructores!$A:$D,2,FALSE),"")</f>
        <v/>
      </c>
      <c r="G202" s="11">
        <f>'Pairings NB'!$M$904</f>
        <v/>
      </c>
      <c r="H202" s="11">
        <f>IFERROR(VLOOKUP('Pairings NB'!$M$904,Instructores!$A:$D,4,FALSE),"")</f>
        <v/>
      </c>
      <c r="I202" s="11">
        <f>'Pairings NB'!$O$904</f>
        <v/>
      </c>
      <c r="J202" s="11">
        <f>'Pairings NB'!J904</f>
        <v/>
      </c>
      <c r="K202" s="11">
        <f>IFERROR(VLOOKUP('Pairings NB'!$M$904,Instructores!$A:$D,3,FALSE),"")</f>
        <v/>
      </c>
      <c r="L202" s="11">
        <f>IF('Pairings NB'!J904=320,4,3)</f>
        <v/>
      </c>
      <c r="M202" s="11">
        <f>'Pairings NB'!$N$904</f>
        <v/>
      </c>
    </row>
    <row r="203">
      <c r="A203" s="11">
        <f>'Pairings NB'!B909</f>
        <v/>
      </c>
      <c r="B203" s="11">
        <f>'Pairings NB'!C909</f>
        <v/>
      </c>
      <c r="C203" s="11">
        <f>'Pairings NB'!D909</f>
        <v/>
      </c>
      <c r="D203" s="11">
        <f>'Pairings NB'!E909&amp;"/"&amp;'Pairings NB'!E910</f>
        <v/>
      </c>
      <c r="E203" s="11">
        <f>'Pairings NB'!F909&amp;"-"&amp;'Pairings NB'!G909&amp;"-"&amp;'Pairings NB'!F909</f>
        <v/>
      </c>
      <c r="F203" s="11">
        <f>IFERROR(VLOOKUP('Pairings NB'!$M$909,Instructores!$A:$D,2,FALSE),"")</f>
        <v/>
      </c>
      <c r="G203" s="11">
        <f>'Pairings NB'!$M$909</f>
        <v/>
      </c>
      <c r="H203" s="11">
        <f>IFERROR(VLOOKUP('Pairings NB'!$M$909,Instructores!$A:$D,4,FALSE),"")</f>
        <v/>
      </c>
      <c r="I203" s="11">
        <f>'Pairings NB'!$O$909</f>
        <v/>
      </c>
      <c r="J203" s="11">
        <f>'Pairings NB'!J909</f>
        <v/>
      </c>
      <c r="K203" s="11">
        <f>IFERROR(VLOOKUP('Pairings NB'!$M$909,Instructores!$A:$D,3,FALSE),"")</f>
        <v/>
      </c>
      <c r="L203" s="11">
        <f>IF('Pairings NB'!J909=320,4,3)</f>
        <v/>
      </c>
      <c r="M203" s="11">
        <f>'Pairings NB'!$N$909</f>
        <v/>
      </c>
    </row>
    <row r="204">
      <c r="A204" s="11">
        <f>'Pairings NB'!B914</f>
        <v/>
      </c>
      <c r="B204" s="11">
        <f>'Pairings NB'!C914</f>
        <v/>
      </c>
      <c r="C204" s="11">
        <f>'Pairings NB'!D914</f>
        <v/>
      </c>
      <c r="D204" s="11">
        <f>'Pairings NB'!E914&amp;"/"&amp;'Pairings NB'!E915</f>
        <v/>
      </c>
      <c r="E204" s="11">
        <f>'Pairings NB'!F914&amp;"-"&amp;'Pairings NB'!G914&amp;"-"&amp;'Pairings NB'!F914</f>
        <v/>
      </c>
      <c r="F204" s="11">
        <f>IFERROR(VLOOKUP('Pairings NB'!$M$914,Instructores!$A:$D,2,FALSE),"")</f>
        <v/>
      </c>
      <c r="G204" s="11">
        <f>'Pairings NB'!$M$914</f>
        <v/>
      </c>
      <c r="H204" s="11">
        <f>IFERROR(VLOOKUP('Pairings NB'!$M$914,Instructores!$A:$D,4,FALSE),"")</f>
        <v/>
      </c>
      <c r="I204" s="11">
        <f>'Pairings NB'!$O$914</f>
        <v/>
      </c>
      <c r="J204" s="11">
        <f>'Pairings NB'!J914</f>
        <v/>
      </c>
      <c r="K204" s="11">
        <f>IFERROR(VLOOKUP('Pairings NB'!$M$914,Instructores!$A:$D,3,FALSE),"")</f>
        <v/>
      </c>
      <c r="L204" s="11">
        <f>IF('Pairings NB'!J914=320,4,3)</f>
        <v/>
      </c>
      <c r="M204" s="11">
        <f>'Pairings NB'!$N$914</f>
        <v/>
      </c>
    </row>
    <row r="205">
      <c r="A205" s="11">
        <f>'Pairings NB'!B919</f>
        <v/>
      </c>
      <c r="B205" s="11">
        <f>'Pairings NB'!C919</f>
        <v/>
      </c>
      <c r="C205" s="11">
        <f>'Pairings NB'!D919</f>
        <v/>
      </c>
      <c r="D205" s="11">
        <f>'Pairings NB'!E919&amp;"/"&amp;'Pairings NB'!E920</f>
        <v/>
      </c>
      <c r="E205" s="11">
        <f>'Pairings NB'!F919&amp;"-"&amp;'Pairings NB'!G919&amp;"-"&amp;'Pairings NB'!F919</f>
        <v/>
      </c>
      <c r="F205" s="11">
        <f>IFERROR(VLOOKUP('Pairings NB'!$M$919,Instructores!$A:$D,2,FALSE),"")</f>
        <v/>
      </c>
      <c r="G205" s="11">
        <f>'Pairings NB'!$M$919</f>
        <v/>
      </c>
      <c r="H205" s="11">
        <f>IFERROR(VLOOKUP('Pairings NB'!$M$919,Instructores!$A:$D,4,FALSE),"")</f>
        <v/>
      </c>
      <c r="I205" s="11">
        <f>'Pairings NB'!$O$919</f>
        <v/>
      </c>
      <c r="J205" s="11">
        <f>'Pairings NB'!J919</f>
        <v/>
      </c>
      <c r="K205" s="11">
        <f>IFERROR(VLOOKUP('Pairings NB'!$M$919,Instructores!$A:$D,3,FALSE),"")</f>
        <v/>
      </c>
      <c r="L205" s="11">
        <f>IF('Pairings NB'!J919=320,4,3)</f>
        <v/>
      </c>
      <c r="M205" s="11">
        <f>'Pairings NB'!$N$919</f>
        <v/>
      </c>
    </row>
    <row r="206">
      <c r="A206" s="11">
        <f>'Pairings NB'!B924</f>
        <v/>
      </c>
      <c r="B206" s="11">
        <f>'Pairings NB'!C924</f>
        <v/>
      </c>
      <c r="C206" s="11">
        <f>'Pairings NB'!D924</f>
        <v/>
      </c>
      <c r="D206" s="11">
        <f>'Pairings NB'!E924&amp;"/"&amp;'Pairings NB'!E925</f>
        <v/>
      </c>
      <c r="E206" s="11">
        <f>'Pairings NB'!F924&amp;"-"&amp;'Pairings NB'!G924&amp;"-"&amp;'Pairings NB'!F924</f>
        <v/>
      </c>
      <c r="F206" s="11">
        <f>IFERROR(VLOOKUP('Pairings NB'!$M$924,Instructores!$A:$D,2,FALSE),"")</f>
        <v/>
      </c>
      <c r="G206" s="11">
        <f>'Pairings NB'!$M$924</f>
        <v/>
      </c>
      <c r="H206" s="11">
        <f>IFERROR(VLOOKUP('Pairings NB'!$M$924,Instructores!$A:$D,4,FALSE),"")</f>
        <v/>
      </c>
      <c r="I206" s="11">
        <f>'Pairings NB'!$O$924</f>
        <v/>
      </c>
      <c r="J206" s="11">
        <f>'Pairings NB'!J924</f>
        <v/>
      </c>
      <c r="K206" s="11">
        <f>IFERROR(VLOOKUP('Pairings NB'!$M$924,Instructores!$A:$D,3,FALSE),"")</f>
        <v/>
      </c>
      <c r="L206" s="11">
        <f>IF('Pairings NB'!J924=320,4,3)</f>
        <v/>
      </c>
      <c r="M206" s="11">
        <f>'Pairings NB'!$N$924</f>
        <v/>
      </c>
    </row>
    <row r="207">
      <c r="A207" s="11">
        <f>'Pairings NB'!B926</f>
        <v/>
      </c>
      <c r="B207" s="11">
        <f>'Pairings NB'!C926</f>
        <v/>
      </c>
      <c r="C207" s="11">
        <f>'Pairings NB'!D926</f>
        <v/>
      </c>
      <c r="D207" s="11">
        <f>'Pairings NB'!E926&amp;"/"&amp;'Pairings NB'!E927</f>
        <v/>
      </c>
      <c r="E207" s="11">
        <f>'Pairings NB'!F926&amp;"-"&amp;'Pairings NB'!G926&amp;"-"&amp;'Pairings NB'!F926</f>
        <v/>
      </c>
      <c r="F207" s="11">
        <f>IFERROR(VLOOKUP('Pairings NB'!$M$924,Instructores!$A:$D,2,FALSE),"")</f>
        <v/>
      </c>
      <c r="G207" s="11">
        <f>'Pairings NB'!$M$924</f>
        <v/>
      </c>
      <c r="H207" s="11">
        <f>IFERROR(VLOOKUP('Pairings NB'!$M$924,Instructores!$A:$D,4,FALSE),"")</f>
        <v/>
      </c>
      <c r="I207" s="11">
        <f>'Pairings NB'!$O$924</f>
        <v/>
      </c>
      <c r="J207" s="11">
        <f>'Pairings NB'!J926</f>
        <v/>
      </c>
      <c r="K207" s="11">
        <f>IFERROR(VLOOKUP('Pairings NB'!$M$924,Instructores!$A:$D,3,FALSE),"")</f>
        <v/>
      </c>
      <c r="L207" s="11">
        <f>IF('Pairings NB'!J926=320,4,3)</f>
        <v/>
      </c>
      <c r="M207" s="11">
        <f>'Pairings NB'!$N$924</f>
        <v/>
      </c>
    </row>
    <row r="208">
      <c r="A208" s="11">
        <f>'Pairings NB'!B931</f>
        <v/>
      </c>
      <c r="B208" s="11">
        <f>'Pairings NB'!C931</f>
        <v/>
      </c>
      <c r="C208" s="11">
        <f>'Pairings NB'!D931</f>
        <v/>
      </c>
      <c r="D208" s="11">
        <f>'Pairings NB'!E931&amp;"/"&amp;'Pairings NB'!E932</f>
        <v/>
      </c>
      <c r="E208" s="11">
        <f>'Pairings NB'!F931&amp;"-"&amp;'Pairings NB'!G931&amp;"-"&amp;'Pairings NB'!F931</f>
        <v/>
      </c>
      <c r="F208" s="11">
        <f>IFERROR(VLOOKUP('Pairings NB'!$M$931,Instructores!$A:$D,2,FALSE),"")</f>
        <v/>
      </c>
      <c r="G208" s="11">
        <f>'Pairings NB'!$M$931</f>
        <v/>
      </c>
      <c r="H208" s="11">
        <f>IFERROR(VLOOKUP('Pairings NB'!$M$931,Instructores!$A:$D,4,FALSE),"")</f>
        <v/>
      </c>
      <c r="I208" s="11">
        <f>'Pairings NB'!$O$931</f>
        <v/>
      </c>
      <c r="J208" s="11">
        <f>'Pairings NB'!J931</f>
        <v/>
      </c>
      <c r="K208" s="11">
        <f>IFERROR(VLOOKUP('Pairings NB'!$M$931,Instructores!$A:$D,3,FALSE),"")</f>
        <v/>
      </c>
      <c r="L208" s="11">
        <f>IF('Pairings NB'!J931=320,4,3)</f>
        <v/>
      </c>
      <c r="M208" s="11">
        <f>'Pairings NB'!$N$931</f>
        <v/>
      </c>
    </row>
    <row r="209">
      <c r="A209" s="11">
        <f>'Pairings NB'!B936</f>
        <v/>
      </c>
      <c r="B209" s="11">
        <f>'Pairings NB'!C936</f>
        <v/>
      </c>
      <c r="C209" s="11">
        <f>'Pairings NB'!D936</f>
        <v/>
      </c>
      <c r="D209" s="11">
        <f>'Pairings NB'!E936&amp;"/"&amp;'Pairings NB'!E937</f>
        <v/>
      </c>
      <c r="E209" s="11">
        <f>'Pairings NB'!F936&amp;"-"&amp;'Pairings NB'!G936&amp;"-"&amp;'Pairings NB'!F936</f>
        <v/>
      </c>
      <c r="F209" s="11">
        <f>IFERROR(VLOOKUP('Pairings NB'!$M$936,Instructores!$A:$D,2,FALSE),"")</f>
        <v/>
      </c>
      <c r="G209" s="11">
        <f>'Pairings NB'!$M$936</f>
        <v/>
      </c>
      <c r="H209" s="11">
        <f>IFERROR(VLOOKUP('Pairings NB'!$M$936,Instructores!$A:$D,4,FALSE),"")</f>
        <v/>
      </c>
      <c r="I209" s="11">
        <f>'Pairings NB'!$O$936</f>
        <v/>
      </c>
      <c r="J209" s="11">
        <f>'Pairings NB'!J936</f>
        <v/>
      </c>
      <c r="K209" s="11">
        <f>IFERROR(VLOOKUP('Pairings NB'!$M$936,Instructores!$A:$D,3,FALSE),"")</f>
        <v/>
      </c>
      <c r="L209" s="11">
        <f>IF('Pairings NB'!J936=320,4,3)</f>
        <v/>
      </c>
      <c r="M209" s="11">
        <f>'Pairings NB'!$N$936</f>
        <v/>
      </c>
    </row>
    <row r="210">
      <c r="A210" s="11">
        <f>'Pairings NB'!B938</f>
        <v/>
      </c>
      <c r="B210" s="11">
        <f>'Pairings NB'!C938</f>
        <v/>
      </c>
      <c r="C210" s="11">
        <f>'Pairings NB'!D938</f>
        <v/>
      </c>
      <c r="D210" s="11">
        <f>'Pairings NB'!E938&amp;"/"&amp;'Pairings NB'!E939</f>
        <v/>
      </c>
      <c r="E210" s="11">
        <f>'Pairings NB'!F938&amp;"-"&amp;'Pairings NB'!G938&amp;"-"&amp;'Pairings NB'!F938</f>
        <v/>
      </c>
      <c r="F210" s="11">
        <f>IFERROR(VLOOKUP('Pairings NB'!$M$936,Instructores!$A:$D,2,FALSE),"")</f>
        <v/>
      </c>
      <c r="G210" s="11">
        <f>'Pairings NB'!$M$936</f>
        <v/>
      </c>
      <c r="H210" s="11">
        <f>IFERROR(VLOOKUP('Pairings NB'!$M$936,Instructores!$A:$D,4,FALSE),"")</f>
        <v/>
      </c>
      <c r="I210" s="11">
        <f>'Pairings NB'!$O$936</f>
        <v/>
      </c>
      <c r="J210" s="11">
        <f>'Pairings NB'!J938</f>
        <v/>
      </c>
      <c r="K210" s="11">
        <f>IFERROR(VLOOKUP('Pairings NB'!$M$936,Instructores!$A:$D,3,FALSE),"")</f>
        <v/>
      </c>
      <c r="L210" s="11">
        <f>IF('Pairings NB'!J938=320,4,3)</f>
        <v/>
      </c>
      <c r="M210" s="11">
        <f>'Pairings NB'!$N$936</f>
        <v/>
      </c>
    </row>
    <row r="211">
      <c r="A211" s="11">
        <f>'Pairings NB'!B943</f>
        <v/>
      </c>
      <c r="B211" s="11">
        <f>'Pairings NB'!C943</f>
        <v/>
      </c>
      <c r="C211" s="11">
        <f>'Pairings NB'!D943</f>
        <v/>
      </c>
      <c r="D211" s="11">
        <f>'Pairings NB'!E943&amp;"/"&amp;'Pairings NB'!E944</f>
        <v/>
      </c>
      <c r="E211" s="11">
        <f>'Pairings NB'!F943&amp;"-"&amp;'Pairings NB'!G943&amp;"-"&amp;'Pairings NB'!F943</f>
        <v/>
      </c>
      <c r="F211" s="11">
        <f>IFERROR(VLOOKUP('Pairings NB'!$M$943,Instructores!$A:$D,2,FALSE),"")</f>
        <v/>
      </c>
      <c r="G211" s="11">
        <f>'Pairings NB'!$M$943</f>
        <v/>
      </c>
      <c r="H211" s="11">
        <f>IFERROR(VLOOKUP('Pairings NB'!$M$943,Instructores!$A:$D,4,FALSE),"")</f>
        <v/>
      </c>
      <c r="I211" s="11">
        <f>'Pairings NB'!$O$943</f>
        <v/>
      </c>
      <c r="J211" s="11">
        <f>'Pairings NB'!J943</f>
        <v/>
      </c>
      <c r="K211" s="11">
        <f>IFERROR(VLOOKUP('Pairings NB'!$M$943,Instructores!$A:$D,3,FALSE),"")</f>
        <v/>
      </c>
      <c r="L211" s="11">
        <f>IF('Pairings NB'!J943=320,4,3)</f>
        <v/>
      </c>
      <c r="M211" s="11">
        <f>'Pairings NB'!$N$943</f>
        <v/>
      </c>
    </row>
    <row r="212">
      <c r="A212" s="11">
        <f>'Pairings NB'!B945</f>
        <v/>
      </c>
      <c r="B212" s="11">
        <f>'Pairings NB'!C945</f>
        <v/>
      </c>
      <c r="C212" s="11">
        <f>'Pairings NB'!D945</f>
        <v/>
      </c>
      <c r="D212" s="11">
        <f>'Pairings NB'!E945&amp;"/"&amp;'Pairings NB'!E946</f>
        <v/>
      </c>
      <c r="E212" s="11">
        <f>'Pairings NB'!F945&amp;"-"&amp;'Pairings NB'!G945&amp;"-"&amp;'Pairings NB'!F945</f>
        <v/>
      </c>
      <c r="F212" s="11">
        <f>IFERROR(VLOOKUP('Pairings NB'!$M$943,Instructores!$A:$D,2,FALSE),"")</f>
        <v/>
      </c>
      <c r="G212" s="11">
        <f>'Pairings NB'!$M$943</f>
        <v/>
      </c>
      <c r="H212" s="11">
        <f>IFERROR(VLOOKUP('Pairings NB'!$M$943,Instructores!$A:$D,4,FALSE),"")</f>
        <v/>
      </c>
      <c r="I212" s="11">
        <f>'Pairings NB'!$O$943</f>
        <v/>
      </c>
      <c r="J212" s="11">
        <f>'Pairings NB'!J945</f>
        <v/>
      </c>
      <c r="K212" s="11">
        <f>IFERROR(VLOOKUP('Pairings NB'!$M$943,Instructores!$A:$D,3,FALSE),"")</f>
        <v/>
      </c>
      <c r="L212" s="11">
        <f>IF('Pairings NB'!J945=320,4,3)</f>
        <v/>
      </c>
      <c r="M212" s="11">
        <f>'Pairings NB'!$N$943</f>
        <v/>
      </c>
    </row>
    <row r="213">
      <c r="A213" s="11">
        <f>'Pairings NB'!B950</f>
        <v/>
      </c>
      <c r="B213" s="11">
        <f>'Pairings NB'!C950</f>
        <v/>
      </c>
      <c r="C213" s="11">
        <f>'Pairings NB'!D950</f>
        <v/>
      </c>
      <c r="D213" s="11">
        <f>'Pairings NB'!E950&amp;"/"&amp;'Pairings NB'!E951</f>
        <v/>
      </c>
      <c r="E213" s="11">
        <f>'Pairings NB'!F950&amp;"-"&amp;'Pairings NB'!G950&amp;"-"&amp;'Pairings NB'!F950</f>
        <v/>
      </c>
      <c r="F213" s="11">
        <f>IFERROR(VLOOKUP('Pairings NB'!$M$950,Instructores!$A:$D,2,FALSE),"")</f>
        <v/>
      </c>
      <c r="G213" s="11">
        <f>'Pairings NB'!$M$950</f>
        <v/>
      </c>
      <c r="H213" s="11">
        <f>IFERROR(VLOOKUP('Pairings NB'!$M$950,Instructores!$A:$D,4,FALSE),"")</f>
        <v/>
      </c>
      <c r="I213" s="11">
        <f>'Pairings NB'!$O$950</f>
        <v/>
      </c>
      <c r="J213" s="11">
        <f>'Pairings NB'!J950</f>
        <v/>
      </c>
      <c r="K213" s="11">
        <f>IFERROR(VLOOKUP('Pairings NB'!$M$950,Instructores!$A:$D,3,FALSE),"")</f>
        <v/>
      </c>
      <c r="L213" s="11">
        <f>IF('Pairings NB'!J950=320,4,3)</f>
        <v/>
      </c>
      <c r="M213" s="11">
        <f>'Pairings NB'!$N$950</f>
        <v/>
      </c>
    </row>
    <row r="214">
      <c r="A214" s="11">
        <f>'Pairings NB'!B952</f>
        <v/>
      </c>
      <c r="B214" s="11">
        <f>'Pairings NB'!C952</f>
        <v/>
      </c>
      <c r="C214" s="11">
        <f>'Pairings NB'!D952</f>
        <v/>
      </c>
      <c r="D214" s="11">
        <f>'Pairings NB'!E952&amp;"/"&amp;'Pairings NB'!E953</f>
        <v/>
      </c>
      <c r="E214" s="11">
        <f>'Pairings NB'!F952&amp;"-"&amp;'Pairings NB'!G952&amp;"-"&amp;'Pairings NB'!F952</f>
        <v/>
      </c>
      <c r="F214" s="11">
        <f>IFERROR(VLOOKUP('Pairings NB'!$M$950,Instructores!$A:$D,2,FALSE),"")</f>
        <v/>
      </c>
      <c r="G214" s="11">
        <f>'Pairings NB'!$M$950</f>
        <v/>
      </c>
      <c r="H214" s="11">
        <f>IFERROR(VLOOKUP('Pairings NB'!$M$950,Instructores!$A:$D,4,FALSE),"")</f>
        <v/>
      </c>
      <c r="I214" s="11">
        <f>'Pairings NB'!$O$950</f>
        <v/>
      </c>
      <c r="J214" s="11">
        <f>'Pairings NB'!J952</f>
        <v/>
      </c>
      <c r="K214" s="11">
        <f>IFERROR(VLOOKUP('Pairings NB'!$M$950,Instructores!$A:$D,3,FALSE),"")</f>
        <v/>
      </c>
      <c r="L214" s="11">
        <f>IF('Pairings NB'!J952=320,4,3)</f>
        <v/>
      </c>
      <c r="M214" s="11">
        <f>'Pairings NB'!$N$950</f>
        <v/>
      </c>
    </row>
    <row r="215">
      <c r="A215" s="11">
        <f>'Pairings NB'!B957</f>
        <v/>
      </c>
      <c r="B215" s="11">
        <f>'Pairings NB'!C957</f>
        <v/>
      </c>
      <c r="C215" s="11">
        <f>'Pairings NB'!D957</f>
        <v/>
      </c>
      <c r="D215" s="11">
        <f>'Pairings NB'!E957&amp;"/"&amp;'Pairings NB'!E958</f>
        <v/>
      </c>
      <c r="E215" s="11">
        <f>'Pairings NB'!F957&amp;"-"&amp;'Pairings NB'!G957&amp;"-"&amp;'Pairings NB'!F957</f>
        <v/>
      </c>
      <c r="F215" s="11">
        <f>IFERROR(VLOOKUP('Pairings NB'!$M$957,Instructores!$A:$D,2,FALSE),"")</f>
        <v/>
      </c>
      <c r="G215" s="11">
        <f>'Pairings NB'!$M$957</f>
        <v/>
      </c>
      <c r="H215" s="11">
        <f>IFERROR(VLOOKUP('Pairings NB'!$M$957,Instructores!$A:$D,4,FALSE),"")</f>
        <v/>
      </c>
      <c r="I215" s="11">
        <f>'Pairings NB'!$O$957</f>
        <v/>
      </c>
      <c r="J215" s="11">
        <f>'Pairings NB'!J957</f>
        <v/>
      </c>
      <c r="K215" s="11">
        <f>IFERROR(VLOOKUP('Pairings NB'!$M$957,Instructores!$A:$D,3,FALSE),"")</f>
        <v/>
      </c>
      <c r="L215" s="11">
        <f>IF('Pairings NB'!J957=320,4,3)</f>
        <v/>
      </c>
      <c r="M215" s="11">
        <f>'Pairings NB'!$N$957</f>
        <v/>
      </c>
    </row>
    <row r="216">
      <c r="A216" s="11">
        <f>'Pairings NB'!B959</f>
        <v/>
      </c>
      <c r="B216" s="11">
        <f>'Pairings NB'!C959</f>
        <v/>
      </c>
      <c r="C216" s="11">
        <f>'Pairings NB'!D959</f>
        <v/>
      </c>
      <c r="D216" s="11">
        <f>'Pairings NB'!E959&amp;"/"&amp;'Pairings NB'!E960</f>
        <v/>
      </c>
      <c r="E216" s="11">
        <f>'Pairings NB'!F959&amp;"-"&amp;'Pairings NB'!G959&amp;"-"&amp;'Pairings NB'!F959</f>
        <v/>
      </c>
      <c r="F216" s="11">
        <f>IFERROR(VLOOKUP('Pairings NB'!$M$957,Instructores!$A:$D,2,FALSE),"")</f>
        <v/>
      </c>
      <c r="G216" s="11">
        <f>'Pairings NB'!$M$957</f>
        <v/>
      </c>
      <c r="H216" s="11">
        <f>IFERROR(VLOOKUP('Pairings NB'!$M$957,Instructores!$A:$D,4,FALSE),"")</f>
        <v/>
      </c>
      <c r="I216" s="11">
        <f>'Pairings NB'!$O$957</f>
        <v/>
      </c>
      <c r="J216" s="11">
        <f>'Pairings NB'!J959</f>
        <v/>
      </c>
      <c r="K216" s="11">
        <f>IFERROR(VLOOKUP('Pairings NB'!$M$957,Instructores!$A:$D,3,FALSE),"")</f>
        <v/>
      </c>
      <c r="L216" s="11">
        <f>IF('Pairings NB'!J959=320,4,3)</f>
        <v/>
      </c>
      <c r="M216" s="11">
        <f>'Pairings NB'!$N$957</f>
        <v/>
      </c>
    </row>
    <row r="217">
      <c r="A217" s="11">
        <f>'Pairings NB'!B964</f>
        <v/>
      </c>
      <c r="B217" s="11">
        <f>'Pairings NB'!C964</f>
        <v/>
      </c>
      <c r="C217" s="11">
        <f>'Pairings NB'!D964</f>
        <v/>
      </c>
      <c r="D217" s="11">
        <f>'Pairings NB'!E964&amp;"/"&amp;'Pairings NB'!E965</f>
        <v/>
      </c>
      <c r="E217" s="11">
        <f>'Pairings NB'!F964&amp;"-"&amp;'Pairings NB'!G964&amp;"-"&amp;'Pairings NB'!F964</f>
        <v/>
      </c>
      <c r="F217" s="11">
        <f>IFERROR(VLOOKUP('Pairings NB'!$M$964,Instructores!$A:$D,2,FALSE),"")</f>
        <v/>
      </c>
      <c r="G217" s="11">
        <f>'Pairings NB'!$M$964</f>
        <v/>
      </c>
      <c r="H217" s="11">
        <f>IFERROR(VLOOKUP('Pairings NB'!$M$964,Instructores!$A:$D,4,FALSE),"")</f>
        <v/>
      </c>
      <c r="I217" s="11">
        <f>'Pairings NB'!$O$964</f>
        <v/>
      </c>
      <c r="J217" s="11">
        <f>'Pairings NB'!J964</f>
        <v/>
      </c>
      <c r="K217" s="11">
        <f>IFERROR(VLOOKUP('Pairings NB'!$M$964,Instructores!$A:$D,3,FALSE),"")</f>
        <v/>
      </c>
      <c r="L217" s="11">
        <f>IF('Pairings NB'!J964=320,4,3)</f>
        <v/>
      </c>
      <c r="M217" s="11">
        <f>'Pairings NB'!$N$964</f>
        <v/>
      </c>
    </row>
    <row r="218">
      <c r="A218" s="11">
        <f>'Pairings NB'!B966</f>
        <v/>
      </c>
      <c r="B218" s="11">
        <f>'Pairings NB'!C966</f>
        <v/>
      </c>
      <c r="C218" s="11">
        <f>'Pairings NB'!D966</f>
        <v/>
      </c>
      <c r="D218" s="11">
        <f>'Pairings NB'!E966&amp;"/"&amp;'Pairings NB'!E967</f>
        <v/>
      </c>
      <c r="E218" s="11">
        <f>'Pairings NB'!F966&amp;"-"&amp;'Pairings NB'!G966&amp;"-"&amp;'Pairings NB'!F966</f>
        <v/>
      </c>
      <c r="F218" s="11">
        <f>IFERROR(VLOOKUP('Pairings NB'!$M$964,Instructores!$A:$D,2,FALSE),"")</f>
        <v/>
      </c>
      <c r="G218" s="11">
        <f>'Pairings NB'!$M$964</f>
        <v/>
      </c>
      <c r="H218" s="11">
        <f>IFERROR(VLOOKUP('Pairings NB'!$M$964,Instructores!$A:$D,4,FALSE),"")</f>
        <v/>
      </c>
      <c r="I218" s="11">
        <f>'Pairings NB'!$O$964</f>
        <v/>
      </c>
      <c r="J218" s="11">
        <f>'Pairings NB'!J966</f>
        <v/>
      </c>
      <c r="K218" s="11">
        <f>IFERROR(VLOOKUP('Pairings NB'!$M$964,Instructores!$A:$D,3,FALSE),"")</f>
        <v/>
      </c>
      <c r="L218" s="11">
        <f>IF('Pairings NB'!J966=320,4,3)</f>
        <v/>
      </c>
      <c r="M218" s="11">
        <f>'Pairings NB'!$N$964</f>
        <v/>
      </c>
    </row>
    <row r="219">
      <c r="A219" s="11">
        <f>'Pairings NB'!B971</f>
        <v/>
      </c>
      <c r="B219" s="11">
        <f>'Pairings NB'!C971</f>
        <v/>
      </c>
      <c r="C219" s="11">
        <f>'Pairings NB'!D971</f>
        <v/>
      </c>
      <c r="D219" s="11">
        <f>'Pairings NB'!E971&amp;"/"&amp;'Pairings NB'!E972</f>
        <v/>
      </c>
      <c r="E219" s="11">
        <f>'Pairings NB'!F971&amp;"-"&amp;'Pairings NB'!G971&amp;"-"&amp;'Pairings NB'!F971</f>
        <v/>
      </c>
      <c r="F219" s="11">
        <f>IFERROR(VLOOKUP('Pairings NB'!$M$971,Instructores!$A:$D,2,FALSE),"")</f>
        <v/>
      </c>
      <c r="G219" s="11">
        <f>'Pairings NB'!$M$971</f>
        <v/>
      </c>
      <c r="H219" s="11">
        <f>IFERROR(VLOOKUP('Pairings NB'!$M$971,Instructores!$A:$D,4,FALSE),"")</f>
        <v/>
      </c>
      <c r="I219" s="11">
        <f>'Pairings NB'!$O$971</f>
        <v/>
      </c>
      <c r="J219" s="11">
        <f>'Pairings NB'!J971</f>
        <v/>
      </c>
      <c r="K219" s="11">
        <f>IFERROR(VLOOKUP('Pairings NB'!$M$971,Instructores!$A:$D,3,FALSE),"")</f>
        <v/>
      </c>
      <c r="L219" s="11">
        <f>IF('Pairings NB'!J971=320,4,3)</f>
        <v/>
      </c>
      <c r="M219" s="11">
        <f>'Pairings NB'!$N$971</f>
        <v/>
      </c>
    </row>
    <row r="220">
      <c r="A220" s="11">
        <f>'Pairings NB'!B976</f>
        <v/>
      </c>
      <c r="B220" s="11">
        <f>'Pairings NB'!C976</f>
        <v/>
      </c>
      <c r="C220" s="11">
        <f>'Pairings NB'!D976</f>
        <v/>
      </c>
      <c r="D220" s="11">
        <f>'Pairings NB'!E976&amp;"/"&amp;'Pairings NB'!E977</f>
        <v/>
      </c>
      <c r="E220" s="11">
        <f>'Pairings NB'!F976&amp;"-"&amp;'Pairings NB'!G976&amp;"-"&amp;'Pairings NB'!F976</f>
        <v/>
      </c>
      <c r="F220" s="11">
        <f>IFERROR(VLOOKUP('Pairings NB'!$M$976,Instructores!$A:$D,2,FALSE),"")</f>
        <v/>
      </c>
      <c r="G220" s="11">
        <f>'Pairings NB'!$M$976</f>
        <v/>
      </c>
      <c r="H220" s="11">
        <f>IFERROR(VLOOKUP('Pairings NB'!$M$976,Instructores!$A:$D,4,FALSE),"")</f>
        <v/>
      </c>
      <c r="I220" s="11">
        <f>'Pairings NB'!$O$976</f>
        <v/>
      </c>
      <c r="J220" s="11">
        <f>'Pairings NB'!J976</f>
        <v/>
      </c>
      <c r="K220" s="11">
        <f>IFERROR(VLOOKUP('Pairings NB'!$M$976,Instructores!$A:$D,3,FALSE),"")</f>
        <v/>
      </c>
      <c r="L220" s="11">
        <f>IF('Pairings NB'!J976=320,4,3)</f>
        <v/>
      </c>
      <c r="M220" s="11">
        <f>'Pairings NB'!$N$976</f>
        <v/>
      </c>
    </row>
    <row r="221">
      <c r="A221" s="11">
        <f>'Pairings NB'!B981</f>
        <v/>
      </c>
      <c r="B221" s="11">
        <f>'Pairings NB'!C981</f>
        <v/>
      </c>
      <c r="C221" s="11">
        <f>'Pairings NB'!D981</f>
        <v/>
      </c>
      <c r="D221" s="11">
        <f>'Pairings NB'!E981&amp;"/"&amp;'Pairings NB'!E982</f>
        <v/>
      </c>
      <c r="E221" s="11">
        <f>'Pairings NB'!F981&amp;"-"&amp;'Pairings NB'!G981&amp;"-"&amp;'Pairings NB'!F981</f>
        <v/>
      </c>
      <c r="F221" s="11">
        <f>IFERROR(VLOOKUP('Pairings NB'!$M$981,Instructores!$A:$D,2,FALSE),"")</f>
        <v/>
      </c>
      <c r="G221" s="11">
        <f>'Pairings NB'!$M$981</f>
        <v/>
      </c>
      <c r="H221" s="11">
        <f>IFERROR(VLOOKUP('Pairings NB'!$M$981,Instructores!$A:$D,4,FALSE),"")</f>
        <v/>
      </c>
      <c r="I221" s="11">
        <f>'Pairings NB'!$O$981</f>
        <v/>
      </c>
      <c r="J221" s="11">
        <f>'Pairings NB'!J981</f>
        <v/>
      </c>
      <c r="K221" s="11">
        <f>IFERROR(VLOOKUP('Pairings NB'!$M$981,Instructores!$A:$D,3,FALSE),"")</f>
        <v/>
      </c>
      <c r="L221" s="11">
        <f>IF('Pairings NB'!J981=320,4,3)</f>
        <v/>
      </c>
      <c r="M221" s="11">
        <f>'Pairings NB'!$N$981</f>
        <v/>
      </c>
    </row>
    <row r="222">
      <c r="A222" s="11">
        <f>'Pairings NB'!B986</f>
        <v/>
      </c>
      <c r="B222" s="11">
        <f>'Pairings NB'!C986</f>
        <v/>
      </c>
      <c r="C222" s="11">
        <f>'Pairings NB'!D986</f>
        <v/>
      </c>
      <c r="D222" s="11">
        <f>'Pairings NB'!E986&amp;"/"&amp;'Pairings NB'!E987</f>
        <v/>
      </c>
      <c r="E222" s="11">
        <f>'Pairings NB'!F986&amp;"-"&amp;'Pairings NB'!G986&amp;"-"&amp;'Pairings NB'!F986</f>
        <v/>
      </c>
      <c r="F222" s="11">
        <f>IFERROR(VLOOKUP('Pairings NB'!$M$986,Instructores!$A:$D,2,FALSE),"")</f>
        <v/>
      </c>
      <c r="G222" s="11">
        <f>'Pairings NB'!$M$986</f>
        <v/>
      </c>
      <c r="H222" s="11">
        <f>IFERROR(VLOOKUP('Pairings NB'!$M$986,Instructores!$A:$D,4,FALSE),"")</f>
        <v/>
      </c>
      <c r="I222" s="11">
        <f>'Pairings NB'!$O$986</f>
        <v/>
      </c>
      <c r="J222" s="11">
        <f>'Pairings NB'!J986</f>
        <v/>
      </c>
      <c r="K222" s="11">
        <f>IFERROR(VLOOKUP('Pairings NB'!$M$986,Instructores!$A:$D,3,FALSE),"")</f>
        <v/>
      </c>
      <c r="L222" s="11">
        <f>IF('Pairings NB'!J986=320,4,3)</f>
        <v/>
      </c>
      <c r="M222" s="11">
        <f>'Pairings NB'!$N$986</f>
        <v/>
      </c>
    </row>
    <row r="223">
      <c r="A223" s="11">
        <f>'Pairings NB'!B991</f>
        <v/>
      </c>
      <c r="B223" s="11">
        <f>'Pairings NB'!C991</f>
        <v/>
      </c>
      <c r="C223" s="11">
        <f>'Pairings NB'!D991</f>
        <v/>
      </c>
      <c r="D223" s="11">
        <f>'Pairings NB'!E991&amp;"/"&amp;'Pairings NB'!E992</f>
        <v/>
      </c>
      <c r="E223" s="11">
        <f>'Pairings NB'!F991&amp;"-"&amp;'Pairings NB'!G991&amp;"-"&amp;'Pairings NB'!F991</f>
        <v/>
      </c>
      <c r="F223" s="11">
        <f>IFERROR(VLOOKUP('Pairings NB'!$M$991,Instructores!$A:$D,2,FALSE),"")</f>
        <v/>
      </c>
      <c r="G223" s="11">
        <f>'Pairings NB'!$M$991</f>
        <v/>
      </c>
      <c r="H223" s="11">
        <f>IFERROR(VLOOKUP('Pairings NB'!$M$991,Instructores!$A:$D,4,FALSE),"")</f>
        <v/>
      </c>
      <c r="I223" s="11">
        <f>'Pairings NB'!$O$991</f>
        <v/>
      </c>
      <c r="J223" s="11">
        <f>'Pairings NB'!J991</f>
        <v/>
      </c>
      <c r="K223" s="11">
        <f>IFERROR(VLOOKUP('Pairings NB'!$M$991,Instructores!$A:$D,3,FALSE),"")</f>
        <v/>
      </c>
      <c r="L223" s="11">
        <f>IF('Pairings NB'!J991=320,4,3)</f>
        <v/>
      </c>
      <c r="M223" s="11">
        <f>'Pairings NB'!$N$991</f>
        <v/>
      </c>
    </row>
    <row r="224">
      <c r="A224" s="11">
        <f>'Pairings NB'!B996</f>
        <v/>
      </c>
      <c r="B224" s="11">
        <f>'Pairings NB'!C996</f>
        <v/>
      </c>
      <c r="C224" s="11">
        <f>'Pairings NB'!D996</f>
        <v/>
      </c>
      <c r="D224" s="11">
        <f>'Pairings NB'!E996&amp;"/"&amp;'Pairings NB'!E997</f>
        <v/>
      </c>
      <c r="E224" s="11">
        <f>'Pairings NB'!F996&amp;"-"&amp;'Pairings NB'!G996&amp;"-"&amp;'Pairings NB'!F996</f>
        <v/>
      </c>
      <c r="F224" s="11">
        <f>IFERROR(VLOOKUP('Pairings NB'!$M$996,Instructores!$A:$D,2,FALSE),"")</f>
        <v/>
      </c>
      <c r="G224" s="11">
        <f>'Pairings NB'!$M$996</f>
        <v/>
      </c>
      <c r="H224" s="11">
        <f>IFERROR(VLOOKUP('Pairings NB'!$M$996,Instructores!$A:$D,4,FALSE),"")</f>
        <v/>
      </c>
      <c r="I224" s="11">
        <f>'Pairings NB'!$O$996</f>
        <v/>
      </c>
      <c r="J224" s="11">
        <f>'Pairings NB'!J996</f>
        <v/>
      </c>
      <c r="K224" s="11">
        <f>IFERROR(VLOOKUP('Pairings NB'!$M$996,Instructores!$A:$D,3,FALSE),"")</f>
        <v/>
      </c>
      <c r="L224" s="11">
        <f>IF('Pairings NB'!J996=320,4,3)</f>
        <v/>
      </c>
      <c r="M224" s="11">
        <f>'Pairings NB'!$N$996</f>
        <v/>
      </c>
    </row>
    <row r="225">
      <c r="A225" s="11">
        <f>'Pairings NB'!B1001</f>
        <v/>
      </c>
      <c r="B225" s="11">
        <f>'Pairings NB'!C1001</f>
        <v/>
      </c>
      <c r="C225" s="11">
        <f>'Pairings NB'!D1001</f>
        <v/>
      </c>
      <c r="D225" s="11">
        <f>'Pairings NB'!E1001&amp;"/"&amp;'Pairings NB'!E1002</f>
        <v/>
      </c>
      <c r="E225" s="11">
        <f>'Pairings NB'!F1001&amp;"-"&amp;'Pairings NB'!G1001&amp;"-"&amp;'Pairings NB'!F1001</f>
        <v/>
      </c>
      <c r="F225" s="11">
        <f>IFERROR(VLOOKUP('Pairings NB'!$M$1001,Instructores!$A:$D,2,FALSE),"")</f>
        <v/>
      </c>
      <c r="G225" s="11">
        <f>'Pairings NB'!$M$1001</f>
        <v/>
      </c>
      <c r="H225" s="11">
        <f>IFERROR(VLOOKUP('Pairings NB'!$M$1001,Instructores!$A:$D,4,FALSE),"")</f>
        <v/>
      </c>
      <c r="I225" s="11">
        <f>'Pairings NB'!$O$1001</f>
        <v/>
      </c>
      <c r="J225" s="11">
        <f>'Pairings NB'!J1001</f>
        <v/>
      </c>
      <c r="K225" s="11">
        <f>IFERROR(VLOOKUP('Pairings NB'!$M$1001,Instructores!$A:$D,3,FALSE),"")</f>
        <v/>
      </c>
      <c r="L225" s="11">
        <f>IF('Pairings NB'!J1001=320,4,3)</f>
        <v/>
      </c>
      <c r="M225" s="11">
        <f>'Pairings NB'!$N$1001</f>
        <v/>
      </c>
    </row>
    <row r="226">
      <c r="A226" s="11">
        <f>'Pairings NB'!B1006</f>
        <v/>
      </c>
      <c r="B226" s="11">
        <f>'Pairings NB'!C1006</f>
        <v/>
      </c>
      <c r="C226" s="11">
        <f>'Pairings NB'!D1006</f>
        <v/>
      </c>
      <c r="D226" s="11">
        <f>'Pairings NB'!E1006&amp;"/"&amp;'Pairings NB'!E1007</f>
        <v/>
      </c>
      <c r="E226" s="11">
        <f>'Pairings NB'!F1006&amp;"-"&amp;'Pairings NB'!G1006&amp;"-"&amp;'Pairings NB'!F1006</f>
        <v/>
      </c>
      <c r="F226" s="11">
        <f>IFERROR(VLOOKUP('Pairings NB'!$M$1006,Instructores!$A:$D,2,FALSE),"")</f>
        <v/>
      </c>
      <c r="G226" s="11">
        <f>'Pairings NB'!$M$1006</f>
        <v/>
      </c>
      <c r="H226" s="11">
        <f>IFERROR(VLOOKUP('Pairings NB'!$M$1006,Instructores!$A:$D,4,FALSE),"")</f>
        <v/>
      </c>
      <c r="I226" s="11">
        <f>'Pairings NB'!$O$1006</f>
        <v/>
      </c>
      <c r="J226" s="11">
        <f>'Pairings NB'!J1006</f>
        <v/>
      </c>
      <c r="K226" s="11">
        <f>IFERROR(VLOOKUP('Pairings NB'!$M$1006,Instructores!$A:$D,3,FALSE),"")</f>
        <v/>
      </c>
      <c r="L226" s="11">
        <f>IF('Pairings NB'!J1006=320,4,3)</f>
        <v/>
      </c>
      <c r="M226" s="11">
        <f>'Pairings NB'!$N$1006</f>
        <v/>
      </c>
    </row>
    <row r="227">
      <c r="A227" s="11">
        <f>'Pairings NB'!B1011</f>
        <v/>
      </c>
      <c r="B227" s="11">
        <f>'Pairings NB'!C1011</f>
        <v/>
      </c>
      <c r="C227" s="11">
        <f>'Pairings NB'!D1011</f>
        <v/>
      </c>
      <c r="D227" s="11">
        <f>'Pairings NB'!E1011&amp;"/"&amp;'Pairings NB'!E1012</f>
        <v/>
      </c>
      <c r="E227" s="11">
        <f>'Pairings NB'!F1011&amp;"-"&amp;'Pairings NB'!G1011&amp;"-"&amp;'Pairings NB'!F1011</f>
        <v/>
      </c>
      <c r="F227" s="11">
        <f>IFERROR(VLOOKUP('Pairings NB'!$M$1011,Instructores!$A:$D,2,FALSE),"")</f>
        <v/>
      </c>
      <c r="G227" s="11">
        <f>'Pairings NB'!$M$1011</f>
        <v/>
      </c>
      <c r="H227" s="11">
        <f>IFERROR(VLOOKUP('Pairings NB'!$M$1011,Instructores!$A:$D,4,FALSE),"")</f>
        <v/>
      </c>
      <c r="I227" s="11">
        <f>'Pairings NB'!$O$1011</f>
        <v/>
      </c>
      <c r="J227" s="11">
        <f>'Pairings NB'!J1011</f>
        <v/>
      </c>
      <c r="K227" s="11">
        <f>IFERROR(VLOOKUP('Pairings NB'!$M$1011,Instructores!$A:$D,3,FALSE),"")</f>
        <v/>
      </c>
      <c r="L227" s="11">
        <f>IF('Pairings NB'!J1011=320,4,3)</f>
        <v/>
      </c>
      <c r="M227" s="11">
        <f>'Pairings NB'!$N$1011</f>
        <v/>
      </c>
    </row>
    <row r="228">
      <c r="A228" s="11">
        <f>'Pairings NB'!B1016</f>
        <v/>
      </c>
      <c r="B228" s="11">
        <f>'Pairings NB'!C1016</f>
        <v/>
      </c>
      <c r="C228" s="11">
        <f>'Pairings NB'!D1016</f>
        <v/>
      </c>
      <c r="D228" s="11">
        <f>'Pairings NB'!E1016&amp;"/"&amp;'Pairings NB'!E1017</f>
        <v/>
      </c>
      <c r="E228" s="11">
        <f>'Pairings NB'!F1016&amp;"-"&amp;'Pairings NB'!G1016&amp;"-"&amp;'Pairings NB'!F1016</f>
        <v/>
      </c>
      <c r="F228" s="11">
        <f>IFERROR(VLOOKUP('Pairings NB'!$M$1016,Instructores!$A:$D,2,FALSE),"")</f>
        <v/>
      </c>
      <c r="G228" s="11">
        <f>'Pairings NB'!$M$1016</f>
        <v/>
      </c>
      <c r="H228" s="11">
        <f>IFERROR(VLOOKUP('Pairings NB'!$M$1016,Instructores!$A:$D,4,FALSE),"")</f>
        <v/>
      </c>
      <c r="I228" s="11">
        <f>'Pairings NB'!$O$1016</f>
        <v/>
      </c>
      <c r="J228" s="11">
        <f>'Pairings NB'!J1016</f>
        <v/>
      </c>
      <c r="K228" s="11">
        <f>IFERROR(VLOOKUP('Pairings NB'!$M$1016,Instructores!$A:$D,3,FALSE),"")</f>
        <v/>
      </c>
      <c r="L228" s="11">
        <f>IF('Pairings NB'!J1016=320,4,3)</f>
        <v/>
      </c>
      <c r="M228" s="11">
        <f>'Pairings NB'!$N$1016</f>
        <v/>
      </c>
    </row>
    <row r="229">
      <c r="A229" s="11">
        <f>'Pairings NB'!B1021</f>
        <v/>
      </c>
      <c r="B229" s="11">
        <f>'Pairings NB'!C1021</f>
        <v/>
      </c>
      <c r="C229" s="11">
        <f>'Pairings NB'!D1021</f>
        <v/>
      </c>
      <c r="D229" s="11">
        <f>'Pairings NB'!E1021&amp;"/"&amp;'Pairings NB'!E1022</f>
        <v/>
      </c>
      <c r="E229" s="11">
        <f>'Pairings NB'!F1021&amp;"-"&amp;'Pairings NB'!G1021&amp;"-"&amp;'Pairings NB'!F1021</f>
        <v/>
      </c>
      <c r="F229" s="11">
        <f>IFERROR(VLOOKUP('Pairings NB'!$M$1021,Instructores!$A:$D,2,FALSE),"")</f>
        <v/>
      </c>
      <c r="G229" s="11">
        <f>'Pairings NB'!$M$1021</f>
        <v/>
      </c>
      <c r="H229" s="11">
        <f>IFERROR(VLOOKUP('Pairings NB'!$M$1021,Instructores!$A:$D,4,FALSE),"")</f>
        <v/>
      </c>
      <c r="I229" s="11">
        <f>'Pairings NB'!$O$1021</f>
        <v/>
      </c>
      <c r="J229" s="11">
        <f>'Pairings NB'!J1021</f>
        <v/>
      </c>
      <c r="K229" s="11">
        <f>IFERROR(VLOOKUP('Pairings NB'!$M$1021,Instructores!$A:$D,3,FALSE),"")</f>
        <v/>
      </c>
      <c r="L229" s="11">
        <f>IF('Pairings NB'!J1021=320,4,3)</f>
        <v/>
      </c>
      <c r="M229" s="11">
        <f>'Pairings NB'!$N$1021</f>
        <v/>
      </c>
    </row>
    <row r="230">
      <c r="A230" s="11">
        <f>'Pairings NB'!B1026</f>
        <v/>
      </c>
      <c r="B230" s="11">
        <f>'Pairings NB'!C1026</f>
        <v/>
      </c>
      <c r="C230" s="11">
        <f>'Pairings NB'!D1026</f>
        <v/>
      </c>
      <c r="D230" s="11">
        <f>'Pairings NB'!E1026&amp;"/"&amp;'Pairings NB'!E1027</f>
        <v/>
      </c>
      <c r="E230" s="11">
        <f>'Pairings NB'!F1026&amp;"-"&amp;'Pairings NB'!G1026&amp;"-"&amp;'Pairings NB'!F1026</f>
        <v/>
      </c>
      <c r="F230" s="11">
        <f>IFERROR(VLOOKUP('Pairings NB'!$M$1026,Instructores!$A:$D,2,FALSE),"")</f>
        <v/>
      </c>
      <c r="G230" s="11">
        <f>'Pairings NB'!$M$1026</f>
        <v/>
      </c>
      <c r="H230" s="11">
        <f>IFERROR(VLOOKUP('Pairings NB'!$M$1026,Instructores!$A:$D,4,FALSE),"")</f>
        <v/>
      </c>
      <c r="I230" s="11">
        <f>'Pairings NB'!$O$1026</f>
        <v/>
      </c>
      <c r="J230" s="11">
        <f>'Pairings NB'!J1026</f>
        <v/>
      </c>
      <c r="K230" s="11">
        <f>IFERROR(VLOOKUP('Pairings NB'!$M$1026,Instructores!$A:$D,3,FALSE),"")</f>
        <v/>
      </c>
      <c r="L230" s="11">
        <f>IF('Pairings NB'!J1026=320,4,3)</f>
        <v/>
      </c>
      <c r="M230" s="11">
        <f>'Pairings NB'!$N$1026</f>
        <v/>
      </c>
    </row>
    <row r="231">
      <c r="A231" s="11">
        <f>'Pairings NB'!B1031</f>
        <v/>
      </c>
      <c r="B231" s="11">
        <f>'Pairings NB'!C1031</f>
        <v/>
      </c>
      <c r="C231" s="11">
        <f>'Pairings NB'!D1031</f>
        <v/>
      </c>
      <c r="D231" s="11">
        <f>'Pairings NB'!E1031&amp;"/"&amp;'Pairings NB'!E1032</f>
        <v/>
      </c>
      <c r="E231" s="11">
        <f>'Pairings NB'!F1031&amp;"-"&amp;'Pairings NB'!G1031&amp;"-"&amp;'Pairings NB'!F1031</f>
        <v/>
      </c>
      <c r="F231" s="11">
        <f>IFERROR(VLOOKUP('Pairings NB'!$M$1031,Instructores!$A:$D,2,FALSE),"")</f>
        <v/>
      </c>
      <c r="G231" s="11">
        <f>'Pairings NB'!$M$1031</f>
        <v/>
      </c>
      <c r="H231" s="11">
        <f>IFERROR(VLOOKUP('Pairings NB'!$M$1031,Instructores!$A:$D,4,FALSE),"")</f>
        <v/>
      </c>
      <c r="I231" s="11">
        <f>'Pairings NB'!$O$1031</f>
        <v/>
      </c>
      <c r="J231" s="11">
        <f>'Pairings NB'!J1031</f>
        <v/>
      </c>
      <c r="K231" s="11">
        <f>IFERROR(VLOOKUP('Pairings NB'!$M$1031,Instructores!$A:$D,3,FALSE),"")</f>
        <v/>
      </c>
      <c r="L231" s="11">
        <f>IF('Pairings NB'!J1031=320,4,3)</f>
        <v/>
      </c>
      <c r="M231" s="11">
        <f>'Pairings NB'!$N$1031</f>
        <v/>
      </c>
    </row>
    <row r="232">
      <c r="A232" s="11">
        <f>'Pairings NB'!B1036</f>
        <v/>
      </c>
      <c r="B232" s="11">
        <f>'Pairings NB'!C1036</f>
        <v/>
      </c>
      <c r="C232" s="11">
        <f>'Pairings NB'!D1036</f>
        <v/>
      </c>
      <c r="D232" s="11">
        <f>'Pairings NB'!E1036&amp;"/"&amp;'Pairings NB'!E1037</f>
        <v/>
      </c>
      <c r="E232" s="11">
        <f>'Pairings NB'!F1036&amp;"-"&amp;'Pairings NB'!G1036&amp;"-"&amp;'Pairings NB'!F1036</f>
        <v/>
      </c>
      <c r="F232" s="11">
        <f>IFERROR(VLOOKUP('Pairings NB'!$M$1036,Instructores!$A:$D,2,FALSE),"")</f>
        <v/>
      </c>
      <c r="G232" s="11">
        <f>'Pairings NB'!$M$1036</f>
        <v/>
      </c>
      <c r="H232" s="11">
        <f>IFERROR(VLOOKUP('Pairings NB'!$M$1036,Instructores!$A:$D,4,FALSE),"")</f>
        <v/>
      </c>
      <c r="I232" s="11">
        <f>'Pairings NB'!$O$1036</f>
        <v/>
      </c>
      <c r="J232" s="11">
        <f>'Pairings NB'!J1036</f>
        <v/>
      </c>
      <c r="K232" s="11">
        <f>IFERROR(VLOOKUP('Pairings NB'!$M$1036,Instructores!$A:$D,3,FALSE),"")</f>
        <v/>
      </c>
      <c r="L232" s="11">
        <f>IF('Pairings NB'!J1036=320,4,3)</f>
        <v/>
      </c>
      <c r="M232" s="11">
        <f>'Pairings NB'!$N$1036</f>
        <v/>
      </c>
    </row>
    <row r="233">
      <c r="A233" s="11">
        <f>'Pairings NB'!B1038</f>
        <v/>
      </c>
      <c r="B233" s="11">
        <f>'Pairings NB'!C1038</f>
        <v/>
      </c>
      <c r="C233" s="11">
        <f>'Pairings NB'!D1038</f>
        <v/>
      </c>
      <c r="D233" s="11">
        <f>'Pairings NB'!E1038&amp;"/"&amp;'Pairings NB'!E1039</f>
        <v/>
      </c>
      <c r="E233" s="11">
        <f>'Pairings NB'!F1038&amp;"-"&amp;'Pairings NB'!G1038&amp;"-"&amp;'Pairings NB'!F1038</f>
        <v/>
      </c>
      <c r="F233" s="11">
        <f>IFERROR(VLOOKUP('Pairings NB'!$M$1036,Instructores!$A:$D,2,FALSE),"")</f>
        <v/>
      </c>
      <c r="G233" s="11">
        <f>'Pairings NB'!$M$1036</f>
        <v/>
      </c>
      <c r="H233" s="11">
        <f>IFERROR(VLOOKUP('Pairings NB'!$M$1036,Instructores!$A:$D,4,FALSE),"")</f>
        <v/>
      </c>
      <c r="I233" s="11">
        <f>'Pairings NB'!$O$1036</f>
        <v/>
      </c>
      <c r="J233" s="11">
        <f>'Pairings NB'!J1038</f>
        <v/>
      </c>
      <c r="K233" s="11">
        <f>IFERROR(VLOOKUP('Pairings NB'!$M$1036,Instructores!$A:$D,3,FALSE),"")</f>
        <v/>
      </c>
      <c r="L233" s="11">
        <f>IF('Pairings NB'!J1038=320,4,3)</f>
        <v/>
      </c>
      <c r="M233" s="11">
        <f>'Pairings NB'!$N$1036</f>
        <v/>
      </c>
    </row>
    <row r="234">
      <c r="A234" s="11">
        <f>'Pairings NB'!B1043</f>
        <v/>
      </c>
      <c r="B234" s="11">
        <f>'Pairings NB'!C1043</f>
        <v/>
      </c>
      <c r="C234" s="11">
        <f>'Pairings NB'!D1043</f>
        <v/>
      </c>
      <c r="D234" s="11">
        <f>'Pairings NB'!E1043&amp;"/"&amp;'Pairings NB'!E1044</f>
        <v/>
      </c>
      <c r="E234" s="11">
        <f>'Pairings NB'!F1043&amp;"-"&amp;'Pairings NB'!G1043&amp;"-"&amp;'Pairings NB'!F1043</f>
        <v/>
      </c>
      <c r="F234" s="11">
        <f>IFERROR(VLOOKUP('Pairings NB'!$M$1043,Instructores!$A:$D,2,FALSE),"")</f>
        <v/>
      </c>
      <c r="G234" s="11">
        <f>'Pairings NB'!$M$1043</f>
        <v/>
      </c>
      <c r="H234" s="11">
        <f>IFERROR(VLOOKUP('Pairings NB'!$M$1043,Instructores!$A:$D,4,FALSE),"")</f>
        <v/>
      </c>
      <c r="I234" s="11">
        <f>'Pairings NB'!$O$1043</f>
        <v/>
      </c>
      <c r="J234" s="11">
        <f>'Pairings NB'!J1043</f>
        <v/>
      </c>
      <c r="K234" s="11">
        <f>IFERROR(VLOOKUP('Pairings NB'!$M$1043,Instructores!$A:$D,3,FALSE),"")</f>
        <v/>
      </c>
      <c r="L234" s="11">
        <f>IF('Pairings NB'!J1043=320,4,3)</f>
        <v/>
      </c>
      <c r="M234" s="11">
        <f>'Pairings NB'!$N$1043</f>
        <v/>
      </c>
    </row>
    <row r="235">
      <c r="A235" s="11">
        <f>'Pairings NB'!B1045</f>
        <v/>
      </c>
      <c r="B235" s="11">
        <f>'Pairings NB'!C1045</f>
        <v/>
      </c>
      <c r="C235" s="11">
        <f>'Pairings NB'!D1045</f>
        <v/>
      </c>
      <c r="D235" s="11">
        <f>'Pairings NB'!E1045&amp;"/"&amp;'Pairings NB'!E1046</f>
        <v/>
      </c>
      <c r="E235" s="11">
        <f>'Pairings NB'!F1045&amp;"-"&amp;'Pairings NB'!G1045&amp;"-"&amp;'Pairings NB'!F1045</f>
        <v/>
      </c>
      <c r="F235" s="11">
        <f>IFERROR(VLOOKUP('Pairings NB'!$M$1043,Instructores!$A:$D,2,FALSE),"")</f>
        <v/>
      </c>
      <c r="G235" s="11">
        <f>'Pairings NB'!$M$1043</f>
        <v/>
      </c>
      <c r="H235" s="11">
        <f>IFERROR(VLOOKUP('Pairings NB'!$M$1043,Instructores!$A:$D,4,FALSE),"")</f>
        <v/>
      </c>
      <c r="I235" s="11">
        <f>'Pairings NB'!$O$1043</f>
        <v/>
      </c>
      <c r="J235" s="11">
        <f>'Pairings NB'!J1045</f>
        <v/>
      </c>
      <c r="K235" s="11">
        <f>IFERROR(VLOOKUP('Pairings NB'!$M$1043,Instructores!$A:$D,3,FALSE),"")</f>
        <v/>
      </c>
      <c r="L235" s="11">
        <f>IF('Pairings NB'!J1045=320,4,3)</f>
        <v/>
      </c>
      <c r="M235" s="11">
        <f>'Pairings NB'!$N$1043</f>
        <v/>
      </c>
    </row>
    <row r="236">
      <c r="A236" s="11">
        <f>'Pairings NB'!B1050</f>
        <v/>
      </c>
      <c r="B236" s="11">
        <f>'Pairings NB'!C1050</f>
        <v/>
      </c>
      <c r="C236" s="11">
        <f>'Pairings NB'!D1050</f>
        <v/>
      </c>
      <c r="D236" s="11">
        <f>'Pairings NB'!E1050&amp;"/"&amp;'Pairings NB'!E1051</f>
        <v/>
      </c>
      <c r="E236" s="11">
        <f>'Pairings NB'!F1050&amp;"-"&amp;'Pairings NB'!G1050&amp;"-"&amp;'Pairings NB'!F1050</f>
        <v/>
      </c>
      <c r="F236" s="11">
        <f>IFERROR(VLOOKUP('Pairings NB'!$M$1050,Instructores!$A:$D,2,FALSE),"")</f>
        <v/>
      </c>
      <c r="G236" s="11">
        <f>'Pairings NB'!$M$1050</f>
        <v/>
      </c>
      <c r="H236" s="11">
        <f>IFERROR(VLOOKUP('Pairings NB'!$M$1050,Instructores!$A:$D,4,FALSE),"")</f>
        <v/>
      </c>
      <c r="I236" s="11">
        <f>'Pairings NB'!$O$1050</f>
        <v/>
      </c>
      <c r="J236" s="11">
        <f>'Pairings NB'!J1050</f>
        <v/>
      </c>
      <c r="K236" s="11">
        <f>IFERROR(VLOOKUP('Pairings NB'!$M$1050,Instructores!$A:$D,3,FALSE),"")</f>
        <v/>
      </c>
      <c r="L236" s="11">
        <f>IF('Pairings NB'!J1050=320,4,3)</f>
        <v/>
      </c>
      <c r="M236" s="11">
        <f>'Pairings NB'!$N$1050</f>
        <v/>
      </c>
    </row>
    <row r="237">
      <c r="A237" s="11">
        <f>'Pairings NB'!B1052</f>
        <v/>
      </c>
      <c r="B237" s="11">
        <f>'Pairings NB'!C1052</f>
        <v/>
      </c>
      <c r="C237" s="11">
        <f>'Pairings NB'!D1052</f>
        <v/>
      </c>
      <c r="D237" s="11">
        <f>'Pairings NB'!E1052&amp;"/"&amp;'Pairings NB'!E1053</f>
        <v/>
      </c>
      <c r="E237" s="11">
        <f>'Pairings NB'!F1052&amp;"-"&amp;'Pairings NB'!G1052&amp;"-"&amp;'Pairings NB'!F1052</f>
        <v/>
      </c>
      <c r="F237" s="11">
        <f>IFERROR(VLOOKUP('Pairings NB'!$M$1050,Instructores!$A:$D,2,FALSE),"")</f>
        <v/>
      </c>
      <c r="G237" s="11">
        <f>'Pairings NB'!$M$1050</f>
        <v/>
      </c>
      <c r="H237" s="11">
        <f>IFERROR(VLOOKUP('Pairings NB'!$M$1050,Instructores!$A:$D,4,FALSE),"")</f>
        <v/>
      </c>
      <c r="I237" s="11">
        <f>'Pairings NB'!$O$1050</f>
        <v/>
      </c>
      <c r="J237" s="11">
        <f>'Pairings NB'!J1052</f>
        <v/>
      </c>
      <c r="K237" s="11">
        <f>IFERROR(VLOOKUP('Pairings NB'!$M$1050,Instructores!$A:$D,3,FALSE),"")</f>
        <v/>
      </c>
      <c r="L237" s="11">
        <f>IF('Pairings NB'!J1052=320,4,3)</f>
        <v/>
      </c>
      <c r="M237" s="11">
        <f>'Pairings NB'!$N$1050</f>
        <v/>
      </c>
    </row>
    <row r="238">
      <c r="A238" s="11">
        <f>'Pairings NB'!B1057</f>
        <v/>
      </c>
      <c r="B238" s="11">
        <f>'Pairings NB'!C1057</f>
        <v/>
      </c>
      <c r="C238" s="11">
        <f>'Pairings NB'!D1057</f>
        <v/>
      </c>
      <c r="D238" s="11">
        <f>'Pairings NB'!E1057&amp;"/"&amp;'Pairings NB'!E1058</f>
        <v/>
      </c>
      <c r="E238" s="11">
        <f>'Pairings NB'!F1057&amp;"-"&amp;'Pairings NB'!G1057&amp;"-"&amp;'Pairings NB'!F1057</f>
        <v/>
      </c>
      <c r="F238" s="11">
        <f>IFERROR(VLOOKUP('Pairings NB'!$M$1057,Instructores!$A:$D,2,FALSE),"")</f>
        <v/>
      </c>
      <c r="G238" s="11">
        <f>'Pairings NB'!$M$1057</f>
        <v/>
      </c>
      <c r="H238" s="11">
        <f>IFERROR(VLOOKUP('Pairings NB'!$M$1057,Instructores!$A:$D,4,FALSE),"")</f>
        <v/>
      </c>
      <c r="I238" s="11">
        <f>'Pairings NB'!$O$1057</f>
        <v/>
      </c>
      <c r="J238" s="11">
        <f>'Pairings NB'!J1057</f>
        <v/>
      </c>
      <c r="K238" s="11">
        <f>IFERROR(VLOOKUP('Pairings NB'!$M$1057,Instructores!$A:$D,3,FALSE),"")</f>
        <v/>
      </c>
      <c r="L238" s="11">
        <f>IF('Pairings NB'!J1057=320,4,3)</f>
        <v/>
      </c>
      <c r="M238" s="11">
        <f>'Pairings NB'!$N$1057</f>
        <v/>
      </c>
    </row>
    <row r="239">
      <c r="A239" s="11">
        <f>'Pairings NB'!B1059</f>
        <v/>
      </c>
      <c r="B239" s="11">
        <f>'Pairings NB'!C1059</f>
        <v/>
      </c>
      <c r="C239" s="11">
        <f>'Pairings NB'!D1059</f>
        <v/>
      </c>
      <c r="D239" s="11">
        <f>'Pairings NB'!E1059&amp;"/"&amp;'Pairings NB'!E1060</f>
        <v/>
      </c>
      <c r="E239" s="11">
        <f>'Pairings NB'!F1059&amp;"-"&amp;'Pairings NB'!G1059&amp;"-"&amp;'Pairings NB'!F1059</f>
        <v/>
      </c>
      <c r="F239" s="11">
        <f>IFERROR(VLOOKUP('Pairings NB'!$M$1057,Instructores!$A:$D,2,FALSE),"")</f>
        <v/>
      </c>
      <c r="G239" s="11">
        <f>'Pairings NB'!$M$1057</f>
        <v/>
      </c>
      <c r="H239" s="11">
        <f>IFERROR(VLOOKUP('Pairings NB'!$M$1057,Instructores!$A:$D,4,FALSE),"")</f>
        <v/>
      </c>
      <c r="I239" s="11">
        <f>'Pairings NB'!$O$1057</f>
        <v/>
      </c>
      <c r="J239" s="11">
        <f>'Pairings NB'!J1059</f>
        <v/>
      </c>
      <c r="K239" s="11">
        <f>IFERROR(VLOOKUP('Pairings NB'!$M$1057,Instructores!$A:$D,3,FALSE),"")</f>
        <v/>
      </c>
      <c r="L239" s="11">
        <f>IF('Pairings NB'!J1059=320,4,3)</f>
        <v/>
      </c>
      <c r="M239" s="11">
        <f>'Pairings NB'!$N$1057</f>
        <v/>
      </c>
    </row>
    <row r="240">
      <c r="A240" s="11">
        <f>'Pairings NB'!B1064</f>
        <v/>
      </c>
      <c r="B240" s="11">
        <f>'Pairings NB'!C1064</f>
        <v/>
      </c>
      <c r="C240" s="11">
        <f>'Pairings NB'!D1064</f>
        <v/>
      </c>
      <c r="D240" s="11">
        <f>'Pairings NB'!E1064&amp;"/"&amp;'Pairings NB'!E1065</f>
        <v/>
      </c>
      <c r="E240" s="11">
        <f>'Pairings NB'!F1064&amp;"-"&amp;'Pairings NB'!G1064&amp;"-"&amp;'Pairings NB'!F1064</f>
        <v/>
      </c>
      <c r="F240" s="11">
        <f>IFERROR(VLOOKUP('Pairings NB'!$M$1064,Instructores!$A:$D,2,FALSE),"")</f>
        <v/>
      </c>
      <c r="G240" s="11">
        <f>'Pairings NB'!$M$1064</f>
        <v/>
      </c>
      <c r="H240" s="11">
        <f>IFERROR(VLOOKUP('Pairings NB'!$M$1064,Instructores!$A:$D,4,FALSE),"")</f>
        <v/>
      </c>
      <c r="I240" s="11">
        <f>'Pairings NB'!$O$1064</f>
        <v/>
      </c>
      <c r="J240" s="11">
        <f>'Pairings NB'!J1064</f>
        <v/>
      </c>
      <c r="K240" s="11">
        <f>IFERROR(VLOOKUP('Pairings NB'!$M$1064,Instructores!$A:$D,3,FALSE),"")</f>
        <v/>
      </c>
      <c r="L240" s="11">
        <f>IF('Pairings NB'!J1064=320,4,3)</f>
        <v/>
      </c>
      <c r="M240" s="11">
        <f>'Pairings NB'!$N$1064</f>
        <v/>
      </c>
    </row>
    <row r="241">
      <c r="A241" s="11">
        <f>'Pairings NB'!B1069</f>
        <v/>
      </c>
      <c r="B241" s="11">
        <f>'Pairings NB'!C1069</f>
        <v/>
      </c>
      <c r="C241" s="11">
        <f>'Pairings NB'!D1069</f>
        <v/>
      </c>
      <c r="D241" s="11">
        <f>'Pairings NB'!E1069&amp;"/"&amp;'Pairings NB'!E1070</f>
        <v/>
      </c>
      <c r="E241" s="11">
        <f>'Pairings NB'!F1069&amp;"-"&amp;'Pairings NB'!G1069&amp;"-"&amp;'Pairings NB'!F1069</f>
        <v/>
      </c>
      <c r="F241" s="11">
        <f>IFERROR(VLOOKUP('Pairings NB'!$M$1069,Instructores!$A:$D,2,FALSE),"")</f>
        <v/>
      </c>
      <c r="G241" s="11">
        <f>'Pairings NB'!$M$1069</f>
        <v/>
      </c>
      <c r="H241" s="11">
        <f>IFERROR(VLOOKUP('Pairings NB'!$M$1069,Instructores!$A:$D,4,FALSE),"")</f>
        <v/>
      </c>
      <c r="I241" s="11">
        <f>'Pairings NB'!$O$1069</f>
        <v/>
      </c>
      <c r="J241" s="11">
        <f>'Pairings NB'!J1069</f>
        <v/>
      </c>
      <c r="K241" s="11">
        <f>IFERROR(VLOOKUP('Pairings NB'!$M$1069,Instructores!$A:$D,3,FALSE),"")</f>
        <v/>
      </c>
      <c r="L241" s="11">
        <f>IF('Pairings NB'!J1069=320,4,3)</f>
        <v/>
      </c>
      <c r="M241" s="11">
        <f>'Pairings NB'!$N$1069</f>
        <v/>
      </c>
    </row>
    <row r="242">
      <c r="A242" s="11">
        <f>'Pairings NB'!B1074</f>
        <v/>
      </c>
      <c r="B242" s="11">
        <f>'Pairings NB'!C1074</f>
        <v/>
      </c>
      <c r="C242" s="11">
        <f>'Pairings NB'!D1074</f>
        <v/>
      </c>
      <c r="D242" s="11">
        <f>'Pairings NB'!E1074&amp;"/"&amp;'Pairings NB'!E1075</f>
        <v/>
      </c>
      <c r="E242" s="11">
        <f>'Pairings NB'!F1074&amp;"-"&amp;'Pairings NB'!G1074&amp;"-"&amp;'Pairings NB'!F1074</f>
        <v/>
      </c>
      <c r="F242" s="11">
        <f>IFERROR(VLOOKUP('Pairings NB'!$M$1074,Instructores!$A:$D,2,FALSE),"")</f>
        <v/>
      </c>
      <c r="G242" s="11">
        <f>'Pairings NB'!$M$1074</f>
        <v/>
      </c>
      <c r="H242" s="11">
        <f>IFERROR(VLOOKUP('Pairings NB'!$M$1074,Instructores!$A:$D,4,FALSE),"")</f>
        <v/>
      </c>
      <c r="I242" s="11">
        <f>'Pairings NB'!$O$1074</f>
        <v/>
      </c>
      <c r="J242" s="11">
        <f>'Pairings NB'!J1074</f>
        <v/>
      </c>
      <c r="K242" s="11">
        <f>IFERROR(VLOOKUP('Pairings NB'!$M$1074,Instructores!$A:$D,3,FALSE),"")</f>
        <v/>
      </c>
      <c r="L242" s="11">
        <f>IF('Pairings NB'!J1074=320,4,3)</f>
        <v/>
      </c>
      <c r="M242" s="11">
        <f>'Pairings NB'!$N$1074</f>
        <v/>
      </c>
    </row>
    <row r="243">
      <c r="A243" s="11">
        <f>'Pairings NB'!B1079</f>
        <v/>
      </c>
      <c r="B243" s="11">
        <f>'Pairings NB'!C1079</f>
        <v/>
      </c>
      <c r="C243" s="11">
        <f>'Pairings NB'!D1079</f>
        <v/>
      </c>
      <c r="D243" s="11">
        <f>'Pairings NB'!E1079&amp;"/"&amp;'Pairings NB'!E1080</f>
        <v/>
      </c>
      <c r="E243" s="11">
        <f>'Pairings NB'!F1079&amp;"-"&amp;'Pairings NB'!G1079&amp;"-"&amp;'Pairings NB'!F1079</f>
        <v/>
      </c>
      <c r="F243" s="11">
        <f>IFERROR(VLOOKUP('Pairings NB'!$M$1079,Instructores!$A:$D,2,FALSE),"")</f>
        <v/>
      </c>
      <c r="G243" s="11">
        <f>'Pairings NB'!$M$1079</f>
        <v/>
      </c>
      <c r="H243" s="11">
        <f>IFERROR(VLOOKUP('Pairings NB'!$M$1079,Instructores!$A:$D,4,FALSE),"")</f>
        <v/>
      </c>
      <c r="I243" s="11">
        <f>'Pairings NB'!$O$1079</f>
        <v/>
      </c>
      <c r="J243" s="11">
        <f>'Pairings NB'!J1079</f>
        <v/>
      </c>
      <c r="K243" s="11">
        <f>IFERROR(VLOOKUP('Pairings NB'!$M$1079,Instructores!$A:$D,3,FALSE),"")</f>
        <v/>
      </c>
      <c r="L243" s="11">
        <f>IF('Pairings NB'!J1079=320,4,3)</f>
        <v/>
      </c>
      <c r="M243" s="11">
        <f>'Pairings NB'!$N$1079</f>
        <v/>
      </c>
    </row>
    <row r="244">
      <c r="A244" s="11">
        <f>'Pairings NB'!B1084</f>
        <v/>
      </c>
      <c r="B244" s="11">
        <f>'Pairings NB'!C1084</f>
        <v/>
      </c>
      <c r="C244" s="11">
        <f>'Pairings NB'!D1084</f>
        <v/>
      </c>
      <c r="D244" s="11">
        <f>'Pairings NB'!E1084&amp;"/"&amp;'Pairings NB'!E1085</f>
        <v/>
      </c>
      <c r="E244" s="11">
        <f>'Pairings NB'!F1084&amp;"-"&amp;'Pairings NB'!G1084&amp;"-"&amp;'Pairings NB'!F1084</f>
        <v/>
      </c>
      <c r="F244" s="11">
        <f>IFERROR(VLOOKUP('Pairings NB'!$M$1084,Instructores!$A:$D,2,FALSE),"")</f>
        <v/>
      </c>
      <c r="G244" s="11">
        <f>'Pairings NB'!$M$1084</f>
        <v/>
      </c>
      <c r="H244" s="11">
        <f>IFERROR(VLOOKUP('Pairings NB'!$M$1084,Instructores!$A:$D,4,FALSE),"")</f>
        <v/>
      </c>
      <c r="I244" s="11">
        <f>'Pairings NB'!$O$1084</f>
        <v/>
      </c>
      <c r="J244" s="11">
        <f>'Pairings NB'!J1084</f>
        <v/>
      </c>
      <c r="K244" s="11">
        <f>IFERROR(VLOOKUP('Pairings NB'!$M$1084,Instructores!$A:$D,3,FALSE),"")</f>
        <v/>
      </c>
      <c r="L244" s="11">
        <f>IF('Pairings NB'!J1084=320,4,3)</f>
        <v/>
      </c>
      <c r="M244" s="11">
        <f>'Pairings NB'!$N$1084</f>
        <v/>
      </c>
    </row>
    <row r="245">
      <c r="A245" s="11">
        <f>'Pairings NB'!B1089</f>
        <v/>
      </c>
      <c r="B245" s="11">
        <f>'Pairings NB'!C1089</f>
        <v/>
      </c>
      <c r="C245" s="11">
        <f>'Pairings NB'!D1089</f>
        <v/>
      </c>
      <c r="D245" s="11">
        <f>'Pairings NB'!E1089&amp;"/"&amp;'Pairings NB'!E1090</f>
        <v/>
      </c>
      <c r="E245" s="11">
        <f>'Pairings NB'!F1089&amp;"-"&amp;'Pairings NB'!G1089&amp;"-"&amp;'Pairings NB'!F1089</f>
        <v/>
      </c>
      <c r="F245" s="11">
        <f>IFERROR(VLOOKUP('Pairings NB'!$M$1089,Instructores!$A:$D,2,FALSE),"")</f>
        <v/>
      </c>
      <c r="G245" s="11">
        <f>'Pairings NB'!$M$1089</f>
        <v/>
      </c>
      <c r="H245" s="11">
        <f>IFERROR(VLOOKUP('Pairings NB'!$M$1089,Instructores!$A:$D,4,FALSE),"")</f>
        <v/>
      </c>
      <c r="I245" s="11">
        <f>'Pairings NB'!$O$1089</f>
        <v/>
      </c>
      <c r="J245" s="11">
        <f>'Pairings NB'!J1089</f>
        <v/>
      </c>
      <c r="K245" s="11">
        <f>IFERROR(VLOOKUP('Pairings NB'!$M$1089,Instructores!$A:$D,3,FALSE),"")</f>
        <v/>
      </c>
      <c r="L245" s="11">
        <f>IF('Pairings NB'!J1089=320,4,3)</f>
        <v/>
      </c>
      <c r="M245" s="11">
        <f>'Pairings NB'!$N$1089</f>
        <v/>
      </c>
    </row>
    <row r="246">
      <c r="A246" s="11">
        <f>'Pairings NB'!B1094</f>
        <v/>
      </c>
      <c r="B246" s="11">
        <f>'Pairings NB'!C1094</f>
        <v/>
      </c>
      <c r="C246" s="11">
        <f>'Pairings NB'!D1094</f>
        <v/>
      </c>
      <c r="D246" s="11">
        <f>'Pairings NB'!E1094&amp;"/"&amp;'Pairings NB'!E1095</f>
        <v/>
      </c>
      <c r="E246" s="11">
        <f>'Pairings NB'!F1094&amp;"-"&amp;'Pairings NB'!G1094&amp;"-"&amp;'Pairings NB'!F1094</f>
        <v/>
      </c>
      <c r="F246" s="11">
        <f>IFERROR(VLOOKUP('Pairings NB'!$M$1094,Instructores!$A:$D,2,FALSE),"")</f>
        <v/>
      </c>
      <c r="G246" s="11">
        <f>'Pairings NB'!$M$1094</f>
        <v/>
      </c>
      <c r="H246" s="11">
        <f>IFERROR(VLOOKUP('Pairings NB'!$M$1094,Instructores!$A:$D,4,FALSE),"")</f>
        <v/>
      </c>
      <c r="I246" s="11">
        <f>'Pairings NB'!$O$1094</f>
        <v/>
      </c>
      <c r="J246" s="11">
        <f>'Pairings NB'!J1094</f>
        <v/>
      </c>
      <c r="K246" s="11">
        <f>IFERROR(VLOOKUP('Pairings NB'!$M$1094,Instructores!$A:$D,3,FALSE),"")</f>
        <v/>
      </c>
      <c r="L246" s="11">
        <f>IF('Pairings NB'!J1094=320,4,3)</f>
        <v/>
      </c>
      <c r="M246" s="11">
        <f>'Pairings NB'!$N$1094</f>
        <v/>
      </c>
    </row>
    <row r="247">
      <c r="A247" s="11">
        <f>'Pairings NB'!B1099</f>
        <v/>
      </c>
      <c r="B247" s="11">
        <f>'Pairings NB'!C1099</f>
        <v/>
      </c>
      <c r="C247" s="11">
        <f>'Pairings NB'!D1099</f>
        <v/>
      </c>
      <c r="D247" s="11">
        <f>'Pairings NB'!E1099&amp;"/"&amp;'Pairings NB'!E1100</f>
        <v/>
      </c>
      <c r="E247" s="11">
        <f>'Pairings NB'!F1099&amp;"-"&amp;'Pairings NB'!G1099&amp;"-"&amp;'Pairings NB'!F1099</f>
        <v/>
      </c>
      <c r="F247" s="11">
        <f>IFERROR(VLOOKUP('Pairings NB'!$M$1099,Instructores!$A:$D,2,FALSE),"")</f>
        <v/>
      </c>
      <c r="G247" s="11">
        <f>'Pairings NB'!$M$1099</f>
        <v/>
      </c>
      <c r="H247" s="11">
        <f>IFERROR(VLOOKUP('Pairings NB'!$M$1099,Instructores!$A:$D,4,FALSE),"")</f>
        <v/>
      </c>
      <c r="I247" s="11">
        <f>'Pairings NB'!$O$1099</f>
        <v/>
      </c>
      <c r="J247" s="11">
        <f>'Pairings NB'!J1099</f>
        <v/>
      </c>
      <c r="K247" s="11">
        <f>IFERROR(VLOOKUP('Pairings NB'!$M$1099,Instructores!$A:$D,3,FALSE),"")</f>
        <v/>
      </c>
      <c r="L247" s="11">
        <f>IF('Pairings NB'!J1099=320,4,3)</f>
        <v/>
      </c>
      <c r="M247" s="11">
        <f>'Pairings NB'!$N$1099</f>
        <v/>
      </c>
    </row>
    <row r="248">
      <c r="A248" s="11">
        <f>'Pairings NB'!B1104</f>
        <v/>
      </c>
      <c r="B248" s="11">
        <f>'Pairings NB'!C1104</f>
        <v/>
      </c>
      <c r="C248" s="11">
        <f>'Pairings NB'!D1104</f>
        <v/>
      </c>
      <c r="D248" s="11">
        <f>'Pairings NB'!E1104&amp;"/"&amp;'Pairings NB'!E1105</f>
        <v/>
      </c>
      <c r="E248" s="11">
        <f>'Pairings NB'!F1104&amp;"-"&amp;'Pairings NB'!G1104&amp;"-"&amp;'Pairings NB'!F1104</f>
        <v/>
      </c>
      <c r="F248" s="11">
        <f>IFERROR(VLOOKUP('Pairings NB'!$M$1104,Instructores!$A:$D,2,FALSE),"")</f>
        <v/>
      </c>
      <c r="G248" s="11">
        <f>'Pairings NB'!$M$1104</f>
        <v/>
      </c>
      <c r="H248" s="11">
        <f>IFERROR(VLOOKUP('Pairings NB'!$M$1104,Instructores!$A:$D,4,FALSE),"")</f>
        <v/>
      </c>
      <c r="I248" s="11">
        <f>'Pairings NB'!$O$1104</f>
        <v/>
      </c>
      <c r="J248" s="11">
        <f>'Pairings NB'!J1104</f>
        <v/>
      </c>
      <c r="K248" s="11">
        <f>IFERROR(VLOOKUP('Pairings NB'!$M$1104,Instructores!$A:$D,3,FALSE),"")</f>
        <v/>
      </c>
      <c r="L248" s="11">
        <f>IF('Pairings NB'!J1104=320,4,3)</f>
        <v/>
      </c>
      <c r="M248" s="11">
        <f>'Pairings NB'!$N$1104</f>
        <v/>
      </c>
    </row>
    <row r="249">
      <c r="A249" s="11">
        <f>'Pairings NB'!B1106</f>
        <v/>
      </c>
      <c r="B249" s="11">
        <f>'Pairings NB'!C1106</f>
        <v/>
      </c>
      <c r="C249" s="11">
        <f>'Pairings NB'!D1106</f>
        <v/>
      </c>
      <c r="D249" s="11">
        <f>'Pairings NB'!E1106&amp;"/"&amp;'Pairings NB'!E1107</f>
        <v/>
      </c>
      <c r="E249" s="11">
        <f>'Pairings NB'!F1106&amp;"-"&amp;'Pairings NB'!G1106&amp;"-"&amp;'Pairings NB'!F1106</f>
        <v/>
      </c>
      <c r="F249" s="11">
        <f>IFERROR(VLOOKUP('Pairings NB'!$M$1104,Instructores!$A:$D,2,FALSE),"")</f>
        <v/>
      </c>
      <c r="G249" s="11">
        <f>'Pairings NB'!$M$1104</f>
        <v/>
      </c>
      <c r="H249" s="11">
        <f>IFERROR(VLOOKUP('Pairings NB'!$M$1104,Instructores!$A:$D,4,FALSE),"")</f>
        <v/>
      </c>
      <c r="I249" s="11">
        <f>'Pairings NB'!$O$1104</f>
        <v/>
      </c>
      <c r="J249" s="11">
        <f>'Pairings NB'!J1106</f>
        <v/>
      </c>
      <c r="K249" s="11">
        <f>IFERROR(VLOOKUP('Pairings NB'!$M$1104,Instructores!$A:$D,3,FALSE),"")</f>
        <v/>
      </c>
      <c r="L249" s="11">
        <f>IF('Pairings NB'!J1106=320,4,3)</f>
        <v/>
      </c>
      <c r="M249" s="11">
        <f>'Pairings NB'!$N$1104</f>
        <v/>
      </c>
    </row>
    <row r="250">
      <c r="A250" s="11">
        <f>'Pairings NB'!B1111</f>
        <v/>
      </c>
      <c r="B250" s="11">
        <f>'Pairings NB'!C1111</f>
        <v/>
      </c>
      <c r="C250" s="11">
        <f>'Pairings NB'!D1111</f>
        <v/>
      </c>
      <c r="D250" s="11">
        <f>'Pairings NB'!E1111&amp;"/"&amp;'Pairings NB'!E1112</f>
        <v/>
      </c>
      <c r="E250" s="11">
        <f>'Pairings NB'!F1111&amp;"-"&amp;'Pairings NB'!G1111&amp;"-"&amp;'Pairings NB'!F1111</f>
        <v/>
      </c>
      <c r="F250" s="11">
        <f>IFERROR(VLOOKUP('Pairings NB'!$M$1111,Instructores!$A:$D,2,FALSE),"")</f>
        <v/>
      </c>
      <c r="G250" s="11">
        <f>'Pairings NB'!$M$1111</f>
        <v/>
      </c>
      <c r="H250" s="11">
        <f>IFERROR(VLOOKUP('Pairings NB'!$M$1111,Instructores!$A:$D,4,FALSE),"")</f>
        <v/>
      </c>
      <c r="I250" s="11">
        <f>'Pairings NB'!$O$1111</f>
        <v/>
      </c>
      <c r="J250" s="11">
        <f>'Pairings NB'!J1111</f>
        <v/>
      </c>
      <c r="K250" s="11">
        <f>IFERROR(VLOOKUP('Pairings NB'!$M$1111,Instructores!$A:$D,3,FALSE),"")</f>
        <v/>
      </c>
      <c r="L250" s="11">
        <f>IF('Pairings NB'!J1111=320,4,3)</f>
        <v/>
      </c>
      <c r="M250" s="11">
        <f>'Pairings NB'!$N$1111</f>
        <v/>
      </c>
    </row>
    <row r="251">
      <c r="A251" s="11">
        <f>'Pairings NB'!B1113</f>
        <v/>
      </c>
      <c r="B251" s="11">
        <f>'Pairings NB'!C1113</f>
        <v/>
      </c>
      <c r="C251" s="11">
        <f>'Pairings NB'!D1113</f>
        <v/>
      </c>
      <c r="D251" s="11">
        <f>'Pairings NB'!E1113&amp;"/"&amp;'Pairings NB'!E1114</f>
        <v/>
      </c>
      <c r="E251" s="11">
        <f>'Pairings NB'!F1113&amp;"-"&amp;'Pairings NB'!G1113&amp;"-"&amp;'Pairings NB'!F1113</f>
        <v/>
      </c>
      <c r="F251" s="11">
        <f>IFERROR(VLOOKUP('Pairings NB'!$M$1111,Instructores!$A:$D,2,FALSE),"")</f>
        <v/>
      </c>
      <c r="G251" s="11">
        <f>'Pairings NB'!$M$1111</f>
        <v/>
      </c>
      <c r="H251" s="11">
        <f>IFERROR(VLOOKUP('Pairings NB'!$M$1111,Instructores!$A:$D,4,FALSE),"")</f>
        <v/>
      </c>
      <c r="I251" s="11">
        <f>'Pairings NB'!$O$1111</f>
        <v/>
      </c>
      <c r="J251" s="11">
        <f>'Pairings NB'!J1113</f>
        <v/>
      </c>
      <c r="K251" s="11">
        <f>IFERROR(VLOOKUP('Pairings NB'!$M$1111,Instructores!$A:$D,3,FALSE),"")</f>
        <v/>
      </c>
      <c r="L251" s="11">
        <f>IF('Pairings NB'!J1113=320,4,3)</f>
        <v/>
      </c>
      <c r="M251" s="11">
        <f>'Pairings NB'!$N$1111</f>
        <v/>
      </c>
    </row>
    <row r="252">
      <c r="A252" s="11">
        <f>'Pairings NB'!B1118</f>
        <v/>
      </c>
      <c r="B252" s="11">
        <f>'Pairings NB'!C1118</f>
        <v/>
      </c>
      <c r="C252" s="11">
        <f>'Pairings NB'!D1118</f>
        <v/>
      </c>
      <c r="D252" s="11">
        <f>'Pairings NB'!E1118&amp;"/"&amp;'Pairings NB'!E1119</f>
        <v/>
      </c>
      <c r="E252" s="11">
        <f>'Pairings NB'!F1118&amp;"-"&amp;'Pairings NB'!G1118&amp;"-"&amp;'Pairings NB'!F1118</f>
        <v/>
      </c>
      <c r="F252" s="11">
        <f>IFERROR(VLOOKUP('Pairings NB'!$M$1118,Instructores!$A:$D,2,FALSE),"")</f>
        <v/>
      </c>
      <c r="G252" s="11">
        <f>'Pairings NB'!$M$1118</f>
        <v/>
      </c>
      <c r="H252" s="11">
        <f>IFERROR(VLOOKUP('Pairings NB'!$M$1118,Instructores!$A:$D,4,FALSE),"")</f>
        <v/>
      </c>
      <c r="I252" s="11">
        <f>'Pairings NB'!$O$1118</f>
        <v/>
      </c>
      <c r="J252" s="11">
        <f>'Pairings NB'!J1118</f>
        <v/>
      </c>
      <c r="K252" s="11">
        <f>IFERROR(VLOOKUP('Pairings NB'!$M$1118,Instructores!$A:$D,3,FALSE),"")</f>
        <v/>
      </c>
      <c r="L252" s="11">
        <f>IF('Pairings NB'!J1118=320,4,3)</f>
        <v/>
      </c>
      <c r="M252" s="11">
        <f>'Pairings NB'!$N$1118</f>
        <v/>
      </c>
    </row>
    <row r="253">
      <c r="A253" s="11">
        <f>'Pairings NB'!B1120</f>
        <v/>
      </c>
      <c r="B253" s="11">
        <f>'Pairings NB'!C1120</f>
        <v/>
      </c>
      <c r="C253" s="11">
        <f>'Pairings NB'!D1120</f>
        <v/>
      </c>
      <c r="D253" s="11">
        <f>'Pairings NB'!E1120&amp;"/"&amp;'Pairings NB'!E1121</f>
        <v/>
      </c>
      <c r="E253" s="11">
        <f>'Pairings NB'!F1120&amp;"-"&amp;'Pairings NB'!G1120&amp;"-"&amp;'Pairings NB'!F1120</f>
        <v/>
      </c>
      <c r="F253" s="11">
        <f>IFERROR(VLOOKUP('Pairings NB'!$M$1118,Instructores!$A:$D,2,FALSE),"")</f>
        <v/>
      </c>
      <c r="G253" s="11">
        <f>'Pairings NB'!$M$1118</f>
        <v/>
      </c>
      <c r="H253" s="11">
        <f>IFERROR(VLOOKUP('Pairings NB'!$M$1118,Instructores!$A:$D,4,FALSE),"")</f>
        <v/>
      </c>
      <c r="I253" s="11">
        <f>'Pairings NB'!$O$1118</f>
        <v/>
      </c>
      <c r="J253" s="11">
        <f>'Pairings NB'!J1120</f>
        <v/>
      </c>
      <c r="K253" s="11">
        <f>IFERROR(VLOOKUP('Pairings NB'!$M$1118,Instructores!$A:$D,3,FALSE),"")</f>
        <v/>
      </c>
      <c r="L253" s="11">
        <f>IF('Pairings NB'!J1120=320,4,3)</f>
        <v/>
      </c>
      <c r="M253" s="11">
        <f>'Pairings NB'!$N$1118</f>
        <v/>
      </c>
    </row>
    <row r="254">
      <c r="A254" s="11">
        <f>'Pairings NB'!B1125</f>
        <v/>
      </c>
      <c r="B254" s="11">
        <f>'Pairings NB'!C1125</f>
        <v/>
      </c>
      <c r="C254" s="11">
        <f>'Pairings NB'!D1125</f>
        <v/>
      </c>
      <c r="D254" s="11">
        <f>'Pairings NB'!E1125&amp;"/"&amp;'Pairings NB'!E1126</f>
        <v/>
      </c>
      <c r="E254" s="11">
        <f>'Pairings NB'!F1125&amp;"-"&amp;'Pairings NB'!G1125&amp;"-"&amp;'Pairings NB'!F1125</f>
        <v/>
      </c>
      <c r="F254" s="11">
        <f>IFERROR(VLOOKUP('Pairings NB'!$M$1125,Instructores!$A:$D,2,FALSE),"")</f>
        <v/>
      </c>
      <c r="G254" s="11">
        <f>'Pairings NB'!$M$1125</f>
        <v/>
      </c>
      <c r="H254" s="11">
        <f>IFERROR(VLOOKUP('Pairings NB'!$M$1125,Instructores!$A:$D,4,FALSE),"")</f>
        <v/>
      </c>
      <c r="I254" s="11">
        <f>'Pairings NB'!$O$1125</f>
        <v/>
      </c>
      <c r="J254" s="11">
        <f>'Pairings NB'!J1125</f>
        <v/>
      </c>
      <c r="K254" s="11">
        <f>IFERROR(VLOOKUP('Pairings NB'!$M$1125,Instructores!$A:$D,3,FALSE),"")</f>
        <v/>
      </c>
      <c r="L254" s="11">
        <f>IF('Pairings NB'!J1125=320,4,3)</f>
        <v/>
      </c>
      <c r="M254" s="11">
        <f>'Pairings NB'!$N$1125</f>
        <v/>
      </c>
    </row>
    <row r="255">
      <c r="A255" s="11">
        <f>'Pairings NB'!B1130</f>
        <v/>
      </c>
      <c r="B255" s="11">
        <f>'Pairings NB'!C1130</f>
        <v/>
      </c>
      <c r="C255" s="11">
        <f>'Pairings NB'!D1130</f>
        <v/>
      </c>
      <c r="D255" s="11">
        <f>'Pairings NB'!E1130&amp;"/"&amp;'Pairings NB'!E1131</f>
        <v/>
      </c>
      <c r="E255" s="11">
        <f>'Pairings NB'!F1130&amp;"-"&amp;'Pairings NB'!G1130&amp;"-"&amp;'Pairings NB'!F1130</f>
        <v/>
      </c>
      <c r="F255" s="11">
        <f>IFERROR(VLOOKUP('Pairings NB'!$M$1130,Instructores!$A:$D,2,FALSE),"")</f>
        <v/>
      </c>
      <c r="G255" s="11">
        <f>'Pairings NB'!$M$1130</f>
        <v/>
      </c>
      <c r="H255" s="11">
        <f>IFERROR(VLOOKUP('Pairings NB'!$M$1130,Instructores!$A:$D,4,FALSE),"")</f>
        <v/>
      </c>
      <c r="I255" s="11">
        <f>'Pairings NB'!$O$1130</f>
        <v/>
      </c>
      <c r="J255" s="11">
        <f>'Pairings NB'!J1130</f>
        <v/>
      </c>
      <c r="K255" s="11">
        <f>IFERROR(VLOOKUP('Pairings NB'!$M$1130,Instructores!$A:$D,3,FALSE),"")</f>
        <v/>
      </c>
      <c r="L255" s="11">
        <f>IF('Pairings NB'!J1130=320,4,3)</f>
        <v/>
      </c>
      <c r="M255" s="11">
        <f>'Pairings NB'!$N$1130</f>
        <v/>
      </c>
    </row>
    <row r="256">
      <c r="A256" s="11">
        <f>'Pairings NB'!B1132</f>
        <v/>
      </c>
      <c r="B256" s="11">
        <f>'Pairings NB'!C1132</f>
        <v/>
      </c>
      <c r="C256" s="11">
        <f>'Pairings NB'!D1132</f>
        <v/>
      </c>
      <c r="D256" s="11">
        <f>'Pairings NB'!E1132&amp;"/"&amp;'Pairings NB'!E1133</f>
        <v/>
      </c>
      <c r="E256" s="11">
        <f>'Pairings NB'!F1132&amp;"-"&amp;'Pairings NB'!G1132&amp;"-"&amp;'Pairings NB'!F1132</f>
        <v/>
      </c>
      <c r="F256" s="11">
        <f>IFERROR(VLOOKUP('Pairings NB'!$M$1130,Instructores!$A:$D,2,FALSE),"")</f>
        <v/>
      </c>
      <c r="G256" s="11">
        <f>'Pairings NB'!$M$1130</f>
        <v/>
      </c>
      <c r="H256" s="11">
        <f>IFERROR(VLOOKUP('Pairings NB'!$M$1130,Instructores!$A:$D,4,FALSE),"")</f>
        <v/>
      </c>
      <c r="I256" s="11">
        <f>'Pairings NB'!$O$1130</f>
        <v/>
      </c>
      <c r="J256" s="11">
        <f>'Pairings NB'!J1132</f>
        <v/>
      </c>
      <c r="K256" s="11">
        <f>IFERROR(VLOOKUP('Pairings NB'!$M$1130,Instructores!$A:$D,3,FALSE),"")</f>
        <v/>
      </c>
      <c r="L256" s="11">
        <f>IF('Pairings NB'!J1132=320,4,3)</f>
        <v/>
      </c>
      <c r="M256" s="11">
        <f>'Pairings NB'!$N$1130</f>
        <v/>
      </c>
    </row>
    <row r="257">
      <c r="A257" s="11">
        <f>'Pairings NB'!B1137</f>
        <v/>
      </c>
      <c r="B257" s="11">
        <f>'Pairings NB'!C1137</f>
        <v/>
      </c>
      <c r="C257" s="11">
        <f>'Pairings NB'!D1137</f>
        <v/>
      </c>
      <c r="D257" s="11">
        <f>'Pairings NB'!E1137&amp;"/"&amp;'Pairings NB'!E1138</f>
        <v/>
      </c>
      <c r="E257" s="11">
        <f>'Pairings NB'!F1137&amp;"-"&amp;'Pairings NB'!G1137&amp;"-"&amp;'Pairings NB'!F1137</f>
        <v/>
      </c>
      <c r="F257" s="11">
        <f>IFERROR(VLOOKUP('Pairings NB'!$M$1137,Instructores!$A:$D,2,FALSE),"")</f>
        <v/>
      </c>
      <c r="G257" s="11">
        <f>'Pairings NB'!$M$1137</f>
        <v/>
      </c>
      <c r="H257" s="11">
        <f>IFERROR(VLOOKUP('Pairings NB'!$M$1137,Instructores!$A:$D,4,FALSE),"")</f>
        <v/>
      </c>
      <c r="I257" s="11">
        <f>'Pairings NB'!$O$1137</f>
        <v/>
      </c>
      <c r="J257" s="11">
        <f>'Pairings NB'!J1137</f>
        <v/>
      </c>
      <c r="K257" s="11">
        <f>IFERROR(VLOOKUP('Pairings NB'!$M$1137,Instructores!$A:$D,3,FALSE),"")</f>
        <v/>
      </c>
      <c r="L257" s="11">
        <f>IF('Pairings NB'!J1137=320,4,3)</f>
        <v/>
      </c>
      <c r="M257" s="11">
        <f>'Pairings NB'!$N$1137</f>
        <v/>
      </c>
    </row>
    <row r="258">
      <c r="A258" s="11">
        <f>'Pairings NB'!B1139</f>
        <v/>
      </c>
      <c r="B258" s="11">
        <f>'Pairings NB'!C1139</f>
        <v/>
      </c>
      <c r="C258" s="11">
        <f>'Pairings NB'!D1139</f>
        <v/>
      </c>
      <c r="D258" s="11">
        <f>'Pairings NB'!E1139&amp;"/"&amp;'Pairings NB'!E1140</f>
        <v/>
      </c>
      <c r="E258" s="11">
        <f>'Pairings NB'!F1139&amp;"-"&amp;'Pairings NB'!G1139&amp;"-"&amp;'Pairings NB'!F1139</f>
        <v/>
      </c>
      <c r="F258" s="11">
        <f>IFERROR(VLOOKUP('Pairings NB'!$M$1137,Instructores!$A:$D,2,FALSE),"")</f>
        <v/>
      </c>
      <c r="G258" s="11">
        <f>'Pairings NB'!$M$1137</f>
        <v/>
      </c>
      <c r="H258" s="11">
        <f>IFERROR(VLOOKUP('Pairings NB'!$M$1137,Instructores!$A:$D,4,FALSE),"")</f>
        <v/>
      </c>
      <c r="I258" s="11">
        <f>'Pairings NB'!$O$1137</f>
        <v/>
      </c>
      <c r="J258" s="11">
        <f>'Pairings NB'!J1139</f>
        <v/>
      </c>
      <c r="K258" s="11">
        <f>IFERROR(VLOOKUP('Pairings NB'!$M$1137,Instructores!$A:$D,3,FALSE),"")</f>
        <v/>
      </c>
      <c r="L258" s="11">
        <f>IF('Pairings NB'!J1139=320,4,3)</f>
        <v/>
      </c>
      <c r="M258" s="11">
        <f>'Pairings NB'!$N$1137</f>
        <v/>
      </c>
    </row>
    <row r="259">
      <c r="A259" s="11">
        <f>'Pairings NB'!B1144</f>
        <v/>
      </c>
      <c r="B259" s="11">
        <f>'Pairings NB'!C1144</f>
        <v/>
      </c>
      <c r="C259" s="11">
        <f>'Pairings NB'!D1144</f>
        <v/>
      </c>
      <c r="D259" s="11">
        <f>'Pairings NB'!E1144&amp;"/"&amp;'Pairings NB'!E1145</f>
        <v/>
      </c>
      <c r="E259" s="11">
        <f>'Pairings NB'!F1144&amp;"-"&amp;'Pairings NB'!G1144&amp;"-"&amp;'Pairings NB'!F1144</f>
        <v/>
      </c>
      <c r="F259" s="11">
        <f>IFERROR(VLOOKUP('Pairings NB'!$M$1144,Instructores!$A:$D,2,FALSE),"")</f>
        <v/>
      </c>
      <c r="G259" s="11">
        <f>'Pairings NB'!$M$1144</f>
        <v/>
      </c>
      <c r="H259" s="11">
        <f>IFERROR(VLOOKUP('Pairings NB'!$M$1144,Instructores!$A:$D,4,FALSE),"")</f>
        <v/>
      </c>
      <c r="I259" s="11">
        <f>'Pairings NB'!$O$1144</f>
        <v/>
      </c>
      <c r="J259" s="11">
        <f>'Pairings NB'!J1144</f>
        <v/>
      </c>
      <c r="K259" s="11">
        <f>IFERROR(VLOOKUP('Pairings NB'!$M$1144,Instructores!$A:$D,3,FALSE),"")</f>
        <v/>
      </c>
      <c r="L259" s="11">
        <f>IF('Pairings NB'!J1144=320,4,3)</f>
        <v/>
      </c>
      <c r="M259" s="11">
        <f>'Pairings NB'!$N$1144</f>
        <v/>
      </c>
    </row>
    <row r="260">
      <c r="A260" s="11">
        <f>'Pairings NB'!B1146</f>
        <v/>
      </c>
      <c r="B260" s="11">
        <f>'Pairings NB'!C1146</f>
        <v/>
      </c>
      <c r="C260" s="11">
        <f>'Pairings NB'!D1146</f>
        <v/>
      </c>
      <c r="D260" s="11">
        <f>'Pairings NB'!E1146&amp;"/"&amp;'Pairings NB'!E1147</f>
        <v/>
      </c>
      <c r="E260" s="11">
        <f>'Pairings NB'!F1146&amp;"-"&amp;'Pairings NB'!G1146&amp;"-"&amp;'Pairings NB'!F1146</f>
        <v/>
      </c>
      <c r="F260" s="11">
        <f>IFERROR(VLOOKUP('Pairings NB'!$M$1144,Instructores!$A:$D,2,FALSE),"")</f>
        <v/>
      </c>
      <c r="G260" s="11">
        <f>'Pairings NB'!$M$1144</f>
        <v/>
      </c>
      <c r="H260" s="11">
        <f>IFERROR(VLOOKUP('Pairings NB'!$M$1144,Instructores!$A:$D,4,FALSE),"")</f>
        <v/>
      </c>
      <c r="I260" s="11">
        <f>'Pairings NB'!$O$1144</f>
        <v/>
      </c>
      <c r="J260" s="11">
        <f>'Pairings NB'!J1146</f>
        <v/>
      </c>
      <c r="K260" s="11">
        <f>IFERROR(VLOOKUP('Pairings NB'!$M$1144,Instructores!$A:$D,3,FALSE),"")</f>
        <v/>
      </c>
      <c r="L260" s="11">
        <f>IF('Pairings NB'!J1146=320,4,3)</f>
        <v/>
      </c>
      <c r="M260" s="11">
        <f>'Pairings NB'!$N$1144</f>
        <v/>
      </c>
    </row>
    <row r="261">
      <c r="A261" s="11">
        <f>'Pairings NB'!B1151</f>
        <v/>
      </c>
      <c r="B261" s="11">
        <f>'Pairings NB'!C1151</f>
        <v/>
      </c>
      <c r="C261" s="11">
        <f>'Pairings NB'!D1151</f>
        <v/>
      </c>
      <c r="D261" s="11">
        <f>'Pairings NB'!E1151&amp;"/"&amp;'Pairings NB'!E1152</f>
        <v/>
      </c>
      <c r="E261" s="11">
        <f>'Pairings NB'!F1151&amp;"-"&amp;'Pairings NB'!G1151&amp;"-"&amp;'Pairings NB'!F1151</f>
        <v/>
      </c>
      <c r="F261" s="11">
        <f>IFERROR(VLOOKUP('Pairings NB'!$M$1151,Instructores!$A:$D,2,FALSE),"")</f>
        <v/>
      </c>
      <c r="G261" s="11">
        <f>'Pairings NB'!$M$1151</f>
        <v/>
      </c>
      <c r="H261" s="11">
        <f>IFERROR(VLOOKUP('Pairings NB'!$M$1151,Instructores!$A:$D,4,FALSE),"")</f>
        <v/>
      </c>
      <c r="I261" s="11">
        <f>'Pairings NB'!$O$1151</f>
        <v/>
      </c>
      <c r="J261" s="11">
        <f>'Pairings NB'!J1151</f>
        <v/>
      </c>
      <c r="K261" s="11">
        <f>IFERROR(VLOOKUP('Pairings NB'!$M$1151,Instructores!$A:$D,3,FALSE),"")</f>
        <v/>
      </c>
      <c r="L261" s="11">
        <f>IF('Pairings NB'!J1151=320,4,3)</f>
        <v/>
      </c>
      <c r="M261" s="11">
        <f>'Pairings NB'!$N$1151</f>
        <v/>
      </c>
    </row>
    <row r="262">
      <c r="A262" s="11">
        <f>'Pairings NB'!B1153</f>
        <v/>
      </c>
      <c r="B262" s="11">
        <f>'Pairings NB'!C1153</f>
        <v/>
      </c>
      <c r="C262" s="11">
        <f>'Pairings NB'!D1153</f>
        <v/>
      </c>
      <c r="D262" s="11">
        <f>'Pairings NB'!E1153&amp;"/"&amp;'Pairings NB'!E1154</f>
        <v/>
      </c>
      <c r="E262" s="11">
        <f>'Pairings NB'!F1153&amp;"-"&amp;'Pairings NB'!G1153&amp;"-"&amp;'Pairings NB'!F1153</f>
        <v/>
      </c>
      <c r="F262" s="11">
        <f>IFERROR(VLOOKUP('Pairings NB'!$M$1151,Instructores!$A:$D,2,FALSE),"")</f>
        <v/>
      </c>
      <c r="G262" s="11">
        <f>'Pairings NB'!$M$1151</f>
        <v/>
      </c>
      <c r="H262" s="11">
        <f>IFERROR(VLOOKUP('Pairings NB'!$M$1151,Instructores!$A:$D,4,FALSE),"")</f>
        <v/>
      </c>
      <c r="I262" s="11">
        <f>'Pairings NB'!$O$1151</f>
        <v/>
      </c>
      <c r="J262" s="11">
        <f>'Pairings NB'!J1153</f>
        <v/>
      </c>
      <c r="K262" s="11">
        <f>IFERROR(VLOOKUP('Pairings NB'!$M$1151,Instructores!$A:$D,3,FALSE),"")</f>
        <v/>
      </c>
      <c r="L262" s="11">
        <f>IF('Pairings NB'!J1153=320,4,3)</f>
        <v/>
      </c>
      <c r="M262" s="11">
        <f>'Pairings NB'!$N$1151</f>
        <v/>
      </c>
    </row>
    <row r="263">
      <c r="A263" s="11">
        <f>'Pairings NB'!B1158</f>
        <v/>
      </c>
      <c r="B263" s="11">
        <f>'Pairings NB'!C1158</f>
        <v/>
      </c>
      <c r="C263" s="11">
        <f>'Pairings NB'!D1158</f>
        <v/>
      </c>
      <c r="D263" s="11">
        <f>'Pairings NB'!E1158&amp;"/"&amp;'Pairings NB'!E1159</f>
        <v/>
      </c>
      <c r="E263" s="11">
        <f>'Pairings NB'!F1158&amp;"-"&amp;'Pairings NB'!G1158&amp;"-"&amp;'Pairings NB'!F1158</f>
        <v/>
      </c>
      <c r="F263" s="11">
        <f>IFERROR(VLOOKUP('Pairings NB'!$M$1158,Instructores!$A:$D,2,FALSE),"")</f>
        <v/>
      </c>
      <c r="G263" s="11">
        <f>'Pairings NB'!$M$1158</f>
        <v/>
      </c>
      <c r="H263" s="11">
        <f>IFERROR(VLOOKUP('Pairings NB'!$M$1158,Instructores!$A:$D,4,FALSE),"")</f>
        <v/>
      </c>
      <c r="I263" s="11">
        <f>'Pairings NB'!$O$1158</f>
        <v/>
      </c>
      <c r="J263" s="11">
        <f>'Pairings NB'!J1158</f>
        <v/>
      </c>
      <c r="K263" s="11">
        <f>IFERROR(VLOOKUP('Pairings NB'!$M$1158,Instructores!$A:$D,3,FALSE),"")</f>
        <v/>
      </c>
      <c r="L263" s="11">
        <f>IF('Pairings NB'!J1158=320,4,3)</f>
        <v/>
      </c>
      <c r="M263" s="11">
        <f>'Pairings NB'!$N$1158</f>
        <v/>
      </c>
    </row>
    <row r="264">
      <c r="A264" s="11">
        <f>'Pairings NB'!B1163</f>
        <v/>
      </c>
      <c r="B264" s="11">
        <f>'Pairings NB'!C1163</f>
        <v/>
      </c>
      <c r="C264" s="11">
        <f>'Pairings NB'!D1163</f>
        <v/>
      </c>
      <c r="D264" s="11">
        <f>'Pairings NB'!E1163&amp;"/"&amp;'Pairings NB'!E1164</f>
        <v/>
      </c>
      <c r="E264" s="11">
        <f>'Pairings NB'!F1163&amp;"-"&amp;'Pairings NB'!G1163&amp;"-"&amp;'Pairings NB'!F1163</f>
        <v/>
      </c>
      <c r="F264" s="11">
        <f>IFERROR(VLOOKUP('Pairings NB'!$M$1163,Instructores!$A:$D,2,FALSE),"")</f>
        <v/>
      </c>
      <c r="G264" s="11">
        <f>'Pairings NB'!$M$1163</f>
        <v/>
      </c>
      <c r="H264" s="11">
        <f>IFERROR(VLOOKUP('Pairings NB'!$M$1163,Instructores!$A:$D,4,FALSE),"")</f>
        <v/>
      </c>
      <c r="I264" s="11">
        <f>'Pairings NB'!$O$1163</f>
        <v/>
      </c>
      <c r="J264" s="11">
        <f>'Pairings NB'!J1163</f>
        <v/>
      </c>
      <c r="K264" s="11">
        <f>IFERROR(VLOOKUP('Pairings NB'!$M$1163,Instructores!$A:$D,3,FALSE),"")</f>
        <v/>
      </c>
      <c r="L264" s="11">
        <f>IF('Pairings NB'!J1163=320,4,3)</f>
        <v/>
      </c>
      <c r="M264" s="11">
        <f>'Pairings NB'!$N$1163</f>
        <v/>
      </c>
    </row>
    <row r="265">
      <c r="A265" s="11">
        <f>'Pairings NB'!B1168</f>
        <v/>
      </c>
      <c r="B265" s="11">
        <f>'Pairings NB'!C1168</f>
        <v/>
      </c>
      <c r="C265" s="11">
        <f>'Pairings NB'!D1168</f>
        <v/>
      </c>
      <c r="D265" s="11">
        <f>'Pairings NB'!E1168&amp;"/"&amp;'Pairings NB'!E1169</f>
        <v/>
      </c>
      <c r="E265" s="11">
        <f>'Pairings NB'!F1168&amp;"-"&amp;'Pairings NB'!G1168&amp;"-"&amp;'Pairings NB'!F1168</f>
        <v/>
      </c>
      <c r="F265" s="11">
        <f>IFERROR(VLOOKUP('Pairings NB'!$M$1168,Instructores!$A:$D,2,FALSE),"")</f>
        <v/>
      </c>
      <c r="G265" s="11">
        <f>'Pairings NB'!$M$1168</f>
        <v/>
      </c>
      <c r="H265" s="11">
        <f>IFERROR(VLOOKUP('Pairings NB'!$M$1168,Instructores!$A:$D,4,FALSE),"")</f>
        <v/>
      </c>
      <c r="I265" s="11">
        <f>'Pairings NB'!$O$1168</f>
        <v/>
      </c>
      <c r="J265" s="11">
        <f>'Pairings NB'!J1168</f>
        <v/>
      </c>
      <c r="K265" s="11">
        <f>IFERROR(VLOOKUP('Pairings NB'!$M$1168,Instructores!$A:$D,3,FALSE),"")</f>
        <v/>
      </c>
      <c r="L265" s="11">
        <f>IF('Pairings NB'!J1168=320,4,3)</f>
        <v/>
      </c>
      <c r="M265" s="11">
        <f>'Pairings NB'!$N$1168</f>
        <v/>
      </c>
    </row>
    <row r="266">
      <c r="A266" s="11">
        <f>'Pairings NB'!B1173</f>
        <v/>
      </c>
      <c r="B266" s="11">
        <f>'Pairings NB'!C1173</f>
        <v/>
      </c>
      <c r="C266" s="11">
        <f>'Pairings NB'!D1173</f>
        <v/>
      </c>
      <c r="D266" s="11">
        <f>'Pairings NB'!E1173&amp;"/"&amp;'Pairings NB'!E1174</f>
        <v/>
      </c>
      <c r="E266" s="11">
        <f>'Pairings NB'!F1173&amp;"-"&amp;'Pairings NB'!G1173&amp;"-"&amp;'Pairings NB'!F1173</f>
        <v/>
      </c>
      <c r="F266" s="11">
        <f>IFERROR(VLOOKUP('Pairings NB'!$M$1173,Instructores!$A:$D,2,FALSE),"")</f>
        <v/>
      </c>
      <c r="G266" s="11">
        <f>'Pairings NB'!$M$1173</f>
        <v/>
      </c>
      <c r="H266" s="11">
        <f>IFERROR(VLOOKUP('Pairings NB'!$M$1173,Instructores!$A:$D,4,FALSE),"")</f>
        <v/>
      </c>
      <c r="I266" s="11">
        <f>'Pairings NB'!$O$1173</f>
        <v/>
      </c>
      <c r="J266" s="11">
        <f>'Pairings NB'!J1173</f>
        <v/>
      </c>
      <c r="K266" s="11">
        <f>IFERROR(VLOOKUP('Pairings NB'!$M$1173,Instructores!$A:$D,3,FALSE),"")</f>
        <v/>
      </c>
      <c r="L266" s="11">
        <f>IF('Pairings NB'!J1173=320,4,3)</f>
        <v/>
      </c>
      <c r="M266" s="11">
        <f>'Pairings NB'!$N$1173</f>
        <v/>
      </c>
    </row>
    <row r="267">
      <c r="A267" s="11">
        <f>'Pairings NB'!B1178</f>
        <v/>
      </c>
      <c r="B267" s="11">
        <f>'Pairings NB'!C1178</f>
        <v/>
      </c>
      <c r="C267" s="11">
        <f>'Pairings NB'!D1178</f>
        <v/>
      </c>
      <c r="D267" s="11">
        <f>'Pairings NB'!E1178&amp;"/"&amp;'Pairings NB'!E1179</f>
        <v/>
      </c>
      <c r="E267" s="11">
        <f>'Pairings NB'!F1178&amp;"-"&amp;'Pairings NB'!G1178&amp;"-"&amp;'Pairings NB'!F1178</f>
        <v/>
      </c>
      <c r="F267" s="11">
        <f>IFERROR(VLOOKUP('Pairings NB'!$M$1178,Instructores!$A:$D,2,FALSE),"")</f>
        <v/>
      </c>
      <c r="G267" s="11">
        <f>'Pairings NB'!$M$1178</f>
        <v/>
      </c>
      <c r="H267" s="11">
        <f>IFERROR(VLOOKUP('Pairings NB'!$M$1178,Instructores!$A:$D,4,FALSE),"")</f>
        <v/>
      </c>
      <c r="I267" s="11">
        <f>'Pairings NB'!$O$1178</f>
        <v/>
      </c>
      <c r="J267" s="11">
        <f>'Pairings NB'!J1178</f>
        <v/>
      </c>
      <c r="K267" s="11">
        <f>IFERROR(VLOOKUP('Pairings NB'!$M$1178,Instructores!$A:$D,3,FALSE),"")</f>
        <v/>
      </c>
      <c r="L267" s="11">
        <f>IF('Pairings NB'!J1178=320,4,3)</f>
        <v/>
      </c>
      <c r="M267" s="11">
        <f>'Pairings NB'!$N$1178</f>
        <v/>
      </c>
    </row>
    <row r="268">
      <c r="A268" s="11">
        <f>'Pairings NB'!B1183</f>
        <v/>
      </c>
      <c r="B268" s="11">
        <f>'Pairings NB'!C1183</f>
        <v/>
      </c>
      <c r="C268" s="11">
        <f>'Pairings NB'!D1183</f>
        <v/>
      </c>
      <c r="D268" s="11">
        <f>'Pairings NB'!E1183&amp;"/"&amp;'Pairings NB'!E1184</f>
        <v/>
      </c>
      <c r="E268" s="11">
        <f>'Pairings NB'!F1183&amp;"-"&amp;'Pairings NB'!G1183&amp;"-"&amp;'Pairings NB'!F1183</f>
        <v/>
      </c>
      <c r="F268" s="11">
        <f>IFERROR(VLOOKUP('Pairings NB'!$M$1183,Instructores!$A:$D,2,FALSE),"")</f>
        <v/>
      </c>
      <c r="G268" s="11">
        <f>'Pairings NB'!$M$1183</f>
        <v/>
      </c>
      <c r="H268" s="11">
        <f>IFERROR(VLOOKUP('Pairings NB'!$M$1183,Instructores!$A:$D,4,FALSE),"")</f>
        <v/>
      </c>
      <c r="I268" s="11">
        <f>'Pairings NB'!$O$1183</f>
        <v/>
      </c>
      <c r="J268" s="11">
        <f>'Pairings NB'!J1183</f>
        <v/>
      </c>
      <c r="K268" s="11">
        <f>IFERROR(VLOOKUP('Pairings NB'!$M$1183,Instructores!$A:$D,3,FALSE),"")</f>
        <v/>
      </c>
      <c r="L268" s="11">
        <f>IF('Pairings NB'!J1183=320,4,3)</f>
        <v/>
      </c>
      <c r="M268" s="11">
        <f>'Pairings NB'!$N$1183</f>
        <v/>
      </c>
    </row>
    <row r="269">
      <c r="A269" s="11">
        <f>'Pairings NB'!B1188</f>
        <v/>
      </c>
      <c r="B269" s="11">
        <f>'Pairings NB'!C1188</f>
        <v/>
      </c>
      <c r="C269" s="11">
        <f>'Pairings NB'!D1188</f>
        <v/>
      </c>
      <c r="D269" s="11">
        <f>'Pairings NB'!E1188&amp;"/"&amp;'Pairings NB'!E1189</f>
        <v/>
      </c>
      <c r="E269" s="11">
        <f>'Pairings NB'!F1188&amp;"-"&amp;'Pairings NB'!G1188&amp;"-"&amp;'Pairings NB'!F1188</f>
        <v/>
      </c>
      <c r="F269" s="11">
        <f>IFERROR(VLOOKUP('Pairings NB'!$M$1188,Instructores!$A:$D,2,FALSE),"")</f>
        <v/>
      </c>
      <c r="G269" s="11">
        <f>'Pairings NB'!$M$1188</f>
        <v/>
      </c>
      <c r="H269" s="11">
        <f>IFERROR(VLOOKUP('Pairings NB'!$M$1188,Instructores!$A:$D,4,FALSE),"")</f>
        <v/>
      </c>
      <c r="I269" s="11">
        <f>'Pairings NB'!$O$1188</f>
        <v/>
      </c>
      <c r="J269" s="11">
        <f>'Pairings NB'!J1188</f>
        <v/>
      </c>
      <c r="K269" s="11">
        <f>IFERROR(VLOOKUP('Pairings NB'!$M$1188,Instructores!$A:$D,3,FALSE),"")</f>
        <v/>
      </c>
      <c r="L269" s="11">
        <f>IF('Pairings NB'!J1188=320,4,3)</f>
        <v/>
      </c>
      <c r="M269" s="11">
        <f>'Pairings NB'!$N$1188</f>
        <v/>
      </c>
    </row>
    <row r="270">
      <c r="A270" s="11">
        <f>'Pairings NB'!B1193</f>
        <v/>
      </c>
      <c r="B270" s="11">
        <f>'Pairings NB'!C1193</f>
        <v/>
      </c>
      <c r="C270" s="11">
        <f>'Pairings NB'!D1193</f>
        <v/>
      </c>
      <c r="D270" s="11">
        <f>'Pairings NB'!E1193&amp;"/"&amp;'Pairings NB'!E1194</f>
        <v/>
      </c>
      <c r="E270" s="11">
        <f>'Pairings NB'!F1193&amp;"-"&amp;'Pairings NB'!G1193&amp;"-"&amp;'Pairings NB'!F1193</f>
        <v/>
      </c>
      <c r="F270" s="11">
        <f>IFERROR(VLOOKUP('Pairings NB'!$M$1193,Instructores!$A:$D,2,FALSE),"")</f>
        <v/>
      </c>
      <c r="G270" s="11">
        <f>'Pairings NB'!$M$1193</f>
        <v/>
      </c>
      <c r="H270" s="11">
        <f>IFERROR(VLOOKUP('Pairings NB'!$M$1193,Instructores!$A:$D,4,FALSE),"")</f>
        <v/>
      </c>
      <c r="I270" s="11">
        <f>'Pairings NB'!$O$1193</f>
        <v/>
      </c>
      <c r="J270" s="11">
        <f>'Pairings NB'!J1193</f>
        <v/>
      </c>
      <c r="K270" s="11">
        <f>IFERROR(VLOOKUP('Pairings NB'!$M$1193,Instructores!$A:$D,3,FALSE),"")</f>
        <v/>
      </c>
      <c r="L270" s="11">
        <f>IF('Pairings NB'!J1193=320,4,3)</f>
        <v/>
      </c>
      <c r="M270" s="11">
        <f>'Pairings NB'!$N$1193</f>
        <v/>
      </c>
    </row>
    <row r="271">
      <c r="A271" s="11">
        <f>'Pairings NB'!B1198</f>
        <v/>
      </c>
      <c r="B271" s="11">
        <f>'Pairings NB'!C1198</f>
        <v/>
      </c>
      <c r="C271" s="11">
        <f>'Pairings NB'!D1198</f>
        <v/>
      </c>
      <c r="D271" s="11">
        <f>'Pairings NB'!E1198&amp;"/"&amp;'Pairings NB'!E1199</f>
        <v/>
      </c>
      <c r="E271" s="11">
        <f>'Pairings NB'!F1198&amp;"-"&amp;'Pairings NB'!G1198&amp;"-"&amp;'Pairings NB'!F1198</f>
        <v/>
      </c>
      <c r="F271" s="11">
        <f>IFERROR(VLOOKUP('Pairings NB'!$M$1198,Instructores!$A:$D,2,FALSE),"")</f>
        <v/>
      </c>
      <c r="G271" s="11">
        <f>'Pairings NB'!$M$1198</f>
        <v/>
      </c>
      <c r="H271" s="11">
        <f>IFERROR(VLOOKUP('Pairings NB'!$M$1198,Instructores!$A:$D,4,FALSE),"")</f>
        <v/>
      </c>
      <c r="I271" s="11">
        <f>'Pairings NB'!$O$1198</f>
        <v/>
      </c>
      <c r="J271" s="11">
        <f>'Pairings NB'!J1198</f>
        <v/>
      </c>
      <c r="K271" s="11">
        <f>IFERROR(VLOOKUP('Pairings NB'!$M$1198,Instructores!$A:$D,3,FALSE),"")</f>
        <v/>
      </c>
      <c r="L271" s="11">
        <f>IF('Pairings NB'!J1198=320,4,3)</f>
        <v/>
      </c>
      <c r="M271" s="11">
        <f>'Pairings NB'!$N$1198</f>
        <v/>
      </c>
    </row>
    <row r="272">
      <c r="A272" s="11">
        <f>'Pairings NB'!B1203</f>
        <v/>
      </c>
      <c r="B272" s="11">
        <f>'Pairings NB'!C1203</f>
        <v/>
      </c>
      <c r="C272" s="11">
        <f>'Pairings NB'!D1203</f>
        <v/>
      </c>
      <c r="D272" s="11">
        <f>'Pairings NB'!E1203&amp;"/"&amp;'Pairings NB'!E1204</f>
        <v/>
      </c>
      <c r="E272" s="11">
        <f>'Pairings NB'!F1203&amp;"-"&amp;'Pairings NB'!G1203&amp;"-"&amp;'Pairings NB'!F1203</f>
        <v/>
      </c>
      <c r="F272" s="11">
        <f>IFERROR(VLOOKUP('Pairings NB'!$M$1203,Instructores!$A:$D,2,FALSE),"")</f>
        <v/>
      </c>
      <c r="G272" s="11">
        <f>'Pairings NB'!$M$1203</f>
        <v/>
      </c>
      <c r="H272" s="11">
        <f>IFERROR(VLOOKUP('Pairings NB'!$M$1203,Instructores!$A:$D,4,FALSE),"")</f>
        <v/>
      </c>
      <c r="I272" s="11">
        <f>'Pairings NB'!$O$1203</f>
        <v/>
      </c>
      <c r="J272" s="11">
        <f>'Pairings NB'!J1203</f>
        <v/>
      </c>
      <c r="K272" s="11">
        <f>IFERROR(VLOOKUP('Pairings NB'!$M$1203,Instructores!$A:$D,3,FALSE),"")</f>
        <v/>
      </c>
      <c r="L272" s="11">
        <f>IF('Pairings NB'!J1203=320,4,3)</f>
        <v/>
      </c>
      <c r="M272" s="11">
        <f>'Pairings NB'!$N$1203</f>
        <v/>
      </c>
    </row>
    <row r="273">
      <c r="A273" s="11">
        <f>'Pairings NB'!B1208</f>
        <v/>
      </c>
      <c r="B273" s="11">
        <f>'Pairings NB'!C1208</f>
        <v/>
      </c>
      <c r="C273" s="11">
        <f>'Pairings NB'!D1208</f>
        <v/>
      </c>
      <c r="D273" s="11">
        <f>'Pairings NB'!E1208&amp;"/"&amp;'Pairings NB'!E1209</f>
        <v/>
      </c>
      <c r="E273" s="11">
        <f>'Pairings NB'!F1208&amp;"-"&amp;'Pairings NB'!G1208&amp;"-"&amp;'Pairings NB'!F1208</f>
        <v/>
      </c>
      <c r="F273" s="11">
        <f>IFERROR(VLOOKUP('Pairings NB'!$M$1208,Instructores!$A:$D,2,FALSE),"")</f>
        <v/>
      </c>
      <c r="G273" s="11">
        <f>'Pairings NB'!$M$1208</f>
        <v/>
      </c>
      <c r="H273" s="11">
        <f>IFERROR(VLOOKUP('Pairings NB'!$M$1208,Instructores!$A:$D,4,FALSE),"")</f>
        <v/>
      </c>
      <c r="I273" s="11">
        <f>'Pairings NB'!$O$1208</f>
        <v/>
      </c>
      <c r="J273" s="11">
        <f>'Pairings NB'!J1208</f>
        <v/>
      </c>
      <c r="K273" s="11">
        <f>IFERROR(VLOOKUP('Pairings NB'!$M$1208,Instructores!$A:$D,3,FALSE),"")</f>
        <v/>
      </c>
      <c r="L273" s="11">
        <f>IF('Pairings NB'!J1208=320,4,3)</f>
        <v/>
      </c>
      <c r="M273" s="11">
        <f>'Pairings NB'!$N$1208</f>
        <v/>
      </c>
    </row>
    <row r="274">
      <c r="A274" s="11">
        <f>'Pairings NB'!B1213</f>
        <v/>
      </c>
      <c r="B274" s="11">
        <f>'Pairings NB'!C1213</f>
        <v/>
      </c>
      <c r="C274" s="11">
        <f>'Pairings NB'!D1213</f>
        <v/>
      </c>
      <c r="D274" s="11">
        <f>'Pairings NB'!E1213&amp;"/"&amp;'Pairings NB'!E1214</f>
        <v/>
      </c>
      <c r="E274" s="11">
        <f>'Pairings NB'!F1213&amp;"-"&amp;'Pairings NB'!G1213&amp;"-"&amp;'Pairings NB'!F1213</f>
        <v/>
      </c>
      <c r="F274" s="11">
        <f>IFERROR(VLOOKUP('Pairings NB'!$M$1213,Instructores!$A:$D,2,FALSE),"")</f>
        <v/>
      </c>
      <c r="G274" s="11">
        <f>'Pairings NB'!$M$1213</f>
        <v/>
      </c>
      <c r="H274" s="11">
        <f>IFERROR(VLOOKUP('Pairings NB'!$M$1213,Instructores!$A:$D,4,FALSE),"")</f>
        <v/>
      </c>
      <c r="I274" s="11">
        <f>'Pairings NB'!$O$1213</f>
        <v/>
      </c>
      <c r="J274" s="11">
        <f>'Pairings NB'!J1213</f>
        <v/>
      </c>
      <c r="K274" s="11">
        <f>IFERROR(VLOOKUP('Pairings NB'!$M$1213,Instructores!$A:$D,3,FALSE),"")</f>
        <v/>
      </c>
      <c r="L274" s="11">
        <f>IF('Pairings NB'!J1213=320,4,3)</f>
        <v/>
      </c>
      <c r="M274" s="11">
        <f>'Pairings NB'!$N$1213</f>
        <v/>
      </c>
    </row>
    <row r="275">
      <c r="A275" s="11">
        <f>'Pairings NB'!B1218</f>
        <v/>
      </c>
      <c r="B275" s="11">
        <f>'Pairings NB'!C1218</f>
        <v/>
      </c>
      <c r="C275" s="11">
        <f>'Pairings NB'!D1218</f>
        <v/>
      </c>
      <c r="D275" s="11">
        <f>'Pairings NB'!E1218&amp;"/"&amp;'Pairings NB'!E1219</f>
        <v/>
      </c>
      <c r="E275" s="11">
        <f>'Pairings NB'!F1218&amp;"-"&amp;'Pairings NB'!G1218&amp;"-"&amp;'Pairings NB'!F1218</f>
        <v/>
      </c>
      <c r="F275" s="11">
        <f>IFERROR(VLOOKUP('Pairings NB'!$M$1218,Instructores!$A:$D,2,FALSE),"")</f>
        <v/>
      </c>
      <c r="G275" s="11">
        <f>'Pairings NB'!$M$1218</f>
        <v/>
      </c>
      <c r="H275" s="11">
        <f>IFERROR(VLOOKUP('Pairings NB'!$M$1218,Instructores!$A:$D,4,FALSE),"")</f>
        <v/>
      </c>
      <c r="I275" s="11">
        <f>'Pairings NB'!$O$1218</f>
        <v/>
      </c>
      <c r="J275" s="11">
        <f>'Pairings NB'!J1218</f>
        <v/>
      </c>
      <c r="K275" s="11">
        <f>IFERROR(VLOOKUP('Pairings NB'!$M$1218,Instructores!$A:$D,3,FALSE),"")</f>
        <v/>
      </c>
      <c r="L275" s="11">
        <f>IF('Pairings NB'!J1218=320,4,3)</f>
        <v/>
      </c>
      <c r="M275" s="11">
        <f>'Pairings NB'!$N$1218</f>
        <v/>
      </c>
    </row>
    <row r="276">
      <c r="A276" s="11">
        <f>'Pairings NB'!B1220</f>
        <v/>
      </c>
      <c r="B276" s="11">
        <f>'Pairings NB'!C1220</f>
        <v/>
      </c>
      <c r="C276" s="11">
        <f>'Pairings NB'!D1220</f>
        <v/>
      </c>
      <c r="D276" s="11">
        <f>'Pairings NB'!E1220&amp;"/"&amp;'Pairings NB'!E1221</f>
        <v/>
      </c>
      <c r="E276" s="11">
        <f>'Pairings NB'!F1220&amp;"-"&amp;'Pairings NB'!G1220&amp;"-"&amp;'Pairings NB'!F1220</f>
        <v/>
      </c>
      <c r="F276" s="11">
        <f>IFERROR(VLOOKUP('Pairings NB'!$M$1218,Instructores!$A:$D,2,FALSE),"")</f>
        <v/>
      </c>
      <c r="G276" s="11">
        <f>'Pairings NB'!$M$1218</f>
        <v/>
      </c>
      <c r="H276" s="11">
        <f>IFERROR(VLOOKUP('Pairings NB'!$M$1218,Instructores!$A:$D,4,FALSE),"")</f>
        <v/>
      </c>
      <c r="I276" s="11">
        <f>'Pairings NB'!$O$1218</f>
        <v/>
      </c>
      <c r="J276" s="11">
        <f>'Pairings NB'!J1220</f>
        <v/>
      </c>
      <c r="K276" s="11">
        <f>IFERROR(VLOOKUP('Pairings NB'!$M$1218,Instructores!$A:$D,3,FALSE),"")</f>
        <v/>
      </c>
      <c r="L276" s="11">
        <f>IF('Pairings NB'!J1220=320,4,3)</f>
        <v/>
      </c>
      <c r="M276" s="11">
        <f>'Pairings NB'!$N$1218</f>
        <v/>
      </c>
    </row>
    <row r="277">
      <c r="A277" s="11">
        <f>'Pairings NB'!B1225</f>
        <v/>
      </c>
      <c r="B277" s="11">
        <f>'Pairings NB'!C1225</f>
        <v/>
      </c>
      <c r="C277" s="11">
        <f>'Pairings NB'!D1225</f>
        <v/>
      </c>
      <c r="D277" s="11">
        <f>'Pairings NB'!E1225&amp;"/"&amp;'Pairings NB'!E1226</f>
        <v/>
      </c>
      <c r="E277" s="11">
        <f>'Pairings NB'!F1225&amp;"-"&amp;'Pairings NB'!G1225&amp;"-"&amp;'Pairings NB'!F1225</f>
        <v/>
      </c>
      <c r="F277" s="11">
        <f>IFERROR(VLOOKUP('Pairings NB'!$M$1225,Instructores!$A:$D,2,FALSE),"")</f>
        <v/>
      </c>
      <c r="G277" s="11">
        <f>'Pairings NB'!$M$1225</f>
        <v/>
      </c>
      <c r="H277" s="11">
        <f>IFERROR(VLOOKUP('Pairings NB'!$M$1225,Instructores!$A:$D,4,FALSE),"")</f>
        <v/>
      </c>
      <c r="I277" s="11">
        <f>'Pairings NB'!$O$1225</f>
        <v/>
      </c>
      <c r="J277" s="11">
        <f>'Pairings NB'!J1225</f>
        <v/>
      </c>
      <c r="K277" s="11">
        <f>IFERROR(VLOOKUP('Pairings NB'!$M$1225,Instructores!$A:$D,3,FALSE),"")</f>
        <v/>
      </c>
      <c r="L277" s="11">
        <f>IF('Pairings NB'!J1225=320,4,3)</f>
        <v/>
      </c>
      <c r="M277" s="11">
        <f>'Pairings NB'!$N$1225</f>
        <v/>
      </c>
    </row>
    <row r="278">
      <c r="A278" s="11">
        <f>'Pairings NB'!B1227</f>
        <v/>
      </c>
      <c r="B278" s="11">
        <f>'Pairings NB'!C1227</f>
        <v/>
      </c>
      <c r="C278" s="11">
        <f>'Pairings NB'!D1227</f>
        <v/>
      </c>
      <c r="D278" s="11">
        <f>'Pairings NB'!E1227&amp;"/"&amp;'Pairings NB'!E1228</f>
        <v/>
      </c>
      <c r="E278" s="11">
        <f>'Pairings NB'!F1227&amp;"-"&amp;'Pairings NB'!G1227&amp;"-"&amp;'Pairings NB'!F1227</f>
        <v/>
      </c>
      <c r="F278" s="11">
        <f>IFERROR(VLOOKUP('Pairings NB'!$M$1225,Instructores!$A:$D,2,FALSE),"")</f>
        <v/>
      </c>
      <c r="G278" s="11">
        <f>'Pairings NB'!$M$1225</f>
        <v/>
      </c>
      <c r="H278" s="11">
        <f>IFERROR(VLOOKUP('Pairings NB'!$M$1225,Instructores!$A:$D,4,FALSE),"")</f>
        <v/>
      </c>
      <c r="I278" s="11">
        <f>'Pairings NB'!$O$1225</f>
        <v/>
      </c>
      <c r="J278" s="11">
        <f>'Pairings NB'!J1227</f>
        <v/>
      </c>
      <c r="K278" s="11">
        <f>IFERROR(VLOOKUP('Pairings NB'!$M$1225,Instructores!$A:$D,3,FALSE),"")</f>
        <v/>
      </c>
      <c r="L278" s="11">
        <f>IF('Pairings NB'!J1227=320,4,3)</f>
        <v/>
      </c>
      <c r="M278" s="11">
        <f>'Pairings NB'!$N$1225</f>
        <v/>
      </c>
    </row>
    <row r="279">
      <c r="A279" s="11">
        <f>'Pairings NB'!B1232</f>
        <v/>
      </c>
      <c r="B279" s="11">
        <f>'Pairings NB'!C1232</f>
        <v/>
      </c>
      <c r="C279" s="11">
        <f>'Pairings NB'!D1232</f>
        <v/>
      </c>
      <c r="D279" s="11">
        <f>'Pairings NB'!E1232&amp;"/"&amp;'Pairings NB'!E1233</f>
        <v/>
      </c>
      <c r="E279" s="11">
        <f>'Pairings NB'!F1232&amp;"-"&amp;'Pairings NB'!G1232&amp;"-"&amp;'Pairings NB'!F1232</f>
        <v/>
      </c>
      <c r="F279" s="11">
        <f>IFERROR(VLOOKUP('Pairings NB'!$M$1232,Instructores!$A:$D,2,FALSE),"")</f>
        <v/>
      </c>
      <c r="G279" s="11">
        <f>'Pairings NB'!$M$1232</f>
        <v/>
      </c>
      <c r="H279" s="11">
        <f>IFERROR(VLOOKUP('Pairings NB'!$M$1232,Instructores!$A:$D,4,FALSE),"")</f>
        <v/>
      </c>
      <c r="I279" s="11">
        <f>'Pairings NB'!$O$1232</f>
        <v/>
      </c>
      <c r="J279" s="11">
        <f>'Pairings NB'!J1232</f>
        <v/>
      </c>
      <c r="K279" s="11">
        <f>IFERROR(VLOOKUP('Pairings NB'!$M$1232,Instructores!$A:$D,3,FALSE),"")</f>
        <v/>
      </c>
      <c r="L279" s="11">
        <f>IF('Pairings NB'!J1232=320,4,3)</f>
        <v/>
      </c>
      <c r="M279" s="11">
        <f>'Pairings NB'!$N$1232</f>
        <v/>
      </c>
    </row>
    <row r="280">
      <c r="A280" s="11">
        <f>'Pairings NB'!B1237</f>
        <v/>
      </c>
      <c r="B280" s="11">
        <f>'Pairings NB'!C1237</f>
        <v/>
      </c>
      <c r="C280" s="11">
        <f>'Pairings NB'!D1237</f>
        <v/>
      </c>
      <c r="D280" s="11">
        <f>'Pairings NB'!E1237&amp;"/"&amp;'Pairings NB'!E1238</f>
        <v/>
      </c>
      <c r="E280" s="11">
        <f>'Pairings NB'!F1237&amp;"-"&amp;'Pairings NB'!G1237&amp;"-"&amp;'Pairings NB'!F1237</f>
        <v/>
      </c>
      <c r="F280" s="11">
        <f>IFERROR(VLOOKUP('Pairings NB'!$M$1237,Instructores!$A:$D,2,FALSE),"")</f>
        <v/>
      </c>
      <c r="G280" s="11">
        <f>'Pairings NB'!$M$1237</f>
        <v/>
      </c>
      <c r="H280" s="11">
        <f>IFERROR(VLOOKUP('Pairings NB'!$M$1237,Instructores!$A:$D,4,FALSE),"")</f>
        <v/>
      </c>
      <c r="I280" s="11">
        <f>'Pairings NB'!$O$1237</f>
        <v/>
      </c>
      <c r="J280" s="11">
        <f>'Pairings NB'!J1237</f>
        <v/>
      </c>
      <c r="K280" s="11">
        <f>IFERROR(VLOOKUP('Pairings NB'!$M$1237,Instructores!$A:$D,3,FALSE),"")</f>
        <v/>
      </c>
      <c r="L280" s="11">
        <f>IF('Pairings NB'!J1237=320,4,3)</f>
        <v/>
      </c>
      <c r="M280" s="11">
        <f>'Pairings NB'!$N$1237</f>
        <v/>
      </c>
    </row>
    <row r="281">
      <c r="A281" s="11">
        <f>'Pairings NB'!B1242</f>
        <v/>
      </c>
      <c r="B281" s="11">
        <f>'Pairings NB'!C1242</f>
        <v/>
      </c>
      <c r="C281" s="11">
        <f>'Pairings NB'!D1242</f>
        <v/>
      </c>
      <c r="D281" s="11">
        <f>'Pairings NB'!E1242&amp;"/"&amp;'Pairings NB'!E1243</f>
        <v/>
      </c>
      <c r="E281" s="11">
        <f>'Pairings NB'!F1242&amp;"-"&amp;'Pairings NB'!G1242&amp;"-"&amp;'Pairings NB'!F1242</f>
        <v/>
      </c>
      <c r="F281" s="11">
        <f>IFERROR(VLOOKUP('Pairings NB'!$M$1242,Instructores!$A:$D,2,FALSE),"")</f>
        <v/>
      </c>
      <c r="G281" s="11">
        <f>'Pairings NB'!$M$1242</f>
        <v/>
      </c>
      <c r="H281" s="11">
        <f>IFERROR(VLOOKUP('Pairings NB'!$M$1242,Instructores!$A:$D,4,FALSE),"")</f>
        <v/>
      </c>
      <c r="I281" s="11">
        <f>'Pairings NB'!$O$1242</f>
        <v/>
      </c>
      <c r="J281" s="11">
        <f>'Pairings NB'!J1242</f>
        <v/>
      </c>
      <c r="K281" s="11">
        <f>IFERROR(VLOOKUP('Pairings NB'!$M$1242,Instructores!$A:$D,3,FALSE),"")</f>
        <v/>
      </c>
      <c r="L281" s="11">
        <f>IF('Pairings NB'!J1242=320,4,3)</f>
        <v/>
      </c>
      <c r="M281" s="11">
        <f>'Pairings NB'!$N$1242</f>
        <v/>
      </c>
    </row>
    <row r="282">
      <c r="A282" s="11">
        <f>'Pairings NB'!B1247</f>
        <v/>
      </c>
      <c r="B282" s="11">
        <f>'Pairings NB'!C1247</f>
        <v/>
      </c>
      <c r="C282" s="11">
        <f>'Pairings NB'!D1247</f>
        <v/>
      </c>
      <c r="D282" s="11">
        <f>'Pairings NB'!E1247&amp;"/"&amp;'Pairings NB'!E1248</f>
        <v/>
      </c>
      <c r="E282" s="11">
        <f>'Pairings NB'!F1247&amp;"-"&amp;'Pairings NB'!G1247&amp;"-"&amp;'Pairings NB'!F1247</f>
        <v/>
      </c>
      <c r="F282" s="11">
        <f>IFERROR(VLOOKUP('Pairings NB'!$M$1247,Instructores!$A:$D,2,FALSE),"")</f>
        <v/>
      </c>
      <c r="G282" s="11">
        <f>'Pairings NB'!$M$1247</f>
        <v/>
      </c>
      <c r="H282" s="11">
        <f>IFERROR(VLOOKUP('Pairings NB'!$M$1247,Instructores!$A:$D,4,FALSE),"")</f>
        <v/>
      </c>
      <c r="I282" s="11">
        <f>'Pairings NB'!$O$1247</f>
        <v/>
      </c>
      <c r="J282" s="11">
        <f>'Pairings NB'!J1247</f>
        <v/>
      </c>
      <c r="K282" s="11">
        <f>IFERROR(VLOOKUP('Pairings NB'!$M$1247,Instructores!$A:$D,3,FALSE),"")</f>
        <v/>
      </c>
      <c r="L282" s="11">
        <f>IF('Pairings NB'!J1247=320,4,3)</f>
        <v/>
      </c>
      <c r="M282" s="11">
        <f>'Pairings NB'!$N$1247</f>
        <v/>
      </c>
    </row>
    <row r="283">
      <c r="A283" s="11">
        <f>'Pairings NB'!B1249</f>
        <v/>
      </c>
      <c r="B283" s="11">
        <f>'Pairings NB'!C1249</f>
        <v/>
      </c>
      <c r="C283" s="11">
        <f>'Pairings NB'!D1249</f>
        <v/>
      </c>
      <c r="D283" s="11">
        <f>'Pairings NB'!E1249&amp;"/"&amp;'Pairings NB'!E1250</f>
        <v/>
      </c>
      <c r="E283" s="11">
        <f>'Pairings NB'!F1249&amp;"-"&amp;'Pairings NB'!G1249&amp;"-"&amp;'Pairings NB'!F1249</f>
        <v/>
      </c>
      <c r="F283" s="11">
        <f>IFERROR(VLOOKUP('Pairings NB'!$M$1247,Instructores!$A:$D,2,FALSE),"")</f>
        <v/>
      </c>
      <c r="G283" s="11">
        <f>'Pairings NB'!$M$1247</f>
        <v/>
      </c>
      <c r="H283" s="11">
        <f>IFERROR(VLOOKUP('Pairings NB'!$M$1247,Instructores!$A:$D,4,FALSE),"")</f>
        <v/>
      </c>
      <c r="I283" s="11">
        <f>'Pairings NB'!$O$1247</f>
        <v/>
      </c>
      <c r="J283" s="11">
        <f>'Pairings NB'!J1249</f>
        <v/>
      </c>
      <c r="K283" s="11">
        <f>IFERROR(VLOOKUP('Pairings NB'!$M$1247,Instructores!$A:$D,3,FALSE),"")</f>
        <v/>
      </c>
      <c r="L283" s="11">
        <f>IF('Pairings NB'!J1249=320,4,3)</f>
        <v/>
      </c>
      <c r="M283" s="11">
        <f>'Pairings NB'!$N$1247</f>
        <v/>
      </c>
    </row>
    <row r="284">
      <c r="A284" s="11">
        <f>'Pairings NB'!B1254</f>
        <v/>
      </c>
      <c r="B284" s="11">
        <f>'Pairings NB'!C1254</f>
        <v/>
      </c>
      <c r="C284" s="11">
        <f>'Pairings NB'!D1254</f>
        <v/>
      </c>
      <c r="D284" s="11">
        <f>'Pairings NB'!E1254&amp;"/"&amp;'Pairings NB'!E1255</f>
        <v/>
      </c>
      <c r="E284" s="11">
        <f>'Pairings NB'!F1254&amp;"-"&amp;'Pairings NB'!G1254&amp;"-"&amp;'Pairings NB'!F1254</f>
        <v/>
      </c>
      <c r="F284" s="11">
        <f>IFERROR(VLOOKUP('Pairings NB'!$M$1254,Instructores!$A:$D,2,FALSE),"")</f>
        <v/>
      </c>
      <c r="G284" s="11">
        <f>'Pairings NB'!$M$1254</f>
        <v/>
      </c>
      <c r="H284" s="11">
        <f>IFERROR(VLOOKUP('Pairings NB'!$M$1254,Instructores!$A:$D,4,FALSE),"")</f>
        <v/>
      </c>
      <c r="I284" s="11">
        <f>'Pairings NB'!$O$1254</f>
        <v/>
      </c>
      <c r="J284" s="11">
        <f>'Pairings NB'!J1254</f>
        <v/>
      </c>
      <c r="K284" s="11">
        <f>IFERROR(VLOOKUP('Pairings NB'!$M$1254,Instructores!$A:$D,3,FALSE),"")</f>
        <v/>
      </c>
      <c r="L284" s="11">
        <f>IF('Pairings NB'!J1254=320,4,3)</f>
        <v/>
      </c>
      <c r="M284" s="11">
        <f>'Pairings NB'!$N$1254</f>
        <v/>
      </c>
    </row>
    <row r="285">
      <c r="A285" s="11">
        <f>'Pairings NB'!B1259</f>
        <v/>
      </c>
      <c r="B285" s="11">
        <f>'Pairings NB'!C1259</f>
        <v/>
      </c>
      <c r="C285" s="11">
        <f>'Pairings NB'!D1259</f>
        <v/>
      </c>
      <c r="D285" s="11">
        <f>'Pairings NB'!E1259&amp;"/"&amp;'Pairings NB'!E1260</f>
        <v/>
      </c>
      <c r="E285" s="11">
        <f>'Pairings NB'!F1259&amp;"-"&amp;'Pairings NB'!G1259&amp;"-"&amp;'Pairings NB'!F1259</f>
        <v/>
      </c>
      <c r="F285" s="11">
        <f>IFERROR(VLOOKUP('Pairings NB'!$M$1259,Instructores!$A:$D,2,FALSE),"")</f>
        <v/>
      </c>
      <c r="G285" s="11">
        <f>'Pairings NB'!$M$1259</f>
        <v/>
      </c>
      <c r="H285" s="11">
        <f>IFERROR(VLOOKUP('Pairings NB'!$M$1259,Instructores!$A:$D,4,FALSE),"")</f>
        <v/>
      </c>
      <c r="I285" s="11">
        <f>'Pairings NB'!$O$1259</f>
        <v/>
      </c>
      <c r="J285" s="11">
        <f>'Pairings NB'!J1259</f>
        <v/>
      </c>
      <c r="K285" s="11">
        <f>IFERROR(VLOOKUP('Pairings NB'!$M$1259,Instructores!$A:$D,3,FALSE),"")</f>
        <v/>
      </c>
      <c r="L285" s="11">
        <f>IF('Pairings NB'!J1259=320,4,3)</f>
        <v/>
      </c>
      <c r="M285" s="11">
        <f>'Pairings NB'!$N$1259</f>
        <v/>
      </c>
    </row>
    <row r="286">
      <c r="A286" s="11">
        <f>'Pairings NB'!B1264</f>
        <v/>
      </c>
      <c r="B286" s="11">
        <f>'Pairings NB'!C1264</f>
        <v/>
      </c>
      <c r="C286" s="11">
        <f>'Pairings NB'!D1264</f>
        <v/>
      </c>
      <c r="D286" s="11">
        <f>'Pairings NB'!E1264&amp;"/"&amp;'Pairings NB'!E1265</f>
        <v/>
      </c>
      <c r="E286" s="11">
        <f>'Pairings NB'!F1264&amp;"-"&amp;'Pairings NB'!G1264&amp;"-"&amp;'Pairings NB'!F1264</f>
        <v/>
      </c>
      <c r="F286" s="11">
        <f>IFERROR(VLOOKUP('Pairings NB'!$M$1264,Instructores!$A:$D,2,FALSE),"")</f>
        <v/>
      </c>
      <c r="G286" s="11">
        <f>'Pairings NB'!$M$1264</f>
        <v/>
      </c>
      <c r="H286" s="11">
        <f>IFERROR(VLOOKUP('Pairings NB'!$M$1264,Instructores!$A:$D,4,FALSE),"")</f>
        <v/>
      </c>
      <c r="I286" s="11">
        <f>'Pairings NB'!$O$1264</f>
        <v/>
      </c>
      <c r="J286" s="11">
        <f>'Pairings NB'!J1264</f>
        <v/>
      </c>
      <c r="K286" s="11">
        <f>IFERROR(VLOOKUP('Pairings NB'!$M$1264,Instructores!$A:$D,3,FALSE),"")</f>
        <v/>
      </c>
      <c r="L286" s="11">
        <f>IF('Pairings NB'!J1264=320,4,3)</f>
        <v/>
      </c>
      <c r="M286" s="11">
        <f>'Pairings NB'!$N$1264</f>
        <v/>
      </c>
    </row>
    <row r="287">
      <c r="A287" s="11">
        <f>'Pairings NB'!B1269</f>
        <v/>
      </c>
      <c r="B287" s="11">
        <f>'Pairings NB'!C1269</f>
        <v/>
      </c>
      <c r="C287" s="11">
        <f>'Pairings NB'!D1269</f>
        <v/>
      </c>
      <c r="D287" s="11">
        <f>'Pairings NB'!E1269&amp;"/"&amp;'Pairings NB'!E1270</f>
        <v/>
      </c>
      <c r="E287" s="11">
        <f>'Pairings NB'!F1269&amp;"-"&amp;'Pairings NB'!G1269&amp;"-"&amp;'Pairings NB'!F1269</f>
        <v/>
      </c>
      <c r="F287" s="11">
        <f>IFERROR(VLOOKUP('Pairings NB'!$M$1269,Instructores!$A:$D,2,FALSE),"")</f>
        <v/>
      </c>
      <c r="G287" s="11">
        <f>'Pairings NB'!$M$1269</f>
        <v/>
      </c>
      <c r="H287" s="11">
        <f>IFERROR(VLOOKUP('Pairings NB'!$M$1269,Instructores!$A:$D,4,FALSE),"")</f>
        <v/>
      </c>
      <c r="I287" s="11">
        <f>'Pairings NB'!$O$1269</f>
        <v/>
      </c>
      <c r="J287" s="11">
        <f>'Pairings NB'!J1269</f>
        <v/>
      </c>
      <c r="K287" s="11">
        <f>IFERROR(VLOOKUP('Pairings NB'!$M$1269,Instructores!$A:$D,3,FALSE),"")</f>
        <v/>
      </c>
      <c r="L287" s="11">
        <f>IF('Pairings NB'!J1269=320,4,3)</f>
        <v/>
      </c>
      <c r="M287" s="11">
        <f>'Pairings NB'!$N$1269</f>
        <v/>
      </c>
    </row>
    <row r="288">
      <c r="A288" s="11">
        <f>'Pairings NB'!B1274</f>
        <v/>
      </c>
      <c r="B288" s="11">
        <f>'Pairings NB'!C1274</f>
        <v/>
      </c>
      <c r="C288" s="11">
        <f>'Pairings NB'!D1274</f>
        <v/>
      </c>
      <c r="D288" s="11">
        <f>'Pairings NB'!E1274&amp;"/"&amp;'Pairings NB'!E1275</f>
        <v/>
      </c>
      <c r="E288" s="11">
        <f>'Pairings NB'!F1274&amp;"-"&amp;'Pairings NB'!G1274&amp;"-"&amp;'Pairings NB'!F1274</f>
        <v/>
      </c>
      <c r="F288" s="11">
        <f>IFERROR(VLOOKUP('Pairings NB'!$M$1274,Instructores!$A:$D,2,FALSE),"")</f>
        <v/>
      </c>
      <c r="G288" s="11">
        <f>'Pairings NB'!$M$1274</f>
        <v/>
      </c>
      <c r="H288" s="11">
        <f>IFERROR(VLOOKUP('Pairings NB'!$M$1274,Instructores!$A:$D,4,FALSE),"")</f>
        <v/>
      </c>
      <c r="I288" s="11">
        <f>'Pairings NB'!$O$1274</f>
        <v/>
      </c>
      <c r="J288" s="11">
        <f>'Pairings NB'!J1274</f>
        <v/>
      </c>
      <c r="K288" s="11">
        <f>IFERROR(VLOOKUP('Pairings NB'!$M$1274,Instructores!$A:$D,3,FALSE),"")</f>
        <v/>
      </c>
      <c r="L288" s="11">
        <f>IF('Pairings NB'!J1274=320,4,3)</f>
        <v/>
      </c>
      <c r="M288" s="11">
        <f>'Pairings NB'!$N$1274</f>
        <v/>
      </c>
    </row>
    <row r="289">
      <c r="A289" s="11">
        <f>'Pairings NB'!B1279</f>
        <v/>
      </c>
      <c r="B289" s="11">
        <f>'Pairings NB'!C1279</f>
        <v/>
      </c>
      <c r="C289" s="11">
        <f>'Pairings NB'!D1279</f>
        <v/>
      </c>
      <c r="D289" s="11">
        <f>'Pairings NB'!E1279&amp;"/"&amp;'Pairings NB'!E1280</f>
        <v/>
      </c>
      <c r="E289" s="11">
        <f>'Pairings NB'!F1279&amp;"-"&amp;'Pairings NB'!G1279&amp;"-"&amp;'Pairings NB'!F1279</f>
        <v/>
      </c>
      <c r="F289" s="11">
        <f>IFERROR(VLOOKUP('Pairings NB'!$M$1279,Instructores!$A:$D,2,FALSE),"")</f>
        <v/>
      </c>
      <c r="G289" s="11">
        <f>'Pairings NB'!$M$1279</f>
        <v/>
      </c>
      <c r="H289" s="11">
        <f>IFERROR(VLOOKUP('Pairings NB'!$M$1279,Instructores!$A:$D,4,FALSE),"")</f>
        <v/>
      </c>
      <c r="I289" s="11">
        <f>'Pairings NB'!$O$1279</f>
        <v/>
      </c>
      <c r="J289" s="11">
        <f>'Pairings NB'!J1279</f>
        <v/>
      </c>
      <c r="K289" s="11">
        <f>IFERROR(VLOOKUP('Pairings NB'!$M$1279,Instructores!$A:$D,3,FALSE),"")</f>
        <v/>
      </c>
      <c r="L289" s="11">
        <f>IF('Pairings NB'!J1279=320,4,3)</f>
        <v/>
      </c>
      <c r="M289" s="11">
        <f>'Pairings NB'!$N$1279</f>
        <v/>
      </c>
    </row>
    <row r="290">
      <c r="A290" s="11">
        <f>'Pairings NB'!B1284</f>
        <v/>
      </c>
      <c r="B290" s="11">
        <f>'Pairings NB'!C1284</f>
        <v/>
      </c>
      <c r="C290" s="11">
        <f>'Pairings NB'!D1284</f>
        <v/>
      </c>
      <c r="D290" s="11">
        <f>'Pairings NB'!E1284&amp;"/"&amp;'Pairings NB'!E1285</f>
        <v/>
      </c>
      <c r="E290" s="11">
        <f>'Pairings NB'!F1284&amp;"-"&amp;'Pairings NB'!G1284&amp;"-"&amp;'Pairings NB'!F1284</f>
        <v/>
      </c>
      <c r="F290" s="11">
        <f>IFERROR(VLOOKUP('Pairings NB'!$M$1284,Instructores!$A:$D,2,FALSE),"")</f>
        <v/>
      </c>
      <c r="G290" s="11">
        <f>'Pairings NB'!$M$1284</f>
        <v/>
      </c>
      <c r="H290" s="11">
        <f>IFERROR(VLOOKUP('Pairings NB'!$M$1284,Instructores!$A:$D,4,FALSE),"")</f>
        <v/>
      </c>
      <c r="I290" s="11">
        <f>'Pairings NB'!$O$1284</f>
        <v/>
      </c>
      <c r="J290" s="11">
        <f>'Pairings NB'!J1284</f>
        <v/>
      </c>
      <c r="K290" s="11">
        <f>IFERROR(VLOOKUP('Pairings NB'!$M$1284,Instructores!$A:$D,3,FALSE),"")</f>
        <v/>
      </c>
      <c r="L290" s="11">
        <f>IF('Pairings NB'!J1284=320,4,3)</f>
        <v/>
      </c>
      <c r="M290" s="11">
        <f>'Pairings NB'!$N$1284</f>
        <v/>
      </c>
    </row>
    <row r="291">
      <c r="A291" s="11">
        <f>'Pairings NB'!B1289</f>
        <v/>
      </c>
      <c r="B291" s="11">
        <f>'Pairings NB'!C1289</f>
        <v/>
      </c>
      <c r="C291" s="11">
        <f>'Pairings NB'!D1289</f>
        <v/>
      </c>
      <c r="D291" s="11">
        <f>'Pairings NB'!E1289&amp;"/"&amp;'Pairings NB'!E1290</f>
        <v/>
      </c>
      <c r="E291" s="11">
        <f>'Pairings NB'!F1289&amp;"-"&amp;'Pairings NB'!G1289&amp;"-"&amp;'Pairings NB'!F1289</f>
        <v/>
      </c>
      <c r="F291" s="11">
        <f>IFERROR(VLOOKUP('Pairings NB'!$M$1289,Instructores!$A:$D,2,FALSE),"")</f>
        <v/>
      </c>
      <c r="G291" s="11">
        <f>'Pairings NB'!$M$1289</f>
        <v/>
      </c>
      <c r="H291" s="11">
        <f>IFERROR(VLOOKUP('Pairings NB'!$M$1289,Instructores!$A:$D,4,FALSE),"")</f>
        <v/>
      </c>
      <c r="I291" s="11">
        <f>'Pairings NB'!$O$1289</f>
        <v/>
      </c>
      <c r="J291" s="11">
        <f>'Pairings NB'!J1289</f>
        <v/>
      </c>
      <c r="K291" s="11">
        <f>IFERROR(VLOOKUP('Pairings NB'!$M$1289,Instructores!$A:$D,3,FALSE),"")</f>
        <v/>
      </c>
      <c r="L291" s="11">
        <f>IF('Pairings NB'!J1289=320,4,3)</f>
        <v/>
      </c>
      <c r="M291" s="11">
        <f>'Pairings NB'!$N$1289</f>
        <v/>
      </c>
    </row>
    <row r="292">
      <c r="A292" s="11">
        <f>'Pairings NB'!B1294</f>
        <v/>
      </c>
      <c r="B292" s="11">
        <f>'Pairings NB'!C1294</f>
        <v/>
      </c>
      <c r="C292" s="11">
        <f>'Pairings NB'!D1294</f>
        <v/>
      </c>
      <c r="D292" s="11">
        <f>'Pairings NB'!E1294&amp;"/"&amp;'Pairings NB'!E1295</f>
        <v/>
      </c>
      <c r="E292" s="11">
        <f>'Pairings NB'!F1294&amp;"-"&amp;'Pairings NB'!G1294&amp;"-"&amp;'Pairings NB'!F1294</f>
        <v/>
      </c>
      <c r="F292" s="11">
        <f>IFERROR(VLOOKUP('Pairings NB'!$M$1294,Instructores!$A:$D,2,FALSE),"")</f>
        <v/>
      </c>
      <c r="G292" s="11">
        <f>'Pairings NB'!$M$1294</f>
        <v/>
      </c>
      <c r="H292" s="11">
        <f>IFERROR(VLOOKUP('Pairings NB'!$M$1294,Instructores!$A:$D,4,FALSE),"")</f>
        <v/>
      </c>
      <c r="I292" s="11">
        <f>'Pairings NB'!$O$1294</f>
        <v/>
      </c>
      <c r="J292" s="11">
        <f>'Pairings NB'!J1294</f>
        <v/>
      </c>
      <c r="K292" s="11">
        <f>IFERROR(VLOOKUP('Pairings NB'!$M$1294,Instructores!$A:$D,3,FALSE),"")</f>
        <v/>
      </c>
      <c r="L292" s="11">
        <f>IF('Pairings NB'!J1294=320,4,3)</f>
        <v/>
      </c>
      <c r="M292" s="11">
        <f>'Pairings NB'!$N$1294</f>
        <v/>
      </c>
    </row>
    <row r="293">
      <c r="A293" s="11">
        <f>'Pairings NB'!B1299</f>
        <v/>
      </c>
      <c r="B293" s="11">
        <f>'Pairings NB'!C1299</f>
        <v/>
      </c>
      <c r="C293" s="11">
        <f>'Pairings NB'!D1299</f>
        <v/>
      </c>
      <c r="D293" s="11">
        <f>'Pairings NB'!E1299&amp;"/"&amp;'Pairings NB'!E1300</f>
        <v/>
      </c>
      <c r="E293" s="11">
        <f>'Pairings NB'!F1299&amp;"-"&amp;'Pairings NB'!G1299&amp;"-"&amp;'Pairings NB'!F1299</f>
        <v/>
      </c>
      <c r="F293" s="11">
        <f>IFERROR(VLOOKUP('Pairings NB'!$M$1299,Instructores!$A:$D,2,FALSE),"")</f>
        <v/>
      </c>
      <c r="G293" s="11">
        <f>'Pairings NB'!$M$1299</f>
        <v/>
      </c>
      <c r="H293" s="11">
        <f>IFERROR(VLOOKUP('Pairings NB'!$M$1299,Instructores!$A:$D,4,FALSE),"")</f>
        <v/>
      </c>
      <c r="I293" s="11">
        <f>'Pairings NB'!$O$1299</f>
        <v/>
      </c>
      <c r="J293" s="11">
        <f>'Pairings NB'!J1299</f>
        <v/>
      </c>
      <c r="K293" s="11">
        <f>IFERROR(VLOOKUP('Pairings NB'!$M$1299,Instructores!$A:$D,3,FALSE),"")</f>
        <v/>
      </c>
      <c r="L293" s="11">
        <f>IF('Pairings NB'!J1299=320,4,3)</f>
        <v/>
      </c>
      <c r="M293" s="11">
        <f>'Pairings NB'!$N$1299</f>
        <v/>
      </c>
    </row>
    <row r="294">
      <c r="A294" s="11">
        <f>'Pairings NB'!B1304</f>
        <v/>
      </c>
      <c r="B294" s="11">
        <f>'Pairings NB'!C1304</f>
        <v/>
      </c>
      <c r="C294" s="11">
        <f>'Pairings NB'!D1304</f>
        <v/>
      </c>
      <c r="D294" s="11">
        <f>'Pairings NB'!E1304&amp;"/"&amp;'Pairings NB'!E1305</f>
        <v/>
      </c>
      <c r="E294" s="11">
        <f>'Pairings NB'!F1304&amp;"-"&amp;'Pairings NB'!G1304&amp;"-"&amp;'Pairings NB'!F1304</f>
        <v/>
      </c>
      <c r="F294" s="11">
        <f>IFERROR(VLOOKUP('Pairings NB'!$M$1304,Instructores!$A:$D,2,FALSE),"")</f>
        <v/>
      </c>
      <c r="G294" s="11">
        <f>'Pairings NB'!$M$1304</f>
        <v/>
      </c>
      <c r="H294" s="11">
        <f>IFERROR(VLOOKUP('Pairings NB'!$M$1304,Instructores!$A:$D,4,FALSE),"")</f>
        <v/>
      </c>
      <c r="I294" s="11">
        <f>'Pairings NB'!$O$1304</f>
        <v/>
      </c>
      <c r="J294" s="11">
        <f>'Pairings NB'!J1304</f>
        <v/>
      </c>
      <c r="K294" s="11">
        <f>IFERROR(VLOOKUP('Pairings NB'!$M$1304,Instructores!$A:$D,3,FALSE),"")</f>
        <v/>
      </c>
      <c r="L294" s="11">
        <f>IF('Pairings NB'!J1304=320,4,3)</f>
        <v/>
      </c>
      <c r="M294" s="11">
        <f>'Pairings NB'!$N$1304</f>
        <v/>
      </c>
    </row>
    <row r="295">
      <c r="A295" s="11">
        <f>'Pairings NB'!B1309</f>
        <v/>
      </c>
      <c r="B295" s="11">
        <f>'Pairings NB'!C1309</f>
        <v/>
      </c>
      <c r="C295" s="11">
        <f>'Pairings NB'!D1309</f>
        <v/>
      </c>
      <c r="D295" s="11">
        <f>'Pairings NB'!E1309&amp;"/"&amp;'Pairings NB'!E1310</f>
        <v/>
      </c>
      <c r="E295" s="11">
        <f>'Pairings NB'!F1309&amp;"-"&amp;'Pairings NB'!G1309&amp;"-"&amp;'Pairings NB'!F1309</f>
        <v/>
      </c>
      <c r="F295" s="11">
        <f>IFERROR(VLOOKUP('Pairings NB'!$M$1309,Instructores!$A:$D,2,FALSE),"")</f>
        <v/>
      </c>
      <c r="G295" s="11">
        <f>'Pairings NB'!$M$1309</f>
        <v/>
      </c>
      <c r="H295" s="11">
        <f>IFERROR(VLOOKUP('Pairings NB'!$M$1309,Instructores!$A:$D,4,FALSE),"")</f>
        <v/>
      </c>
      <c r="I295" s="11">
        <f>'Pairings NB'!$O$1309</f>
        <v/>
      </c>
      <c r="J295" s="11">
        <f>'Pairings NB'!J1309</f>
        <v/>
      </c>
      <c r="K295" s="11">
        <f>IFERROR(VLOOKUP('Pairings NB'!$M$1309,Instructores!$A:$D,3,FALSE),"")</f>
        <v/>
      </c>
      <c r="L295" s="11">
        <f>IF('Pairings NB'!J1309=320,4,3)</f>
        <v/>
      </c>
      <c r="M295" s="11">
        <f>'Pairings NB'!$N$1309</f>
        <v/>
      </c>
    </row>
    <row r="296">
      <c r="A296" s="11">
        <f>'Pairings NB'!B1314</f>
        <v/>
      </c>
      <c r="B296" s="11">
        <f>'Pairings NB'!C1314</f>
        <v/>
      </c>
      <c r="C296" s="11">
        <f>'Pairings NB'!D1314</f>
        <v/>
      </c>
      <c r="D296" s="11">
        <f>'Pairings NB'!E1314&amp;"/"&amp;'Pairings NB'!E1315</f>
        <v/>
      </c>
      <c r="E296" s="11">
        <f>'Pairings NB'!F1314&amp;"-"&amp;'Pairings NB'!G1314&amp;"-"&amp;'Pairings NB'!F1314</f>
        <v/>
      </c>
      <c r="F296" s="11">
        <f>IFERROR(VLOOKUP('Pairings NB'!$M$1314,Instructores!$A:$D,2,FALSE),"")</f>
        <v/>
      </c>
      <c r="G296" s="11">
        <f>'Pairings NB'!$M$1314</f>
        <v/>
      </c>
      <c r="H296" s="11">
        <f>IFERROR(VLOOKUP('Pairings NB'!$M$1314,Instructores!$A:$D,4,FALSE),"")</f>
        <v/>
      </c>
      <c r="I296" s="11">
        <f>'Pairings NB'!$O$1314</f>
        <v/>
      </c>
      <c r="J296" s="11">
        <f>'Pairings NB'!J1314</f>
        <v/>
      </c>
      <c r="K296" s="11">
        <f>IFERROR(VLOOKUP('Pairings NB'!$M$1314,Instructores!$A:$D,3,FALSE),"")</f>
        <v/>
      </c>
      <c r="L296" s="11">
        <f>IF('Pairings NB'!J1314=320,4,3)</f>
        <v/>
      </c>
      <c r="M296" s="11">
        <f>'Pairings NB'!$N$1314</f>
        <v/>
      </c>
    </row>
    <row r="297">
      <c r="A297" s="11">
        <f>'Pairings NB'!B1316</f>
        <v/>
      </c>
      <c r="B297" s="11">
        <f>'Pairings NB'!C1316</f>
        <v/>
      </c>
      <c r="C297" s="11">
        <f>'Pairings NB'!D1316</f>
        <v/>
      </c>
      <c r="D297" s="11">
        <f>'Pairings NB'!E1316&amp;"/"&amp;'Pairings NB'!E1317</f>
        <v/>
      </c>
      <c r="E297" s="11">
        <f>'Pairings NB'!F1316&amp;"-"&amp;'Pairings NB'!G1316&amp;"-"&amp;'Pairings NB'!F1316</f>
        <v/>
      </c>
      <c r="F297" s="11">
        <f>IFERROR(VLOOKUP('Pairings NB'!$M$1314,Instructores!$A:$D,2,FALSE),"")</f>
        <v/>
      </c>
      <c r="G297" s="11">
        <f>'Pairings NB'!$M$1314</f>
        <v/>
      </c>
      <c r="H297" s="11">
        <f>IFERROR(VLOOKUP('Pairings NB'!$M$1314,Instructores!$A:$D,4,FALSE),"")</f>
        <v/>
      </c>
      <c r="I297" s="11">
        <f>'Pairings NB'!$O$1314</f>
        <v/>
      </c>
      <c r="J297" s="11">
        <f>'Pairings NB'!J1316</f>
        <v/>
      </c>
      <c r="K297" s="11">
        <f>IFERROR(VLOOKUP('Pairings NB'!$M$1314,Instructores!$A:$D,3,FALSE),"")</f>
        <v/>
      </c>
      <c r="L297" s="11">
        <f>IF('Pairings NB'!J1316=320,4,3)</f>
        <v/>
      </c>
      <c r="M297" s="11">
        <f>'Pairings NB'!$N$1314</f>
        <v/>
      </c>
    </row>
    <row r="298">
      <c r="A298" s="11">
        <f>'Pairings NB'!B1321</f>
        <v/>
      </c>
      <c r="B298" s="11">
        <f>'Pairings NB'!C1321</f>
        <v/>
      </c>
      <c r="C298" s="11">
        <f>'Pairings NB'!D1321</f>
        <v/>
      </c>
      <c r="D298" s="11">
        <f>'Pairings NB'!E1321&amp;"/"&amp;'Pairings NB'!E1322</f>
        <v/>
      </c>
      <c r="E298" s="11">
        <f>'Pairings NB'!F1321&amp;"-"&amp;'Pairings NB'!G1321&amp;"-"&amp;'Pairings NB'!F1321</f>
        <v/>
      </c>
      <c r="F298" s="11">
        <f>IFERROR(VLOOKUP('Pairings NB'!$M$1321,Instructores!$A:$D,2,FALSE),"")</f>
        <v/>
      </c>
      <c r="G298" s="11">
        <f>'Pairings NB'!$M$1321</f>
        <v/>
      </c>
      <c r="H298" s="11">
        <f>IFERROR(VLOOKUP('Pairings NB'!$M$1321,Instructores!$A:$D,4,FALSE),"")</f>
        <v/>
      </c>
      <c r="I298" s="11">
        <f>'Pairings NB'!$O$1321</f>
        <v/>
      </c>
      <c r="J298" s="11">
        <f>'Pairings NB'!J1321</f>
        <v/>
      </c>
      <c r="K298" s="11">
        <f>IFERROR(VLOOKUP('Pairings NB'!$M$1321,Instructores!$A:$D,3,FALSE),"")</f>
        <v/>
      </c>
      <c r="L298" s="11">
        <f>IF('Pairings NB'!J1321=320,4,3)</f>
        <v/>
      </c>
      <c r="M298" s="11">
        <f>'Pairings NB'!$N$1321</f>
        <v/>
      </c>
    </row>
    <row r="299">
      <c r="A299" s="11">
        <f>'Pairings NB'!B1323</f>
        <v/>
      </c>
      <c r="B299" s="11">
        <f>'Pairings NB'!C1323</f>
        <v/>
      </c>
      <c r="C299" s="11">
        <f>'Pairings NB'!D1323</f>
        <v/>
      </c>
      <c r="D299" s="11">
        <f>'Pairings NB'!E1323&amp;"/"&amp;'Pairings NB'!E1324</f>
        <v/>
      </c>
      <c r="E299" s="11">
        <f>'Pairings NB'!F1323&amp;"-"&amp;'Pairings NB'!G1323&amp;"-"&amp;'Pairings NB'!F1323</f>
        <v/>
      </c>
      <c r="F299" s="11">
        <f>IFERROR(VLOOKUP('Pairings NB'!$M$1321,Instructores!$A:$D,2,FALSE),"")</f>
        <v/>
      </c>
      <c r="G299" s="11">
        <f>'Pairings NB'!$M$1321</f>
        <v/>
      </c>
      <c r="H299" s="11">
        <f>IFERROR(VLOOKUP('Pairings NB'!$M$1321,Instructores!$A:$D,4,FALSE),"")</f>
        <v/>
      </c>
      <c r="I299" s="11">
        <f>'Pairings NB'!$O$1321</f>
        <v/>
      </c>
      <c r="J299" s="11">
        <f>'Pairings NB'!J1323</f>
        <v/>
      </c>
      <c r="K299" s="11">
        <f>IFERROR(VLOOKUP('Pairings NB'!$M$1321,Instructores!$A:$D,3,FALSE),"")</f>
        <v/>
      </c>
      <c r="L299" s="11">
        <f>IF('Pairings NB'!J1323=320,4,3)</f>
        <v/>
      </c>
      <c r="M299" s="11">
        <f>'Pairings NB'!$N$1321</f>
        <v/>
      </c>
    </row>
    <row r="300">
      <c r="A300" s="11">
        <f>'Pairings NB'!B1328</f>
        <v/>
      </c>
      <c r="B300" s="11">
        <f>'Pairings NB'!C1328</f>
        <v/>
      </c>
      <c r="C300" s="11">
        <f>'Pairings NB'!D1328</f>
        <v/>
      </c>
      <c r="D300" s="11">
        <f>'Pairings NB'!E1328&amp;"/"&amp;'Pairings NB'!E1329</f>
        <v/>
      </c>
      <c r="E300" s="11">
        <f>'Pairings NB'!F1328&amp;"-"&amp;'Pairings NB'!G1328&amp;"-"&amp;'Pairings NB'!F1328</f>
        <v/>
      </c>
      <c r="F300" s="11">
        <f>IFERROR(VLOOKUP('Pairings NB'!$M$1328,Instructores!$A:$D,2,FALSE),"")</f>
        <v/>
      </c>
      <c r="G300" s="11">
        <f>'Pairings NB'!$M$1328</f>
        <v/>
      </c>
      <c r="H300" s="11">
        <f>IFERROR(VLOOKUP('Pairings NB'!$M$1328,Instructores!$A:$D,4,FALSE),"")</f>
        <v/>
      </c>
      <c r="I300" s="11">
        <f>'Pairings NB'!$O$1328</f>
        <v/>
      </c>
      <c r="J300" s="11">
        <f>'Pairings NB'!J1328</f>
        <v/>
      </c>
      <c r="K300" s="11">
        <f>IFERROR(VLOOKUP('Pairings NB'!$M$1328,Instructores!$A:$D,3,FALSE),"")</f>
        <v/>
      </c>
      <c r="L300" s="11">
        <f>IF('Pairings NB'!J1328=320,4,3)</f>
        <v/>
      </c>
      <c r="M300" s="11">
        <f>'Pairings NB'!$N$1328</f>
        <v/>
      </c>
    </row>
    <row r="301">
      <c r="A301" s="11">
        <f>'Pairings NB'!B1330</f>
        <v/>
      </c>
      <c r="B301" s="11">
        <f>'Pairings NB'!C1330</f>
        <v/>
      </c>
      <c r="C301" s="11">
        <f>'Pairings NB'!D1330</f>
        <v/>
      </c>
      <c r="D301" s="11">
        <f>'Pairings NB'!E1330&amp;"/"&amp;'Pairings NB'!E1331</f>
        <v/>
      </c>
      <c r="E301" s="11">
        <f>'Pairings NB'!F1330&amp;"-"&amp;'Pairings NB'!G1330&amp;"-"&amp;'Pairings NB'!F1330</f>
        <v/>
      </c>
      <c r="F301" s="11">
        <f>IFERROR(VLOOKUP('Pairings NB'!$M$1328,Instructores!$A:$D,2,FALSE),"")</f>
        <v/>
      </c>
      <c r="G301" s="11">
        <f>'Pairings NB'!$M$1328</f>
        <v/>
      </c>
      <c r="H301" s="11">
        <f>IFERROR(VLOOKUP('Pairings NB'!$M$1328,Instructores!$A:$D,4,FALSE),"")</f>
        <v/>
      </c>
      <c r="I301" s="11">
        <f>'Pairings NB'!$O$1328</f>
        <v/>
      </c>
      <c r="J301" s="11">
        <f>'Pairings NB'!J1330</f>
        <v/>
      </c>
      <c r="K301" s="11">
        <f>IFERROR(VLOOKUP('Pairings NB'!$M$1328,Instructores!$A:$D,3,FALSE),"")</f>
        <v/>
      </c>
      <c r="L301" s="11">
        <f>IF('Pairings NB'!J1330=320,4,3)</f>
        <v/>
      </c>
      <c r="M301" s="11">
        <f>'Pairings NB'!$N$1328</f>
        <v/>
      </c>
    </row>
    <row r="302">
      <c r="A302" s="11">
        <f>'Pairings NB'!B1335</f>
        <v/>
      </c>
      <c r="B302" s="11">
        <f>'Pairings NB'!C1335</f>
        <v/>
      </c>
      <c r="C302" s="11">
        <f>'Pairings NB'!D1335</f>
        <v/>
      </c>
      <c r="D302" s="11">
        <f>'Pairings NB'!E1335&amp;"/"&amp;'Pairings NB'!E1336</f>
        <v/>
      </c>
      <c r="E302" s="11">
        <f>'Pairings NB'!F1335&amp;"-"&amp;'Pairings NB'!G1335&amp;"-"&amp;'Pairings NB'!F1335</f>
        <v/>
      </c>
      <c r="F302" s="11">
        <f>IFERROR(VLOOKUP('Pairings NB'!$M$1335,Instructores!$A:$D,2,FALSE),"")</f>
        <v/>
      </c>
      <c r="G302" s="11">
        <f>'Pairings NB'!$M$1335</f>
        <v/>
      </c>
      <c r="H302" s="11">
        <f>IFERROR(VLOOKUP('Pairings NB'!$M$1335,Instructores!$A:$D,4,FALSE),"")</f>
        <v/>
      </c>
      <c r="I302" s="11">
        <f>'Pairings NB'!$O$1335</f>
        <v/>
      </c>
      <c r="J302" s="11">
        <f>'Pairings NB'!J1335</f>
        <v/>
      </c>
      <c r="K302" s="11">
        <f>IFERROR(VLOOKUP('Pairings NB'!$M$1335,Instructores!$A:$D,3,FALSE),"")</f>
        <v/>
      </c>
      <c r="L302" s="11">
        <f>IF('Pairings NB'!J1335=320,4,3)</f>
        <v/>
      </c>
      <c r="M302" s="11">
        <f>'Pairings NB'!$N$1335</f>
        <v/>
      </c>
    </row>
    <row r="303">
      <c r="A303" s="11">
        <f>'Pairings NB'!B1340</f>
        <v/>
      </c>
      <c r="B303" s="11">
        <f>'Pairings NB'!C1340</f>
        <v/>
      </c>
      <c r="C303" s="11">
        <f>'Pairings NB'!D1340</f>
        <v/>
      </c>
      <c r="D303" s="11">
        <f>'Pairings NB'!E1340&amp;"/"&amp;'Pairings NB'!E1341</f>
        <v/>
      </c>
      <c r="E303" s="11">
        <f>'Pairings NB'!F1340&amp;"-"&amp;'Pairings NB'!G1340&amp;"-"&amp;'Pairings NB'!F1340</f>
        <v/>
      </c>
      <c r="F303" s="11">
        <f>IFERROR(VLOOKUP('Pairings NB'!$M$1340,Instructores!$A:$D,2,FALSE),"")</f>
        <v/>
      </c>
      <c r="G303" s="11">
        <f>'Pairings NB'!$M$1340</f>
        <v/>
      </c>
      <c r="H303" s="11">
        <f>IFERROR(VLOOKUP('Pairings NB'!$M$1340,Instructores!$A:$D,4,FALSE),"")</f>
        <v/>
      </c>
      <c r="I303" s="11">
        <f>'Pairings NB'!$O$1340</f>
        <v/>
      </c>
      <c r="J303" s="11">
        <f>'Pairings NB'!J1340</f>
        <v/>
      </c>
      <c r="K303" s="11">
        <f>IFERROR(VLOOKUP('Pairings NB'!$M$1340,Instructores!$A:$D,3,FALSE),"")</f>
        <v/>
      </c>
      <c r="L303" s="11">
        <f>IF('Pairings NB'!J1340=320,4,3)</f>
        <v/>
      </c>
      <c r="M303" s="11">
        <f>'Pairings NB'!$N$1340</f>
        <v/>
      </c>
    </row>
    <row r="304">
      <c r="A304" s="11">
        <f>'Pairings NB'!B1342</f>
        <v/>
      </c>
      <c r="B304" s="11">
        <f>'Pairings NB'!C1342</f>
        <v/>
      </c>
      <c r="C304" s="11">
        <f>'Pairings NB'!D1342</f>
        <v/>
      </c>
      <c r="D304" s="11">
        <f>'Pairings NB'!E1342&amp;"/"&amp;'Pairings NB'!E1343</f>
        <v/>
      </c>
      <c r="E304" s="11">
        <f>'Pairings NB'!F1342&amp;"-"&amp;'Pairings NB'!G1342&amp;"-"&amp;'Pairings NB'!F1342</f>
        <v/>
      </c>
      <c r="F304" s="11">
        <f>IFERROR(VLOOKUP('Pairings NB'!$M$1340,Instructores!$A:$D,2,FALSE),"")</f>
        <v/>
      </c>
      <c r="G304" s="11">
        <f>'Pairings NB'!$M$1340</f>
        <v/>
      </c>
      <c r="H304" s="11">
        <f>IFERROR(VLOOKUP('Pairings NB'!$M$1340,Instructores!$A:$D,4,FALSE),"")</f>
        <v/>
      </c>
      <c r="I304" s="11">
        <f>'Pairings NB'!$O$1340</f>
        <v/>
      </c>
      <c r="J304" s="11">
        <f>'Pairings NB'!J1342</f>
        <v/>
      </c>
      <c r="K304" s="11">
        <f>IFERROR(VLOOKUP('Pairings NB'!$M$1340,Instructores!$A:$D,3,FALSE),"")</f>
        <v/>
      </c>
      <c r="L304" s="11">
        <f>IF('Pairings NB'!J1342=320,4,3)</f>
        <v/>
      </c>
      <c r="M304" s="11">
        <f>'Pairings NB'!$N$1340</f>
        <v/>
      </c>
    </row>
    <row r="305">
      <c r="A305" s="11">
        <f>'Pairings NB'!B1347</f>
        <v/>
      </c>
      <c r="B305" s="11">
        <f>'Pairings NB'!C1347</f>
        <v/>
      </c>
      <c r="C305" s="11">
        <f>'Pairings NB'!D1347</f>
        <v/>
      </c>
      <c r="D305" s="11">
        <f>'Pairings NB'!E1347&amp;"/"&amp;'Pairings NB'!E1348</f>
        <v/>
      </c>
      <c r="E305" s="11">
        <f>'Pairings NB'!F1347&amp;"-"&amp;'Pairings NB'!G1347&amp;"-"&amp;'Pairings NB'!F1347</f>
        <v/>
      </c>
      <c r="F305" s="11">
        <f>IFERROR(VLOOKUP('Pairings NB'!$M$1347,Instructores!$A:$D,2,FALSE),"")</f>
        <v/>
      </c>
      <c r="G305" s="11">
        <f>'Pairings NB'!$M$1347</f>
        <v/>
      </c>
      <c r="H305" s="11">
        <f>IFERROR(VLOOKUP('Pairings NB'!$M$1347,Instructores!$A:$D,4,FALSE),"")</f>
        <v/>
      </c>
      <c r="I305" s="11">
        <f>'Pairings NB'!$O$1347</f>
        <v/>
      </c>
      <c r="J305" s="11">
        <f>'Pairings NB'!J1347</f>
        <v/>
      </c>
      <c r="K305" s="11">
        <f>IFERROR(VLOOKUP('Pairings NB'!$M$1347,Instructores!$A:$D,3,FALSE),"")</f>
        <v/>
      </c>
      <c r="L305" s="11">
        <f>IF('Pairings NB'!J1347=320,4,3)</f>
        <v/>
      </c>
      <c r="M305" s="11">
        <f>'Pairings NB'!$N$1347</f>
        <v/>
      </c>
    </row>
    <row r="306">
      <c r="A306" s="11">
        <f>'Pairings NB'!B1352</f>
        <v/>
      </c>
      <c r="B306" s="11">
        <f>'Pairings NB'!C1352</f>
        <v/>
      </c>
      <c r="C306" s="11">
        <f>'Pairings NB'!D1352</f>
        <v/>
      </c>
      <c r="D306" s="11">
        <f>'Pairings NB'!E1352&amp;"/"&amp;'Pairings NB'!E1353</f>
        <v/>
      </c>
      <c r="E306" s="11">
        <f>'Pairings NB'!F1352&amp;"-"&amp;'Pairings NB'!G1352&amp;"-"&amp;'Pairings NB'!F1352</f>
        <v/>
      </c>
      <c r="F306" s="11">
        <f>IFERROR(VLOOKUP('Pairings NB'!$M$1352,Instructores!$A:$D,2,FALSE),"")</f>
        <v/>
      </c>
      <c r="G306" s="11">
        <f>'Pairings NB'!$M$1352</f>
        <v/>
      </c>
      <c r="H306" s="11">
        <f>IFERROR(VLOOKUP('Pairings NB'!$M$1352,Instructores!$A:$D,4,FALSE),"")</f>
        <v/>
      </c>
      <c r="I306" s="11">
        <f>'Pairings NB'!$O$1352</f>
        <v/>
      </c>
      <c r="J306" s="11">
        <f>'Pairings NB'!J1352</f>
        <v/>
      </c>
      <c r="K306" s="11">
        <f>IFERROR(VLOOKUP('Pairings NB'!$M$1352,Instructores!$A:$D,3,FALSE),"")</f>
        <v/>
      </c>
      <c r="L306" s="11">
        <f>IF('Pairings NB'!J1352=320,4,3)</f>
        <v/>
      </c>
      <c r="M306" s="11">
        <f>'Pairings NB'!$N$1352</f>
        <v/>
      </c>
    </row>
    <row r="307">
      <c r="A307" s="11">
        <f>'Pairings NB'!B1357</f>
        <v/>
      </c>
      <c r="B307" s="11">
        <f>'Pairings NB'!C1357</f>
        <v/>
      </c>
      <c r="C307" s="11">
        <f>'Pairings NB'!D1357</f>
        <v/>
      </c>
      <c r="D307" s="11">
        <f>'Pairings NB'!E1357&amp;"/"&amp;'Pairings NB'!E1358</f>
        <v/>
      </c>
      <c r="E307" s="11">
        <f>'Pairings NB'!F1357&amp;"-"&amp;'Pairings NB'!G1357&amp;"-"&amp;'Pairings NB'!F1357</f>
        <v/>
      </c>
      <c r="F307" s="11">
        <f>IFERROR(VLOOKUP('Pairings NB'!$M$1357,Instructores!$A:$D,2,FALSE),"")</f>
        <v/>
      </c>
      <c r="G307" s="11">
        <f>'Pairings NB'!$M$1357</f>
        <v/>
      </c>
      <c r="H307" s="11">
        <f>IFERROR(VLOOKUP('Pairings NB'!$M$1357,Instructores!$A:$D,4,FALSE),"")</f>
        <v/>
      </c>
      <c r="I307" s="11">
        <f>'Pairings NB'!$O$1357</f>
        <v/>
      </c>
      <c r="J307" s="11">
        <f>'Pairings NB'!J1357</f>
        <v/>
      </c>
      <c r="K307" s="11">
        <f>IFERROR(VLOOKUP('Pairings NB'!$M$1357,Instructores!$A:$D,3,FALSE),"")</f>
        <v/>
      </c>
      <c r="L307" s="11">
        <f>IF('Pairings NB'!J1357=320,4,3)</f>
        <v/>
      </c>
      <c r="M307" s="11">
        <f>'Pairings NB'!$N$1357</f>
        <v/>
      </c>
    </row>
    <row r="308">
      <c r="A308" s="11">
        <f>'Pairings NB'!B1362</f>
        <v/>
      </c>
      <c r="B308" s="11">
        <f>'Pairings NB'!C1362</f>
        <v/>
      </c>
      <c r="C308" s="11">
        <f>'Pairings NB'!D1362</f>
        <v/>
      </c>
      <c r="D308" s="11">
        <f>'Pairings NB'!E1362&amp;"/"&amp;'Pairings NB'!E1363</f>
        <v/>
      </c>
      <c r="E308" s="11">
        <f>'Pairings NB'!F1362&amp;"-"&amp;'Pairings NB'!G1362&amp;"-"&amp;'Pairings NB'!F1362</f>
        <v/>
      </c>
      <c r="F308" s="11">
        <f>IFERROR(VLOOKUP('Pairings NB'!$M$1362,Instructores!$A:$D,2,FALSE),"")</f>
        <v/>
      </c>
      <c r="G308" s="11">
        <f>'Pairings NB'!$M$1362</f>
        <v/>
      </c>
      <c r="H308" s="11">
        <f>IFERROR(VLOOKUP('Pairings NB'!$M$1362,Instructores!$A:$D,4,FALSE),"")</f>
        <v/>
      </c>
      <c r="I308" s="11">
        <f>'Pairings NB'!$O$1362</f>
        <v/>
      </c>
      <c r="J308" s="11">
        <f>'Pairings NB'!J1362</f>
        <v/>
      </c>
      <c r="K308" s="11">
        <f>IFERROR(VLOOKUP('Pairings NB'!$M$1362,Instructores!$A:$D,3,FALSE),"")</f>
        <v/>
      </c>
      <c r="L308" s="11">
        <f>IF('Pairings NB'!J1362=320,4,3)</f>
        <v/>
      </c>
      <c r="M308" s="11">
        <f>'Pairings NB'!$N$1362</f>
        <v/>
      </c>
    </row>
    <row r="309">
      <c r="A309" s="11">
        <f>'Pairings NB'!B1367</f>
        <v/>
      </c>
      <c r="B309" s="11">
        <f>'Pairings NB'!C1367</f>
        <v/>
      </c>
      <c r="C309" s="11">
        <f>'Pairings NB'!D1367</f>
        <v/>
      </c>
      <c r="D309" s="11">
        <f>'Pairings NB'!E1367&amp;"/"&amp;'Pairings NB'!E1368</f>
        <v/>
      </c>
      <c r="E309" s="11">
        <f>'Pairings NB'!F1367&amp;"-"&amp;'Pairings NB'!G1367&amp;"-"&amp;'Pairings NB'!F1367</f>
        <v/>
      </c>
      <c r="F309" s="11">
        <f>IFERROR(VLOOKUP('Pairings NB'!$M$1367,Instructores!$A:$D,2,FALSE),"")</f>
        <v/>
      </c>
      <c r="G309" s="11">
        <f>'Pairings NB'!$M$1367</f>
        <v/>
      </c>
      <c r="H309" s="11">
        <f>IFERROR(VLOOKUP('Pairings NB'!$M$1367,Instructores!$A:$D,4,FALSE),"")</f>
        <v/>
      </c>
      <c r="I309" s="11">
        <f>'Pairings NB'!$O$1367</f>
        <v/>
      </c>
      <c r="J309" s="11">
        <f>'Pairings NB'!J1367</f>
        <v/>
      </c>
      <c r="K309" s="11">
        <f>IFERROR(VLOOKUP('Pairings NB'!$M$1367,Instructores!$A:$D,3,FALSE),"")</f>
        <v/>
      </c>
      <c r="L309" s="11">
        <f>IF('Pairings NB'!J1367=320,4,3)</f>
        <v/>
      </c>
      <c r="M309" s="11">
        <f>'Pairings NB'!$N$1367</f>
        <v/>
      </c>
    </row>
    <row r="310">
      <c r="A310" s="11">
        <f>'Pairings NB'!B1372</f>
        <v/>
      </c>
      <c r="B310" s="11">
        <f>'Pairings NB'!C1372</f>
        <v/>
      </c>
      <c r="C310" s="11">
        <f>'Pairings NB'!D1372</f>
        <v/>
      </c>
      <c r="D310" s="11">
        <f>'Pairings NB'!E1372&amp;"/"&amp;'Pairings NB'!E1373</f>
        <v/>
      </c>
      <c r="E310" s="11">
        <f>'Pairings NB'!F1372&amp;"-"&amp;'Pairings NB'!G1372&amp;"-"&amp;'Pairings NB'!F1372</f>
        <v/>
      </c>
      <c r="F310" s="11">
        <f>IFERROR(VLOOKUP('Pairings NB'!$M$1372,Instructores!$A:$D,2,FALSE),"")</f>
        <v/>
      </c>
      <c r="G310" s="11">
        <f>'Pairings NB'!$M$1372</f>
        <v/>
      </c>
      <c r="H310" s="11">
        <f>IFERROR(VLOOKUP('Pairings NB'!$M$1372,Instructores!$A:$D,4,FALSE),"")</f>
        <v/>
      </c>
      <c r="I310" s="11">
        <f>'Pairings NB'!$O$1372</f>
        <v/>
      </c>
      <c r="J310" s="11">
        <f>'Pairings NB'!J1372</f>
        <v/>
      </c>
      <c r="K310" s="11">
        <f>IFERROR(VLOOKUP('Pairings NB'!$M$1372,Instructores!$A:$D,3,FALSE),"")</f>
        <v/>
      </c>
      <c r="L310" s="11">
        <f>IF('Pairings NB'!J1372=320,4,3)</f>
        <v/>
      </c>
      <c r="M310" s="11">
        <f>'Pairings NB'!$N$1372</f>
        <v/>
      </c>
    </row>
    <row r="311">
      <c r="A311" s="11">
        <f>'Pairings NB'!B1377</f>
        <v/>
      </c>
      <c r="B311" s="11">
        <f>'Pairings NB'!C1377</f>
        <v/>
      </c>
      <c r="C311" s="11">
        <f>'Pairings NB'!D1377</f>
        <v/>
      </c>
      <c r="D311" s="11">
        <f>'Pairings NB'!E1377&amp;"/"&amp;'Pairings NB'!E1378</f>
        <v/>
      </c>
      <c r="E311" s="11">
        <f>'Pairings NB'!F1377&amp;"-"&amp;'Pairings NB'!G1377&amp;"-"&amp;'Pairings NB'!F1377</f>
        <v/>
      </c>
      <c r="F311" s="11">
        <f>IFERROR(VLOOKUP('Pairings NB'!$M$1377,Instructores!$A:$D,2,FALSE),"")</f>
        <v/>
      </c>
      <c r="G311" s="11">
        <f>'Pairings NB'!$M$1377</f>
        <v/>
      </c>
      <c r="H311" s="11">
        <f>IFERROR(VLOOKUP('Pairings NB'!$M$1377,Instructores!$A:$D,4,FALSE),"")</f>
        <v/>
      </c>
      <c r="I311" s="11">
        <f>'Pairings NB'!$O$1377</f>
        <v/>
      </c>
      <c r="J311" s="11">
        <f>'Pairings NB'!J1377</f>
        <v/>
      </c>
      <c r="K311" s="11">
        <f>IFERROR(VLOOKUP('Pairings NB'!$M$1377,Instructores!$A:$D,3,FALSE),"")</f>
        <v/>
      </c>
      <c r="L311" s="11">
        <f>IF('Pairings NB'!J1377=320,4,3)</f>
        <v/>
      </c>
      <c r="M311" s="11">
        <f>'Pairings NB'!$N$1377</f>
        <v/>
      </c>
    </row>
    <row r="312">
      <c r="A312" s="11">
        <f>'Pairings NB'!B1382</f>
        <v/>
      </c>
      <c r="B312" s="11">
        <f>'Pairings NB'!C1382</f>
        <v/>
      </c>
      <c r="C312" s="11">
        <f>'Pairings NB'!D1382</f>
        <v/>
      </c>
      <c r="D312" s="11">
        <f>'Pairings NB'!E1382&amp;"/"&amp;'Pairings NB'!E1383</f>
        <v/>
      </c>
      <c r="E312" s="11">
        <f>'Pairings NB'!F1382&amp;"-"&amp;'Pairings NB'!G1382&amp;"-"&amp;'Pairings NB'!F1382</f>
        <v/>
      </c>
      <c r="F312" s="11">
        <f>IFERROR(VLOOKUP('Pairings NB'!$M$1382,Instructores!$A:$D,2,FALSE),"")</f>
        <v/>
      </c>
      <c r="G312" s="11">
        <f>'Pairings NB'!$M$1382</f>
        <v/>
      </c>
      <c r="H312" s="11">
        <f>IFERROR(VLOOKUP('Pairings NB'!$M$1382,Instructores!$A:$D,4,FALSE),"")</f>
        <v/>
      </c>
      <c r="I312" s="11">
        <f>'Pairings NB'!$O$1382</f>
        <v/>
      </c>
      <c r="J312" s="11">
        <f>'Pairings NB'!J1382</f>
        <v/>
      </c>
      <c r="K312" s="11">
        <f>IFERROR(VLOOKUP('Pairings NB'!$M$1382,Instructores!$A:$D,3,FALSE),"")</f>
        <v/>
      </c>
      <c r="L312" s="11">
        <f>IF('Pairings NB'!J1382=320,4,3)</f>
        <v/>
      </c>
      <c r="M312" s="11">
        <f>'Pairings NB'!$N$1382</f>
        <v/>
      </c>
    </row>
    <row r="313">
      <c r="A313" s="11">
        <f>'Pairings NB'!B1387</f>
        <v/>
      </c>
      <c r="B313" s="11">
        <f>'Pairings NB'!C1387</f>
        <v/>
      </c>
      <c r="C313" s="11">
        <f>'Pairings NB'!D1387</f>
        <v/>
      </c>
      <c r="D313" s="11">
        <f>'Pairings NB'!E1387&amp;"/"&amp;'Pairings NB'!E1388</f>
        <v/>
      </c>
      <c r="E313" s="11">
        <f>'Pairings NB'!F1387&amp;"-"&amp;'Pairings NB'!G1387&amp;"-"&amp;'Pairings NB'!F1387</f>
        <v/>
      </c>
      <c r="F313" s="11">
        <f>IFERROR(VLOOKUP('Pairings NB'!$M$1387,Instructores!$A:$D,2,FALSE),"")</f>
        <v/>
      </c>
      <c r="G313" s="11">
        <f>'Pairings NB'!$M$1387</f>
        <v/>
      </c>
      <c r="H313" s="11">
        <f>IFERROR(VLOOKUP('Pairings NB'!$M$1387,Instructores!$A:$D,4,FALSE),"")</f>
        <v/>
      </c>
      <c r="I313" s="11">
        <f>'Pairings NB'!$O$1387</f>
        <v/>
      </c>
      <c r="J313" s="11">
        <f>'Pairings NB'!J1387</f>
        <v/>
      </c>
      <c r="K313" s="11">
        <f>IFERROR(VLOOKUP('Pairings NB'!$M$1387,Instructores!$A:$D,3,FALSE),"")</f>
        <v/>
      </c>
      <c r="L313" s="11">
        <f>IF('Pairings NB'!J1387=320,4,3)</f>
        <v/>
      </c>
      <c r="M313" s="11">
        <f>'Pairings NB'!$N$1387</f>
        <v/>
      </c>
    </row>
    <row r="314">
      <c r="A314" s="11">
        <f>'Pairings NB'!B1392</f>
        <v/>
      </c>
      <c r="B314" s="11">
        <f>'Pairings NB'!C1392</f>
        <v/>
      </c>
      <c r="C314" s="11">
        <f>'Pairings NB'!D1392</f>
        <v/>
      </c>
      <c r="D314" s="11">
        <f>'Pairings NB'!E1392&amp;"/"&amp;'Pairings NB'!E1393</f>
        <v/>
      </c>
      <c r="E314" s="11">
        <f>'Pairings NB'!F1392&amp;"-"&amp;'Pairings NB'!G1392&amp;"-"&amp;'Pairings NB'!F1392</f>
        <v/>
      </c>
      <c r="F314" s="11">
        <f>IFERROR(VLOOKUP('Pairings NB'!$M$1392,Instructores!$A:$D,2,FALSE),"")</f>
        <v/>
      </c>
      <c r="G314" s="11">
        <f>'Pairings NB'!$M$1392</f>
        <v/>
      </c>
      <c r="H314" s="11">
        <f>IFERROR(VLOOKUP('Pairings NB'!$M$1392,Instructores!$A:$D,4,FALSE),"")</f>
        <v/>
      </c>
      <c r="I314" s="11">
        <f>'Pairings NB'!$O$1392</f>
        <v/>
      </c>
      <c r="J314" s="11">
        <f>'Pairings NB'!J1392</f>
        <v/>
      </c>
      <c r="K314" s="11">
        <f>IFERROR(VLOOKUP('Pairings NB'!$M$1392,Instructores!$A:$D,3,FALSE),"")</f>
        <v/>
      </c>
      <c r="L314" s="11">
        <f>IF('Pairings NB'!J1392=320,4,3)</f>
        <v/>
      </c>
      <c r="M314" s="11">
        <f>'Pairings NB'!$N$1392</f>
        <v/>
      </c>
    </row>
    <row r="315">
      <c r="A315" s="11">
        <f>'Pairings NB'!B1397</f>
        <v/>
      </c>
      <c r="B315" s="11">
        <f>'Pairings NB'!C1397</f>
        <v/>
      </c>
      <c r="C315" s="11">
        <f>'Pairings NB'!D1397</f>
        <v/>
      </c>
      <c r="D315" s="11">
        <f>'Pairings NB'!E1397&amp;"/"&amp;'Pairings NB'!E1398</f>
        <v/>
      </c>
      <c r="E315" s="11">
        <f>'Pairings NB'!F1397&amp;"-"&amp;'Pairings NB'!G1397&amp;"-"&amp;'Pairings NB'!F1397</f>
        <v/>
      </c>
      <c r="F315" s="11">
        <f>IFERROR(VLOOKUP('Pairings NB'!$M$1397,Instructores!$A:$D,2,FALSE),"")</f>
        <v/>
      </c>
      <c r="G315" s="11">
        <f>'Pairings NB'!$M$1397</f>
        <v/>
      </c>
      <c r="H315" s="11">
        <f>IFERROR(VLOOKUP('Pairings NB'!$M$1397,Instructores!$A:$D,4,FALSE),"")</f>
        <v/>
      </c>
      <c r="I315" s="11">
        <f>'Pairings NB'!$O$1397</f>
        <v/>
      </c>
      <c r="J315" s="11">
        <f>'Pairings NB'!J1397</f>
        <v/>
      </c>
      <c r="K315" s="11">
        <f>IFERROR(VLOOKUP('Pairings NB'!$M$1397,Instructores!$A:$D,3,FALSE),"")</f>
        <v/>
      </c>
      <c r="L315" s="11">
        <f>IF('Pairings NB'!J1397=320,4,3)</f>
        <v/>
      </c>
      <c r="M315" s="11">
        <f>'Pairings NB'!$N$1397</f>
        <v/>
      </c>
    </row>
    <row r="316">
      <c r="A316" s="11">
        <f>'Pairings NB'!B1402</f>
        <v/>
      </c>
      <c r="B316" s="11">
        <f>'Pairings NB'!C1402</f>
        <v/>
      </c>
      <c r="C316" s="11">
        <f>'Pairings NB'!D1402</f>
        <v/>
      </c>
      <c r="D316" s="11">
        <f>'Pairings NB'!E1402&amp;"/"&amp;'Pairings NB'!E1403</f>
        <v/>
      </c>
      <c r="E316" s="11">
        <f>'Pairings NB'!F1402&amp;"-"&amp;'Pairings NB'!G1402&amp;"-"&amp;'Pairings NB'!F1402</f>
        <v/>
      </c>
      <c r="F316" s="11">
        <f>IFERROR(VLOOKUP('Pairings NB'!$M$1402,Instructores!$A:$D,2,FALSE),"")</f>
        <v/>
      </c>
      <c r="G316" s="11">
        <f>'Pairings NB'!$M$1402</f>
        <v/>
      </c>
      <c r="H316" s="11">
        <f>IFERROR(VLOOKUP('Pairings NB'!$M$1402,Instructores!$A:$D,4,FALSE),"")</f>
        <v/>
      </c>
      <c r="I316" s="11">
        <f>'Pairings NB'!$O$1402</f>
        <v/>
      </c>
      <c r="J316" s="11">
        <f>'Pairings NB'!J1402</f>
        <v/>
      </c>
      <c r="K316" s="11">
        <f>IFERROR(VLOOKUP('Pairings NB'!$M$1402,Instructores!$A:$D,3,FALSE),"")</f>
        <v/>
      </c>
      <c r="L316" s="11">
        <f>IF('Pairings NB'!J1402=320,4,3)</f>
        <v/>
      </c>
      <c r="M316" s="11">
        <f>'Pairings NB'!$N$1402</f>
        <v/>
      </c>
    </row>
    <row r="317">
      <c r="A317" s="11">
        <f>'Pairings NB'!B1404</f>
        <v/>
      </c>
      <c r="B317" s="11">
        <f>'Pairings NB'!C1404</f>
        <v/>
      </c>
      <c r="C317" s="11">
        <f>'Pairings NB'!D1404</f>
        <v/>
      </c>
      <c r="D317" s="11">
        <f>'Pairings NB'!E1404&amp;"/"&amp;'Pairings NB'!E1405</f>
        <v/>
      </c>
      <c r="E317" s="11">
        <f>'Pairings NB'!F1404&amp;"-"&amp;'Pairings NB'!G1404&amp;"-"&amp;'Pairings NB'!F1404</f>
        <v/>
      </c>
      <c r="F317" s="11">
        <f>IFERROR(VLOOKUP('Pairings NB'!$M$1402,Instructores!$A:$D,2,FALSE),"")</f>
        <v/>
      </c>
      <c r="G317" s="11">
        <f>'Pairings NB'!$M$1402</f>
        <v/>
      </c>
      <c r="H317" s="11">
        <f>IFERROR(VLOOKUP('Pairings NB'!$M$1402,Instructores!$A:$D,4,FALSE),"")</f>
        <v/>
      </c>
      <c r="I317" s="11">
        <f>'Pairings NB'!$O$1402</f>
        <v/>
      </c>
      <c r="J317" s="11">
        <f>'Pairings NB'!J1404</f>
        <v/>
      </c>
      <c r="K317" s="11">
        <f>IFERROR(VLOOKUP('Pairings NB'!$M$1402,Instructores!$A:$D,3,FALSE),"")</f>
        <v/>
      </c>
      <c r="L317" s="11">
        <f>IF('Pairings NB'!J1404=320,4,3)</f>
        <v/>
      </c>
      <c r="M317" s="11">
        <f>'Pairings NB'!$N$1402</f>
        <v/>
      </c>
    </row>
    <row r="318">
      <c r="A318" s="11">
        <f>'Pairings NB'!B1409</f>
        <v/>
      </c>
      <c r="B318" s="11">
        <f>'Pairings NB'!C1409</f>
        <v/>
      </c>
      <c r="C318" s="11">
        <f>'Pairings NB'!D1409</f>
        <v/>
      </c>
      <c r="D318" s="11">
        <f>'Pairings NB'!E1409&amp;"/"&amp;'Pairings NB'!E1410</f>
        <v/>
      </c>
      <c r="E318" s="11">
        <f>'Pairings NB'!F1409&amp;"-"&amp;'Pairings NB'!G1409&amp;"-"&amp;'Pairings NB'!F1409</f>
        <v/>
      </c>
      <c r="F318" s="11">
        <f>IFERROR(VLOOKUP('Pairings NB'!$M$1409,Instructores!$A:$D,2,FALSE),"")</f>
        <v/>
      </c>
      <c r="G318" s="11">
        <f>'Pairings NB'!$M$1409</f>
        <v/>
      </c>
      <c r="H318" s="11">
        <f>IFERROR(VLOOKUP('Pairings NB'!$M$1409,Instructores!$A:$D,4,FALSE),"")</f>
        <v/>
      </c>
      <c r="I318" s="11">
        <f>'Pairings NB'!$O$1409</f>
        <v/>
      </c>
      <c r="J318" s="11">
        <f>'Pairings NB'!J1409</f>
        <v/>
      </c>
      <c r="K318" s="11">
        <f>IFERROR(VLOOKUP('Pairings NB'!$M$1409,Instructores!$A:$D,3,FALSE),"")</f>
        <v/>
      </c>
      <c r="L318" s="11">
        <f>IF('Pairings NB'!J1409=320,4,3)</f>
        <v/>
      </c>
      <c r="M318" s="11">
        <f>'Pairings NB'!$N$1409</f>
        <v/>
      </c>
    </row>
    <row r="319">
      <c r="A319" s="11">
        <f>'Pairings NB'!B1411</f>
        <v/>
      </c>
      <c r="B319" s="11">
        <f>'Pairings NB'!C1411</f>
        <v/>
      </c>
      <c r="C319" s="11">
        <f>'Pairings NB'!D1411</f>
        <v/>
      </c>
      <c r="D319" s="11">
        <f>'Pairings NB'!E1411&amp;"/"&amp;'Pairings NB'!E1412</f>
        <v/>
      </c>
      <c r="E319" s="11">
        <f>'Pairings NB'!F1411&amp;"-"&amp;'Pairings NB'!G1411&amp;"-"&amp;'Pairings NB'!F1411</f>
        <v/>
      </c>
      <c r="F319" s="11">
        <f>IFERROR(VLOOKUP('Pairings NB'!$M$1409,Instructores!$A:$D,2,FALSE),"")</f>
        <v/>
      </c>
      <c r="G319" s="11">
        <f>'Pairings NB'!$M$1409</f>
        <v/>
      </c>
      <c r="H319" s="11">
        <f>IFERROR(VLOOKUP('Pairings NB'!$M$1409,Instructores!$A:$D,4,FALSE),"")</f>
        <v/>
      </c>
      <c r="I319" s="11">
        <f>'Pairings NB'!$O$1409</f>
        <v/>
      </c>
      <c r="J319" s="11">
        <f>'Pairings NB'!J1411</f>
        <v/>
      </c>
      <c r="K319" s="11">
        <f>IFERROR(VLOOKUP('Pairings NB'!$M$1409,Instructores!$A:$D,3,FALSE),"")</f>
        <v/>
      </c>
      <c r="L319" s="11">
        <f>IF('Pairings NB'!J1411=320,4,3)</f>
        <v/>
      </c>
      <c r="M319" s="11">
        <f>'Pairings NB'!$N$1409</f>
        <v/>
      </c>
    </row>
    <row r="320">
      <c r="A320" s="11">
        <f>'Pairings NB'!B1416</f>
        <v/>
      </c>
      <c r="B320" s="11">
        <f>'Pairings NB'!C1416</f>
        <v/>
      </c>
      <c r="C320" s="11">
        <f>'Pairings NB'!D1416</f>
        <v/>
      </c>
      <c r="D320" s="11">
        <f>'Pairings NB'!E1416&amp;"/"&amp;'Pairings NB'!E1417</f>
        <v/>
      </c>
      <c r="E320" s="11">
        <f>'Pairings NB'!F1416&amp;"-"&amp;'Pairings NB'!G1416&amp;"-"&amp;'Pairings NB'!F1416</f>
        <v/>
      </c>
      <c r="F320" s="11">
        <f>IFERROR(VLOOKUP('Pairings NB'!$M$1416,Instructores!$A:$D,2,FALSE),"")</f>
        <v/>
      </c>
      <c r="G320" s="11">
        <f>'Pairings NB'!$M$1416</f>
        <v/>
      </c>
      <c r="H320" s="11">
        <f>IFERROR(VLOOKUP('Pairings NB'!$M$1416,Instructores!$A:$D,4,FALSE),"")</f>
        <v/>
      </c>
      <c r="I320" s="11">
        <f>'Pairings NB'!$O$1416</f>
        <v/>
      </c>
      <c r="J320" s="11">
        <f>'Pairings NB'!J1416</f>
        <v/>
      </c>
      <c r="K320" s="11">
        <f>IFERROR(VLOOKUP('Pairings NB'!$M$1416,Instructores!$A:$D,3,FALSE),"")</f>
        <v/>
      </c>
      <c r="L320" s="11">
        <f>IF('Pairings NB'!J1416=320,4,3)</f>
        <v/>
      </c>
      <c r="M320" s="11">
        <f>'Pairings NB'!$N$1416</f>
        <v/>
      </c>
    </row>
    <row r="321">
      <c r="A321" s="11">
        <f>'Pairings NB'!B1418</f>
        <v/>
      </c>
      <c r="B321" s="11">
        <f>'Pairings NB'!C1418</f>
        <v/>
      </c>
      <c r="C321" s="11">
        <f>'Pairings NB'!D1418</f>
        <v/>
      </c>
      <c r="D321" s="11">
        <f>'Pairings NB'!E1418&amp;"/"&amp;'Pairings NB'!E1419</f>
        <v/>
      </c>
      <c r="E321" s="11">
        <f>'Pairings NB'!F1418&amp;"-"&amp;'Pairings NB'!G1418&amp;"-"&amp;'Pairings NB'!F1418</f>
        <v/>
      </c>
      <c r="F321" s="11">
        <f>IFERROR(VLOOKUP('Pairings NB'!$M$1416,Instructores!$A:$D,2,FALSE),"")</f>
        <v/>
      </c>
      <c r="G321" s="11">
        <f>'Pairings NB'!$M$1416</f>
        <v/>
      </c>
      <c r="H321" s="11">
        <f>IFERROR(VLOOKUP('Pairings NB'!$M$1416,Instructores!$A:$D,4,FALSE),"")</f>
        <v/>
      </c>
      <c r="I321" s="11">
        <f>'Pairings NB'!$O$1416</f>
        <v/>
      </c>
      <c r="J321" s="11">
        <f>'Pairings NB'!J1418</f>
        <v/>
      </c>
      <c r="K321" s="11">
        <f>IFERROR(VLOOKUP('Pairings NB'!$M$1416,Instructores!$A:$D,3,FALSE),"")</f>
        <v/>
      </c>
      <c r="L321" s="11">
        <f>IF('Pairings NB'!J1418=320,4,3)</f>
        <v/>
      </c>
      <c r="M321" s="11">
        <f>'Pairings NB'!$N$1416</f>
        <v/>
      </c>
    </row>
    <row r="322">
      <c r="A322" s="11">
        <f>'Pairings NB'!B1423</f>
        <v/>
      </c>
      <c r="B322" s="11">
        <f>'Pairings NB'!C1423</f>
        <v/>
      </c>
      <c r="C322" s="11">
        <f>'Pairings NB'!D1423</f>
        <v/>
      </c>
      <c r="D322" s="11">
        <f>'Pairings NB'!E1423&amp;"/"&amp;'Pairings NB'!E1424</f>
        <v/>
      </c>
      <c r="E322" s="11">
        <f>'Pairings NB'!F1423&amp;"-"&amp;'Pairings NB'!G1423&amp;"-"&amp;'Pairings NB'!F1423</f>
        <v/>
      </c>
      <c r="F322" s="11">
        <f>IFERROR(VLOOKUP('Pairings NB'!$M$1423,Instructores!$A:$D,2,FALSE),"")</f>
        <v/>
      </c>
      <c r="G322" s="11">
        <f>'Pairings NB'!$M$1423</f>
        <v/>
      </c>
      <c r="H322" s="11">
        <f>IFERROR(VLOOKUP('Pairings NB'!$M$1423,Instructores!$A:$D,4,FALSE),"")</f>
        <v/>
      </c>
      <c r="I322" s="11">
        <f>'Pairings NB'!$O$1423</f>
        <v/>
      </c>
      <c r="J322" s="11">
        <f>'Pairings NB'!J1423</f>
        <v/>
      </c>
      <c r="K322" s="11">
        <f>IFERROR(VLOOKUP('Pairings NB'!$M$1423,Instructores!$A:$D,3,FALSE),"")</f>
        <v/>
      </c>
      <c r="L322" s="11">
        <f>IF('Pairings NB'!J1423=320,4,3)</f>
        <v/>
      </c>
      <c r="M322" s="11">
        <f>'Pairings NB'!$N$1423</f>
        <v/>
      </c>
    </row>
    <row r="323">
      <c r="A323" s="11">
        <f>'Pairings NB'!B1425</f>
        <v/>
      </c>
      <c r="B323" s="11">
        <f>'Pairings NB'!C1425</f>
        <v/>
      </c>
      <c r="C323" s="11">
        <f>'Pairings NB'!D1425</f>
        <v/>
      </c>
      <c r="D323" s="11">
        <f>'Pairings NB'!E1425&amp;"/"&amp;'Pairings NB'!E1426</f>
        <v/>
      </c>
      <c r="E323" s="11">
        <f>'Pairings NB'!F1425&amp;"-"&amp;'Pairings NB'!G1425&amp;"-"&amp;'Pairings NB'!F1425</f>
        <v/>
      </c>
      <c r="F323" s="11">
        <f>IFERROR(VLOOKUP('Pairings NB'!$M$1423,Instructores!$A:$D,2,FALSE),"")</f>
        <v/>
      </c>
      <c r="G323" s="11">
        <f>'Pairings NB'!$M$1423</f>
        <v/>
      </c>
      <c r="H323" s="11">
        <f>IFERROR(VLOOKUP('Pairings NB'!$M$1423,Instructores!$A:$D,4,FALSE),"")</f>
        <v/>
      </c>
      <c r="I323" s="11">
        <f>'Pairings NB'!$O$1423</f>
        <v/>
      </c>
      <c r="J323" s="11">
        <f>'Pairings NB'!J1425</f>
        <v/>
      </c>
      <c r="K323" s="11">
        <f>IFERROR(VLOOKUP('Pairings NB'!$M$1423,Instructores!$A:$D,3,FALSE),"")</f>
        <v/>
      </c>
      <c r="L323" s="11">
        <f>IF('Pairings NB'!J1425=320,4,3)</f>
        <v/>
      </c>
      <c r="M323" s="11">
        <f>'Pairings NB'!$N$1423</f>
        <v/>
      </c>
    </row>
    <row r="324">
      <c r="A324" s="11">
        <f>'Pairings NB'!B1430</f>
        <v/>
      </c>
      <c r="B324" s="11">
        <f>'Pairings NB'!C1430</f>
        <v/>
      </c>
      <c r="C324" s="11">
        <f>'Pairings NB'!D1430</f>
        <v/>
      </c>
      <c r="D324" s="11">
        <f>'Pairings NB'!E1430&amp;"/"&amp;'Pairings NB'!E1431</f>
        <v/>
      </c>
      <c r="E324" s="11">
        <f>'Pairings NB'!F1430&amp;"-"&amp;'Pairings NB'!G1430&amp;"-"&amp;'Pairings NB'!F1430</f>
        <v/>
      </c>
      <c r="F324" s="11">
        <f>IFERROR(VLOOKUP('Pairings NB'!$M$1430,Instructores!$A:$D,2,FALSE),"")</f>
        <v/>
      </c>
      <c r="G324" s="11">
        <f>'Pairings NB'!$M$1430</f>
        <v/>
      </c>
      <c r="H324" s="11">
        <f>IFERROR(VLOOKUP('Pairings NB'!$M$1430,Instructores!$A:$D,4,FALSE),"")</f>
        <v/>
      </c>
      <c r="I324" s="11">
        <f>'Pairings NB'!$O$1430</f>
        <v/>
      </c>
      <c r="J324" s="11">
        <f>'Pairings NB'!J1430</f>
        <v/>
      </c>
      <c r="K324" s="11">
        <f>IFERROR(VLOOKUP('Pairings NB'!$M$1430,Instructores!$A:$D,3,FALSE),"")</f>
        <v/>
      </c>
      <c r="L324" s="11">
        <f>IF('Pairings NB'!J1430=320,4,3)</f>
        <v/>
      </c>
      <c r="M324" s="11">
        <f>'Pairings NB'!$N$1430</f>
        <v/>
      </c>
    </row>
    <row r="325">
      <c r="A325" s="11">
        <f>'Pairings NB'!B1435</f>
        <v/>
      </c>
      <c r="B325" s="11">
        <f>'Pairings NB'!C1435</f>
        <v/>
      </c>
      <c r="C325" s="11">
        <f>'Pairings NB'!D1435</f>
        <v/>
      </c>
      <c r="D325" s="11">
        <f>'Pairings NB'!E1435&amp;"/"&amp;'Pairings NB'!E1436</f>
        <v/>
      </c>
      <c r="E325" s="11">
        <f>'Pairings NB'!F1435&amp;"-"&amp;'Pairings NB'!G1435&amp;"-"&amp;'Pairings NB'!F1435</f>
        <v/>
      </c>
      <c r="F325" s="11">
        <f>IFERROR(VLOOKUP('Pairings NB'!$M$1435,Instructores!$A:$D,2,FALSE),"")</f>
        <v/>
      </c>
      <c r="G325" s="11">
        <f>'Pairings NB'!$M$1435</f>
        <v/>
      </c>
      <c r="H325" s="11">
        <f>IFERROR(VLOOKUP('Pairings NB'!$M$1435,Instructores!$A:$D,4,FALSE),"")</f>
        <v/>
      </c>
      <c r="I325" s="11">
        <f>'Pairings NB'!$O$1435</f>
        <v/>
      </c>
      <c r="J325" s="11">
        <f>'Pairings NB'!J1435</f>
        <v/>
      </c>
      <c r="K325" s="11">
        <f>IFERROR(VLOOKUP('Pairings NB'!$M$1435,Instructores!$A:$D,3,FALSE),"")</f>
        <v/>
      </c>
      <c r="L325" s="11">
        <f>IF('Pairings NB'!J1435=320,4,3)</f>
        <v/>
      </c>
      <c r="M325" s="11">
        <f>'Pairings NB'!$N$1435</f>
        <v/>
      </c>
    </row>
    <row r="326">
      <c r="A326" s="11">
        <f>'Pairings NB'!B1440</f>
        <v/>
      </c>
      <c r="B326" s="11">
        <f>'Pairings NB'!C1440</f>
        <v/>
      </c>
      <c r="C326" s="11">
        <f>'Pairings NB'!D1440</f>
        <v/>
      </c>
      <c r="D326" s="11">
        <f>'Pairings NB'!E1440&amp;"/"&amp;'Pairings NB'!E1441</f>
        <v/>
      </c>
      <c r="E326" s="11">
        <f>'Pairings NB'!F1440&amp;"-"&amp;'Pairings NB'!G1440&amp;"-"&amp;'Pairings NB'!F1440</f>
        <v/>
      </c>
      <c r="F326" s="11">
        <f>IFERROR(VLOOKUP('Pairings NB'!$M$1440,Instructores!$A:$D,2,FALSE),"")</f>
        <v/>
      </c>
      <c r="G326" s="11">
        <f>'Pairings NB'!$M$1440</f>
        <v/>
      </c>
      <c r="H326" s="11">
        <f>IFERROR(VLOOKUP('Pairings NB'!$M$1440,Instructores!$A:$D,4,FALSE),"")</f>
        <v/>
      </c>
      <c r="I326" s="11">
        <f>'Pairings NB'!$O$1440</f>
        <v/>
      </c>
      <c r="J326" s="11">
        <f>'Pairings NB'!J1440</f>
        <v/>
      </c>
      <c r="K326" s="11">
        <f>IFERROR(VLOOKUP('Pairings NB'!$M$1440,Instructores!$A:$D,3,FALSE),"")</f>
        <v/>
      </c>
      <c r="L326" s="11">
        <f>IF('Pairings NB'!J1440=320,4,3)</f>
        <v/>
      </c>
      <c r="M326" s="11">
        <f>'Pairings NB'!$N$1440</f>
        <v/>
      </c>
    </row>
    <row r="327">
      <c r="A327" s="11">
        <f>'Pairings NB'!B1445</f>
        <v/>
      </c>
      <c r="B327" s="11">
        <f>'Pairings NB'!C1445</f>
        <v/>
      </c>
      <c r="C327" s="11">
        <f>'Pairings NB'!D1445</f>
        <v/>
      </c>
      <c r="D327" s="11">
        <f>'Pairings NB'!E1445&amp;"/"&amp;'Pairings NB'!E1446</f>
        <v/>
      </c>
      <c r="E327" s="11">
        <f>'Pairings NB'!F1445&amp;"-"&amp;'Pairings NB'!G1445&amp;"-"&amp;'Pairings NB'!F1445</f>
        <v/>
      </c>
      <c r="F327" s="11">
        <f>IFERROR(VLOOKUP('Pairings NB'!$M$1445,Instructores!$A:$D,2,FALSE),"")</f>
        <v/>
      </c>
      <c r="G327" s="11">
        <f>'Pairings NB'!$M$1445</f>
        <v/>
      </c>
      <c r="H327" s="11">
        <f>IFERROR(VLOOKUP('Pairings NB'!$M$1445,Instructores!$A:$D,4,FALSE),"")</f>
        <v/>
      </c>
      <c r="I327" s="11">
        <f>'Pairings NB'!$O$1445</f>
        <v/>
      </c>
      <c r="J327" s="11">
        <f>'Pairings NB'!J1445</f>
        <v/>
      </c>
      <c r="K327" s="11">
        <f>IFERROR(VLOOKUP('Pairings NB'!$M$1445,Instructores!$A:$D,3,FALSE),"")</f>
        <v/>
      </c>
      <c r="L327" s="11">
        <f>IF('Pairings NB'!J1445=320,4,3)</f>
        <v/>
      </c>
      <c r="M327" s="11">
        <f>'Pairings NB'!$N$1445</f>
        <v/>
      </c>
    </row>
    <row r="328">
      <c r="A328" s="11">
        <f>'Pairings NB'!B1447</f>
        <v/>
      </c>
      <c r="B328" s="11">
        <f>'Pairings NB'!C1447</f>
        <v/>
      </c>
      <c r="C328" s="11">
        <f>'Pairings NB'!D1447</f>
        <v/>
      </c>
      <c r="D328" s="11">
        <f>'Pairings NB'!E1447&amp;"/"&amp;'Pairings NB'!E1448</f>
        <v/>
      </c>
      <c r="E328" s="11">
        <f>'Pairings NB'!F1447&amp;"-"&amp;'Pairings NB'!G1447&amp;"-"&amp;'Pairings NB'!F1447</f>
        <v/>
      </c>
      <c r="F328" s="11">
        <f>IFERROR(VLOOKUP('Pairings NB'!$M$1445,Instructores!$A:$D,2,FALSE),"")</f>
        <v/>
      </c>
      <c r="G328" s="11">
        <f>'Pairings NB'!$M$1445</f>
        <v/>
      </c>
      <c r="H328" s="11">
        <f>IFERROR(VLOOKUP('Pairings NB'!$M$1445,Instructores!$A:$D,4,FALSE),"")</f>
        <v/>
      </c>
      <c r="I328" s="11">
        <f>'Pairings NB'!$O$1445</f>
        <v/>
      </c>
      <c r="J328" s="11">
        <f>'Pairings NB'!J1447</f>
        <v/>
      </c>
      <c r="K328" s="11">
        <f>IFERROR(VLOOKUP('Pairings NB'!$M$1445,Instructores!$A:$D,3,FALSE),"")</f>
        <v/>
      </c>
      <c r="L328" s="11">
        <f>IF('Pairings NB'!J1447=320,4,3)</f>
        <v/>
      </c>
      <c r="M328" s="11">
        <f>'Pairings NB'!$N$1445</f>
        <v/>
      </c>
    </row>
    <row r="329">
      <c r="A329" s="11">
        <f>'Pairings NB'!B1452</f>
        <v/>
      </c>
      <c r="B329" s="11">
        <f>'Pairings NB'!C1452</f>
        <v/>
      </c>
      <c r="C329" s="11">
        <f>'Pairings NB'!D1452</f>
        <v/>
      </c>
      <c r="D329" s="11">
        <f>'Pairings NB'!E1452&amp;"/"&amp;'Pairings NB'!E1453</f>
        <v/>
      </c>
      <c r="E329" s="11">
        <f>'Pairings NB'!F1452&amp;"-"&amp;'Pairings NB'!G1452&amp;"-"&amp;'Pairings NB'!F1452</f>
        <v/>
      </c>
      <c r="F329" s="11">
        <f>IFERROR(VLOOKUP('Pairings NB'!$M$1452,Instructores!$A:$D,2,FALSE),"")</f>
        <v/>
      </c>
      <c r="G329" s="11">
        <f>'Pairings NB'!$M$1452</f>
        <v/>
      </c>
      <c r="H329" s="11">
        <f>IFERROR(VLOOKUP('Pairings NB'!$M$1452,Instructores!$A:$D,4,FALSE),"")</f>
        <v/>
      </c>
      <c r="I329" s="11">
        <f>'Pairings NB'!$O$1452</f>
        <v/>
      </c>
      <c r="J329" s="11">
        <f>'Pairings NB'!J1452</f>
        <v/>
      </c>
      <c r="K329" s="11">
        <f>IFERROR(VLOOKUP('Pairings NB'!$M$1452,Instructores!$A:$D,3,FALSE),"")</f>
        <v/>
      </c>
      <c r="L329" s="11">
        <f>IF('Pairings NB'!J1452=320,4,3)</f>
        <v/>
      </c>
      <c r="M329" s="11">
        <f>'Pairings NB'!$N$1452</f>
        <v/>
      </c>
    </row>
    <row r="330">
      <c r="A330" s="11">
        <f>'Pairings NB'!B1457</f>
        <v/>
      </c>
      <c r="B330" s="11">
        <f>'Pairings NB'!C1457</f>
        <v/>
      </c>
      <c r="C330" s="11">
        <f>'Pairings NB'!D1457</f>
        <v/>
      </c>
      <c r="D330" s="11">
        <f>'Pairings NB'!E1457&amp;"/"&amp;'Pairings NB'!E1458</f>
        <v/>
      </c>
      <c r="E330" s="11">
        <f>'Pairings NB'!F1457&amp;"-"&amp;'Pairings NB'!G1457&amp;"-"&amp;'Pairings NB'!F1457</f>
        <v/>
      </c>
      <c r="F330" s="11">
        <f>IFERROR(VLOOKUP('Pairings NB'!$M$1457,Instructores!$A:$D,2,FALSE),"")</f>
        <v/>
      </c>
      <c r="G330" s="11">
        <f>'Pairings NB'!$M$1457</f>
        <v/>
      </c>
      <c r="H330" s="11">
        <f>IFERROR(VLOOKUP('Pairings NB'!$M$1457,Instructores!$A:$D,4,FALSE),"")</f>
        <v/>
      </c>
      <c r="I330" s="11">
        <f>'Pairings NB'!$O$1457</f>
        <v/>
      </c>
      <c r="J330" s="11">
        <f>'Pairings NB'!J1457</f>
        <v/>
      </c>
      <c r="K330" s="11">
        <f>IFERROR(VLOOKUP('Pairings NB'!$M$1457,Instructores!$A:$D,3,FALSE),"")</f>
        <v/>
      </c>
      <c r="L330" s="11">
        <f>IF('Pairings NB'!J1457=320,4,3)</f>
        <v/>
      </c>
      <c r="M330" s="11">
        <f>'Pairings NB'!$N$1457</f>
        <v/>
      </c>
    </row>
    <row r="331">
      <c r="A331" s="11">
        <f>'Pairings NB'!B1462</f>
        <v/>
      </c>
      <c r="B331" s="11">
        <f>'Pairings NB'!C1462</f>
        <v/>
      </c>
      <c r="C331" s="11">
        <f>'Pairings NB'!D1462</f>
        <v/>
      </c>
      <c r="D331" s="11">
        <f>'Pairings NB'!E1462&amp;"/"&amp;'Pairings NB'!E1463</f>
        <v/>
      </c>
      <c r="E331" s="11">
        <f>'Pairings NB'!F1462&amp;"-"&amp;'Pairings NB'!G1462&amp;"-"&amp;'Pairings NB'!F1462</f>
        <v/>
      </c>
      <c r="F331" s="11">
        <f>IFERROR(VLOOKUP('Pairings NB'!$M$1462,Instructores!$A:$D,2,FALSE),"")</f>
        <v/>
      </c>
      <c r="G331" s="11">
        <f>'Pairings NB'!$M$1462</f>
        <v/>
      </c>
      <c r="H331" s="11">
        <f>IFERROR(VLOOKUP('Pairings NB'!$M$1462,Instructores!$A:$D,4,FALSE),"")</f>
        <v/>
      </c>
      <c r="I331" s="11">
        <f>'Pairings NB'!$O$1462</f>
        <v/>
      </c>
      <c r="J331" s="11">
        <f>'Pairings NB'!J1462</f>
        <v/>
      </c>
      <c r="K331" s="11">
        <f>IFERROR(VLOOKUP('Pairings NB'!$M$1462,Instructores!$A:$D,3,FALSE),"")</f>
        <v/>
      </c>
      <c r="L331" s="11">
        <f>IF('Pairings NB'!J1462=320,4,3)</f>
        <v/>
      </c>
      <c r="M331" s="11">
        <f>'Pairings NB'!$N$1462</f>
        <v/>
      </c>
    </row>
    <row r="332">
      <c r="A332" s="11">
        <f>'Pairings NB'!B1464</f>
        <v/>
      </c>
      <c r="B332" s="11">
        <f>'Pairings NB'!C1464</f>
        <v/>
      </c>
      <c r="C332" s="11">
        <f>'Pairings NB'!D1464</f>
        <v/>
      </c>
      <c r="D332" s="11">
        <f>'Pairings NB'!E1464&amp;"/"&amp;'Pairings NB'!E1465</f>
        <v/>
      </c>
      <c r="E332" s="11">
        <f>'Pairings NB'!F1464&amp;"-"&amp;'Pairings NB'!G1464&amp;"-"&amp;'Pairings NB'!F1464</f>
        <v/>
      </c>
      <c r="F332" s="11">
        <f>IFERROR(VLOOKUP('Pairings NB'!$M$1462,Instructores!$A:$D,2,FALSE),"")</f>
        <v/>
      </c>
      <c r="G332" s="11">
        <f>'Pairings NB'!$M$1462</f>
        <v/>
      </c>
      <c r="H332" s="11">
        <f>IFERROR(VLOOKUP('Pairings NB'!$M$1462,Instructores!$A:$D,4,FALSE),"")</f>
        <v/>
      </c>
      <c r="I332" s="11">
        <f>'Pairings NB'!$O$1462</f>
        <v/>
      </c>
      <c r="J332" s="11">
        <f>'Pairings NB'!J1464</f>
        <v/>
      </c>
      <c r="K332" s="11">
        <f>IFERROR(VLOOKUP('Pairings NB'!$M$1462,Instructores!$A:$D,3,FALSE),"")</f>
        <v/>
      </c>
      <c r="L332" s="11">
        <f>IF('Pairings NB'!J1464=320,4,3)</f>
        <v/>
      </c>
      <c r="M332" s="11">
        <f>'Pairings NB'!$N$1462</f>
        <v/>
      </c>
    </row>
    <row r="333">
      <c r="A333" s="11">
        <f>'Pairings NB'!B1469</f>
        <v/>
      </c>
      <c r="B333" s="11">
        <f>'Pairings NB'!C1469</f>
        <v/>
      </c>
      <c r="C333" s="11">
        <f>'Pairings NB'!D1469</f>
        <v/>
      </c>
      <c r="D333" s="11">
        <f>'Pairings NB'!E1469&amp;"/"&amp;'Pairings NB'!E1470</f>
        <v/>
      </c>
      <c r="E333" s="11">
        <f>'Pairings NB'!F1469&amp;"-"&amp;'Pairings NB'!G1469&amp;"-"&amp;'Pairings NB'!F1469</f>
        <v/>
      </c>
      <c r="F333" s="11">
        <f>IFERROR(VLOOKUP('Pairings NB'!$M$1469,Instructores!$A:$D,2,FALSE),"")</f>
        <v/>
      </c>
      <c r="G333" s="11">
        <f>'Pairings NB'!$M$1469</f>
        <v/>
      </c>
      <c r="H333" s="11">
        <f>IFERROR(VLOOKUP('Pairings NB'!$M$1469,Instructores!$A:$D,4,FALSE),"")</f>
        <v/>
      </c>
      <c r="I333" s="11">
        <f>'Pairings NB'!$O$1469</f>
        <v/>
      </c>
      <c r="J333" s="11">
        <f>'Pairings NB'!J1469</f>
        <v/>
      </c>
      <c r="K333" s="11">
        <f>IFERROR(VLOOKUP('Pairings NB'!$M$1469,Instructores!$A:$D,3,FALSE),"")</f>
        <v/>
      </c>
      <c r="L333" s="11">
        <f>IF('Pairings NB'!J1469=320,4,3)</f>
        <v/>
      </c>
      <c r="M333" s="11">
        <f>'Pairings NB'!$N$1469</f>
        <v/>
      </c>
    </row>
    <row r="334">
      <c r="A334" s="11">
        <f>'Pairings NB'!B1474</f>
        <v/>
      </c>
      <c r="B334" s="11">
        <f>'Pairings NB'!C1474</f>
        <v/>
      </c>
      <c r="C334" s="11">
        <f>'Pairings NB'!D1474</f>
        <v/>
      </c>
      <c r="D334" s="11">
        <f>'Pairings NB'!E1474&amp;"/"&amp;'Pairings NB'!E1475</f>
        <v/>
      </c>
      <c r="E334" s="11">
        <f>'Pairings NB'!F1474&amp;"-"&amp;'Pairings NB'!G1474&amp;"-"&amp;'Pairings NB'!F1474</f>
        <v/>
      </c>
      <c r="F334" s="11">
        <f>IFERROR(VLOOKUP('Pairings NB'!$M$1474,Instructores!$A:$D,2,FALSE),"")</f>
        <v/>
      </c>
      <c r="G334" s="11">
        <f>'Pairings NB'!$M$1474</f>
        <v/>
      </c>
      <c r="H334" s="11">
        <f>IFERROR(VLOOKUP('Pairings NB'!$M$1474,Instructores!$A:$D,4,FALSE),"")</f>
        <v/>
      </c>
      <c r="I334" s="11">
        <f>'Pairings NB'!$O$1474</f>
        <v/>
      </c>
      <c r="J334" s="11">
        <f>'Pairings NB'!J1474</f>
        <v/>
      </c>
      <c r="K334" s="11">
        <f>IFERROR(VLOOKUP('Pairings NB'!$M$1474,Instructores!$A:$D,3,FALSE),"")</f>
        <v/>
      </c>
      <c r="L334" s="11">
        <f>IF('Pairings NB'!J1474=320,4,3)</f>
        <v/>
      </c>
      <c r="M334" s="11">
        <f>'Pairings NB'!$N$1474</f>
        <v/>
      </c>
    </row>
    <row r="335">
      <c r="A335" s="11">
        <f>'Pairings NB'!B1479</f>
        <v/>
      </c>
      <c r="B335" s="11">
        <f>'Pairings NB'!C1479</f>
        <v/>
      </c>
      <c r="C335" s="11">
        <f>'Pairings NB'!D1479</f>
        <v/>
      </c>
      <c r="D335" s="11">
        <f>'Pairings NB'!E1479&amp;"/"&amp;'Pairings NB'!E1480</f>
        <v/>
      </c>
      <c r="E335" s="11">
        <f>'Pairings NB'!F1479&amp;"-"&amp;'Pairings NB'!G1479&amp;"-"&amp;'Pairings NB'!F1479</f>
        <v/>
      </c>
      <c r="F335" s="11">
        <f>IFERROR(VLOOKUP('Pairings NB'!$M$1479,Instructores!$A:$D,2,FALSE),"")</f>
        <v/>
      </c>
      <c r="G335" s="11">
        <f>'Pairings NB'!$M$1479</f>
        <v/>
      </c>
      <c r="H335" s="11">
        <f>IFERROR(VLOOKUP('Pairings NB'!$M$1479,Instructores!$A:$D,4,FALSE),"")</f>
        <v/>
      </c>
      <c r="I335" s="11">
        <f>'Pairings NB'!$O$1479</f>
        <v/>
      </c>
      <c r="J335" s="11">
        <f>'Pairings NB'!J1479</f>
        <v/>
      </c>
      <c r="K335" s="11">
        <f>IFERROR(VLOOKUP('Pairings NB'!$M$1479,Instructores!$A:$D,3,FALSE),"")</f>
        <v/>
      </c>
      <c r="L335" s="11">
        <f>IF('Pairings NB'!J1479=320,4,3)</f>
        <v/>
      </c>
      <c r="M335" s="11">
        <f>'Pairings NB'!$N$1479</f>
        <v/>
      </c>
    </row>
    <row r="336">
      <c r="A336" s="11">
        <f>'Pairings NB'!B1484</f>
        <v/>
      </c>
      <c r="B336" s="11">
        <f>'Pairings NB'!C1484</f>
        <v/>
      </c>
      <c r="C336" s="11">
        <f>'Pairings NB'!D1484</f>
        <v/>
      </c>
      <c r="D336" s="11">
        <f>'Pairings NB'!E1484&amp;"/"&amp;'Pairings NB'!E1485</f>
        <v/>
      </c>
      <c r="E336" s="11">
        <f>'Pairings NB'!F1484&amp;"-"&amp;'Pairings NB'!G1484&amp;"-"&amp;'Pairings NB'!F1484</f>
        <v/>
      </c>
      <c r="F336" s="11">
        <f>IFERROR(VLOOKUP('Pairings NB'!$M$1484,Instructores!$A:$D,2,FALSE),"")</f>
        <v/>
      </c>
      <c r="G336" s="11">
        <f>'Pairings NB'!$M$1484</f>
        <v/>
      </c>
      <c r="H336" s="11">
        <f>IFERROR(VLOOKUP('Pairings NB'!$M$1484,Instructores!$A:$D,4,FALSE),"")</f>
        <v/>
      </c>
      <c r="I336" s="11">
        <f>'Pairings NB'!$O$1484</f>
        <v/>
      </c>
      <c r="J336" s="11">
        <f>'Pairings NB'!J1484</f>
        <v/>
      </c>
      <c r="K336" s="11">
        <f>IFERROR(VLOOKUP('Pairings NB'!$M$1484,Instructores!$A:$D,3,FALSE),"")</f>
        <v/>
      </c>
      <c r="L336" s="11">
        <f>IF('Pairings NB'!J1484=320,4,3)</f>
        <v/>
      </c>
      <c r="M336" s="11">
        <f>'Pairings NB'!$N$1484</f>
        <v/>
      </c>
    </row>
    <row r="337">
      <c r="A337" s="11">
        <f>'Pairings NB'!B1489</f>
        <v/>
      </c>
      <c r="B337" s="11">
        <f>'Pairings NB'!C1489</f>
        <v/>
      </c>
      <c r="C337" s="11">
        <f>'Pairings NB'!D1489</f>
        <v/>
      </c>
      <c r="D337" s="11">
        <f>'Pairings NB'!E1489&amp;"/"&amp;'Pairings NB'!E1490</f>
        <v/>
      </c>
      <c r="E337" s="11">
        <f>'Pairings NB'!F1489&amp;"-"&amp;'Pairings NB'!G1489&amp;"-"&amp;'Pairings NB'!F1489</f>
        <v/>
      </c>
      <c r="F337" s="11">
        <f>IFERROR(VLOOKUP('Pairings NB'!$M$1489,Instructores!$A:$D,2,FALSE),"")</f>
        <v/>
      </c>
      <c r="G337" s="11">
        <f>'Pairings NB'!$M$1489</f>
        <v/>
      </c>
      <c r="H337" s="11">
        <f>IFERROR(VLOOKUP('Pairings NB'!$M$1489,Instructores!$A:$D,4,FALSE),"")</f>
        <v/>
      </c>
      <c r="I337" s="11">
        <f>'Pairings NB'!$O$1489</f>
        <v/>
      </c>
      <c r="J337" s="11">
        <f>'Pairings NB'!J1489</f>
        <v/>
      </c>
      <c r="K337" s="11">
        <f>IFERROR(VLOOKUP('Pairings NB'!$M$1489,Instructores!$A:$D,3,FALSE),"")</f>
        <v/>
      </c>
      <c r="L337" s="11">
        <f>IF('Pairings NB'!J1489=320,4,3)</f>
        <v/>
      </c>
      <c r="M337" s="11">
        <f>'Pairings NB'!$N$1489</f>
        <v/>
      </c>
    </row>
    <row r="338">
      <c r="A338" s="11">
        <f>'Pairings NB'!B1494</f>
        <v/>
      </c>
      <c r="B338" s="11">
        <f>'Pairings NB'!C1494</f>
        <v/>
      </c>
      <c r="C338" s="11">
        <f>'Pairings NB'!D1494</f>
        <v/>
      </c>
      <c r="D338" s="11">
        <f>'Pairings NB'!E1494&amp;"/"&amp;'Pairings NB'!E1495</f>
        <v/>
      </c>
      <c r="E338" s="11">
        <f>'Pairings NB'!F1494&amp;"-"&amp;'Pairings NB'!G1494&amp;"-"&amp;'Pairings NB'!F1494</f>
        <v/>
      </c>
      <c r="F338" s="11">
        <f>IFERROR(VLOOKUP('Pairings NB'!$M$1494,Instructores!$A:$D,2,FALSE),"")</f>
        <v/>
      </c>
      <c r="G338" s="11">
        <f>'Pairings NB'!$M$1494</f>
        <v/>
      </c>
      <c r="H338" s="11">
        <f>IFERROR(VLOOKUP('Pairings NB'!$M$1494,Instructores!$A:$D,4,FALSE),"")</f>
        <v/>
      </c>
      <c r="I338" s="11">
        <f>'Pairings NB'!$O$1494</f>
        <v/>
      </c>
      <c r="J338" s="11">
        <f>'Pairings NB'!J1494</f>
        <v/>
      </c>
      <c r="K338" s="11">
        <f>IFERROR(VLOOKUP('Pairings NB'!$M$1494,Instructores!$A:$D,3,FALSE),"")</f>
        <v/>
      </c>
      <c r="L338" s="11">
        <f>IF('Pairings NB'!J1494=320,4,3)</f>
        <v/>
      </c>
      <c r="M338" s="11">
        <f>'Pairings NB'!$N$1494</f>
        <v/>
      </c>
    </row>
    <row r="339">
      <c r="A339" s="11">
        <f>'Pairings NB'!B1499</f>
        <v/>
      </c>
      <c r="B339" s="11">
        <f>'Pairings NB'!C1499</f>
        <v/>
      </c>
      <c r="C339" s="11">
        <f>'Pairings NB'!D1499</f>
        <v/>
      </c>
      <c r="D339" s="11">
        <f>'Pairings NB'!E1499&amp;"/"&amp;'Pairings NB'!E1500</f>
        <v/>
      </c>
      <c r="E339" s="11">
        <f>'Pairings NB'!F1499&amp;"-"&amp;'Pairings NB'!G1499&amp;"-"&amp;'Pairings NB'!F1499</f>
        <v/>
      </c>
      <c r="F339" s="11">
        <f>IFERROR(VLOOKUP('Pairings NB'!$M$1499,Instructores!$A:$D,2,FALSE),"")</f>
        <v/>
      </c>
      <c r="G339" s="11">
        <f>'Pairings NB'!$M$1499</f>
        <v/>
      </c>
      <c r="H339" s="11">
        <f>IFERROR(VLOOKUP('Pairings NB'!$M$1499,Instructores!$A:$D,4,FALSE),"")</f>
        <v/>
      </c>
      <c r="I339" s="11">
        <f>'Pairings NB'!$O$1499</f>
        <v/>
      </c>
      <c r="J339" s="11">
        <f>'Pairings NB'!J1499</f>
        <v/>
      </c>
      <c r="K339" s="11">
        <f>IFERROR(VLOOKUP('Pairings NB'!$M$1499,Instructores!$A:$D,3,FALSE),"")</f>
        <v/>
      </c>
      <c r="L339" s="11">
        <f>IF('Pairings NB'!J1499=320,4,3)</f>
        <v/>
      </c>
      <c r="M339" s="11">
        <f>'Pairings NB'!$N$1499</f>
        <v/>
      </c>
    </row>
    <row r="340">
      <c r="A340" s="11">
        <f>'Pairings NB'!B1504</f>
        <v/>
      </c>
      <c r="B340" s="11">
        <f>'Pairings NB'!C1504</f>
        <v/>
      </c>
      <c r="C340" s="11">
        <f>'Pairings NB'!D1504</f>
        <v/>
      </c>
      <c r="D340" s="11">
        <f>'Pairings NB'!E1504&amp;"/"&amp;'Pairings NB'!E1505</f>
        <v/>
      </c>
      <c r="E340" s="11">
        <f>'Pairings NB'!F1504&amp;"-"&amp;'Pairings NB'!G1504&amp;"-"&amp;'Pairings NB'!F1504</f>
        <v/>
      </c>
      <c r="F340" s="11">
        <f>IFERROR(VLOOKUP('Pairings NB'!$M$1504,Instructores!$A:$D,2,FALSE),"")</f>
        <v/>
      </c>
      <c r="G340" s="11">
        <f>'Pairings NB'!$M$1504</f>
        <v/>
      </c>
      <c r="H340" s="11">
        <f>IFERROR(VLOOKUP('Pairings NB'!$M$1504,Instructores!$A:$D,4,FALSE),"")</f>
        <v/>
      </c>
      <c r="I340" s="11">
        <f>'Pairings NB'!$O$1504</f>
        <v/>
      </c>
      <c r="J340" s="11">
        <f>'Pairings NB'!J1504</f>
        <v/>
      </c>
      <c r="K340" s="11">
        <f>IFERROR(VLOOKUP('Pairings NB'!$M$1504,Instructores!$A:$D,3,FALSE),"")</f>
        <v/>
      </c>
      <c r="L340" s="11">
        <f>IF('Pairings NB'!J1504=320,4,3)</f>
        <v/>
      </c>
      <c r="M340" s="11">
        <f>'Pairings NB'!$N$1504</f>
        <v/>
      </c>
    </row>
    <row r="341">
      <c r="A341" s="11">
        <f>'Pairings NB'!B1506</f>
        <v/>
      </c>
      <c r="B341" s="11">
        <f>'Pairings NB'!C1506</f>
        <v/>
      </c>
      <c r="C341" s="11">
        <f>'Pairings NB'!D1506</f>
        <v/>
      </c>
      <c r="D341" s="11">
        <f>'Pairings NB'!E1506&amp;"/"&amp;'Pairings NB'!E1507</f>
        <v/>
      </c>
      <c r="E341" s="11">
        <f>'Pairings NB'!F1506&amp;"-"&amp;'Pairings NB'!G1506&amp;"-"&amp;'Pairings NB'!F1506</f>
        <v/>
      </c>
      <c r="F341" s="11">
        <f>IFERROR(VLOOKUP('Pairings NB'!$M$1504,Instructores!$A:$D,2,FALSE),"")</f>
        <v/>
      </c>
      <c r="G341" s="11">
        <f>'Pairings NB'!$M$1504</f>
        <v/>
      </c>
      <c r="H341" s="11">
        <f>IFERROR(VLOOKUP('Pairings NB'!$M$1504,Instructores!$A:$D,4,FALSE),"")</f>
        <v/>
      </c>
      <c r="I341" s="11">
        <f>'Pairings NB'!$O$1504</f>
        <v/>
      </c>
      <c r="J341" s="11">
        <f>'Pairings NB'!J1506</f>
        <v/>
      </c>
      <c r="K341" s="11">
        <f>IFERROR(VLOOKUP('Pairings NB'!$M$1504,Instructores!$A:$D,3,FALSE),"")</f>
        <v/>
      </c>
      <c r="L341" s="11">
        <f>IF('Pairings NB'!J1506=320,4,3)</f>
        <v/>
      </c>
      <c r="M341" s="11">
        <f>'Pairings NB'!$N$1504</f>
        <v/>
      </c>
    </row>
    <row r="342">
      <c r="A342" s="11">
        <f>'Pairings NB'!B1511</f>
        <v/>
      </c>
      <c r="B342" s="11">
        <f>'Pairings NB'!C1511</f>
        <v/>
      </c>
      <c r="C342" s="11">
        <f>'Pairings NB'!D1511</f>
        <v/>
      </c>
      <c r="D342" s="11">
        <f>'Pairings NB'!E1511&amp;"/"&amp;'Pairings NB'!E1512</f>
        <v/>
      </c>
      <c r="E342" s="11">
        <f>'Pairings NB'!F1511&amp;"-"&amp;'Pairings NB'!G1511&amp;"-"&amp;'Pairings NB'!F1511</f>
        <v/>
      </c>
      <c r="F342" s="11">
        <f>IFERROR(VLOOKUP('Pairings NB'!$M$1511,Instructores!$A:$D,2,FALSE),"")</f>
        <v/>
      </c>
      <c r="G342" s="11">
        <f>'Pairings NB'!$M$1511</f>
        <v/>
      </c>
      <c r="H342" s="11">
        <f>IFERROR(VLOOKUP('Pairings NB'!$M$1511,Instructores!$A:$D,4,FALSE),"")</f>
        <v/>
      </c>
      <c r="I342" s="11">
        <f>'Pairings NB'!$O$1511</f>
        <v/>
      </c>
      <c r="J342" s="11">
        <f>'Pairings NB'!J1511</f>
        <v/>
      </c>
      <c r="K342" s="11">
        <f>IFERROR(VLOOKUP('Pairings NB'!$M$1511,Instructores!$A:$D,3,FALSE),"")</f>
        <v/>
      </c>
      <c r="L342" s="11">
        <f>IF('Pairings NB'!J1511=320,4,3)</f>
        <v/>
      </c>
      <c r="M342" s="11">
        <f>'Pairings NB'!$N$1511</f>
        <v/>
      </c>
    </row>
    <row r="343">
      <c r="A343" s="11">
        <f>'Pairings NB'!B1516</f>
        <v/>
      </c>
      <c r="B343" s="11">
        <f>'Pairings NB'!C1516</f>
        <v/>
      </c>
      <c r="C343" s="11">
        <f>'Pairings NB'!D1516</f>
        <v/>
      </c>
      <c r="D343" s="11">
        <f>'Pairings NB'!E1516&amp;"/"&amp;'Pairings NB'!E1517</f>
        <v/>
      </c>
      <c r="E343" s="11">
        <f>'Pairings NB'!F1516&amp;"-"&amp;'Pairings NB'!G1516&amp;"-"&amp;'Pairings NB'!F1516</f>
        <v/>
      </c>
      <c r="F343" s="11">
        <f>IFERROR(VLOOKUP('Pairings NB'!$M$1516,Instructores!$A:$D,2,FALSE),"")</f>
        <v/>
      </c>
      <c r="G343" s="11">
        <f>'Pairings NB'!$M$1516</f>
        <v/>
      </c>
      <c r="H343" s="11">
        <f>IFERROR(VLOOKUP('Pairings NB'!$M$1516,Instructores!$A:$D,4,FALSE),"")</f>
        <v/>
      </c>
      <c r="I343" s="11">
        <f>'Pairings NB'!$O$1516</f>
        <v/>
      </c>
      <c r="J343" s="11">
        <f>'Pairings NB'!J1516</f>
        <v/>
      </c>
      <c r="K343" s="11">
        <f>IFERROR(VLOOKUP('Pairings NB'!$M$1516,Instructores!$A:$D,3,FALSE),"")</f>
        <v/>
      </c>
      <c r="L343" s="11">
        <f>IF('Pairings NB'!J1516=320,4,3)</f>
        <v/>
      </c>
      <c r="M343" s="11">
        <f>'Pairings NB'!$N$1516</f>
        <v/>
      </c>
    </row>
    <row r="344">
      <c r="A344" s="11">
        <f>'Pairings NB'!B1521</f>
        <v/>
      </c>
      <c r="B344" s="11">
        <f>'Pairings NB'!C1521</f>
        <v/>
      </c>
      <c r="C344" s="11">
        <f>'Pairings NB'!D1521</f>
        <v/>
      </c>
      <c r="D344" s="11">
        <f>'Pairings NB'!E1521&amp;"/"&amp;'Pairings NB'!E1522</f>
        <v/>
      </c>
      <c r="E344" s="11">
        <f>'Pairings NB'!F1521&amp;"-"&amp;'Pairings NB'!G1521&amp;"-"&amp;'Pairings NB'!F1521</f>
        <v/>
      </c>
      <c r="F344" s="11">
        <f>IFERROR(VLOOKUP('Pairings NB'!$M$1521,Instructores!$A:$D,2,FALSE),"")</f>
        <v/>
      </c>
      <c r="G344" s="11">
        <f>'Pairings NB'!$M$1521</f>
        <v/>
      </c>
      <c r="H344" s="11">
        <f>IFERROR(VLOOKUP('Pairings NB'!$M$1521,Instructores!$A:$D,4,FALSE),"")</f>
        <v/>
      </c>
      <c r="I344" s="11">
        <f>'Pairings NB'!$O$1521</f>
        <v/>
      </c>
      <c r="J344" s="11">
        <f>'Pairings NB'!J1521</f>
        <v/>
      </c>
      <c r="K344" s="11">
        <f>IFERROR(VLOOKUP('Pairings NB'!$M$1521,Instructores!$A:$D,3,FALSE),"")</f>
        <v/>
      </c>
      <c r="L344" s="11">
        <f>IF('Pairings NB'!J1521=320,4,3)</f>
        <v/>
      </c>
      <c r="M344" s="11">
        <f>'Pairings NB'!$N$1521</f>
        <v/>
      </c>
    </row>
    <row r="345">
      <c r="A345" s="11">
        <f>'Pairings NB'!B1526</f>
        <v/>
      </c>
      <c r="B345" s="11">
        <f>'Pairings NB'!C1526</f>
        <v/>
      </c>
      <c r="C345" s="11">
        <f>'Pairings NB'!D1526</f>
        <v/>
      </c>
      <c r="D345" s="11">
        <f>'Pairings NB'!E1526&amp;"/"&amp;'Pairings NB'!E1527</f>
        <v/>
      </c>
      <c r="E345" s="11">
        <f>'Pairings NB'!F1526&amp;"-"&amp;'Pairings NB'!G1526&amp;"-"&amp;'Pairings NB'!F1526</f>
        <v/>
      </c>
      <c r="F345" s="11">
        <f>IFERROR(VLOOKUP('Pairings NB'!$M$1526,Instructores!$A:$D,2,FALSE),"")</f>
        <v/>
      </c>
      <c r="G345" s="11">
        <f>'Pairings NB'!$M$1526</f>
        <v/>
      </c>
      <c r="H345" s="11">
        <f>IFERROR(VLOOKUP('Pairings NB'!$M$1526,Instructores!$A:$D,4,FALSE),"")</f>
        <v/>
      </c>
      <c r="I345" s="11">
        <f>'Pairings NB'!$O$1526</f>
        <v/>
      </c>
      <c r="J345" s="11">
        <f>'Pairings NB'!J1526</f>
        <v/>
      </c>
      <c r="K345" s="11">
        <f>IFERROR(VLOOKUP('Pairings NB'!$M$1526,Instructores!$A:$D,3,FALSE),"")</f>
        <v/>
      </c>
      <c r="L345" s="11">
        <f>IF('Pairings NB'!J1526=320,4,3)</f>
        <v/>
      </c>
      <c r="M345" s="11">
        <f>'Pairings NB'!$N$1526</f>
        <v/>
      </c>
    </row>
    <row r="346">
      <c r="A346" s="11">
        <f>'Pairings NB'!B1531</f>
        <v/>
      </c>
      <c r="B346" s="11">
        <f>'Pairings NB'!C1531</f>
        <v/>
      </c>
      <c r="C346" s="11">
        <f>'Pairings NB'!D1531</f>
        <v/>
      </c>
      <c r="D346" s="11">
        <f>'Pairings NB'!E1531&amp;"/"&amp;'Pairings NB'!E1532</f>
        <v/>
      </c>
      <c r="E346" s="11">
        <f>'Pairings NB'!F1531&amp;"-"&amp;'Pairings NB'!G1531&amp;"-"&amp;'Pairings NB'!F1531</f>
        <v/>
      </c>
      <c r="F346" s="11">
        <f>IFERROR(VLOOKUP('Pairings NB'!$M$1531,Instructores!$A:$D,2,FALSE),"")</f>
        <v/>
      </c>
      <c r="G346" s="11">
        <f>'Pairings NB'!$M$1531</f>
        <v/>
      </c>
      <c r="H346" s="11">
        <f>IFERROR(VLOOKUP('Pairings NB'!$M$1531,Instructores!$A:$D,4,FALSE),"")</f>
        <v/>
      </c>
      <c r="I346" s="11">
        <f>'Pairings NB'!$O$1531</f>
        <v/>
      </c>
      <c r="J346" s="11">
        <f>'Pairings NB'!J1531</f>
        <v/>
      </c>
      <c r="K346" s="11">
        <f>IFERROR(VLOOKUP('Pairings NB'!$M$1531,Instructores!$A:$D,3,FALSE),"")</f>
        <v/>
      </c>
      <c r="L346" s="11">
        <f>IF('Pairings NB'!J1531=320,4,3)</f>
        <v/>
      </c>
      <c r="M346" s="11">
        <f>'Pairings NB'!$N$1531</f>
        <v/>
      </c>
    </row>
    <row r="347">
      <c r="A347" s="11">
        <f>'Pairings NB'!B1536</f>
        <v/>
      </c>
      <c r="B347" s="11">
        <f>'Pairings NB'!C1536</f>
        <v/>
      </c>
      <c r="C347" s="11">
        <f>'Pairings NB'!D1536</f>
        <v/>
      </c>
      <c r="D347" s="11">
        <f>'Pairings NB'!E1536&amp;"/"&amp;'Pairings NB'!E1537</f>
        <v/>
      </c>
      <c r="E347" s="11">
        <f>'Pairings NB'!F1536&amp;"-"&amp;'Pairings NB'!G1536&amp;"-"&amp;'Pairings NB'!F1536</f>
        <v/>
      </c>
      <c r="F347" s="11">
        <f>IFERROR(VLOOKUP('Pairings NB'!$M$1536,Instructores!$A:$D,2,FALSE),"")</f>
        <v/>
      </c>
      <c r="G347" s="11">
        <f>'Pairings NB'!$M$1536</f>
        <v/>
      </c>
      <c r="H347" s="11">
        <f>IFERROR(VLOOKUP('Pairings NB'!$M$1536,Instructores!$A:$D,4,FALSE),"")</f>
        <v/>
      </c>
      <c r="I347" s="11">
        <f>'Pairings NB'!$O$1536</f>
        <v/>
      </c>
      <c r="J347" s="11">
        <f>'Pairings NB'!J1536</f>
        <v/>
      </c>
      <c r="K347" s="11">
        <f>IFERROR(VLOOKUP('Pairings NB'!$M$1536,Instructores!$A:$D,3,FALSE),"")</f>
        <v/>
      </c>
      <c r="L347" s="11">
        <f>IF('Pairings NB'!J1536=320,4,3)</f>
        <v/>
      </c>
      <c r="M347" s="11">
        <f>'Pairings NB'!$N$1536</f>
        <v/>
      </c>
    </row>
    <row r="348">
      <c r="A348" s="11">
        <f>'Pairings NB'!B1541</f>
        <v/>
      </c>
      <c r="B348" s="11">
        <f>'Pairings NB'!C1541</f>
        <v/>
      </c>
      <c r="C348" s="11">
        <f>'Pairings NB'!D1541</f>
        <v/>
      </c>
      <c r="D348" s="11">
        <f>'Pairings NB'!E1541&amp;"/"&amp;'Pairings NB'!E1542</f>
        <v/>
      </c>
      <c r="E348" s="11">
        <f>'Pairings NB'!F1541&amp;"-"&amp;'Pairings NB'!G1541&amp;"-"&amp;'Pairings NB'!F1541</f>
        <v/>
      </c>
      <c r="F348" s="11">
        <f>IFERROR(VLOOKUP('Pairings NB'!$M$1541,Instructores!$A:$D,2,FALSE),"")</f>
        <v/>
      </c>
      <c r="G348" s="11">
        <f>'Pairings NB'!$M$1541</f>
        <v/>
      </c>
      <c r="H348" s="11">
        <f>IFERROR(VLOOKUP('Pairings NB'!$M$1541,Instructores!$A:$D,4,FALSE),"")</f>
        <v/>
      </c>
      <c r="I348" s="11">
        <f>'Pairings NB'!$O$1541</f>
        <v/>
      </c>
      <c r="J348" s="11">
        <f>'Pairings NB'!J1541</f>
        <v/>
      </c>
      <c r="K348" s="11">
        <f>IFERROR(VLOOKUP('Pairings NB'!$M$1541,Instructores!$A:$D,3,FALSE),"")</f>
        <v/>
      </c>
      <c r="L348" s="11">
        <f>IF('Pairings NB'!J1541=320,4,3)</f>
        <v/>
      </c>
      <c r="M348" s="11">
        <f>'Pairings NB'!$N$1541</f>
        <v/>
      </c>
    </row>
    <row r="349">
      <c r="A349" s="11">
        <f>'Pairings NB'!B1546</f>
        <v/>
      </c>
      <c r="B349" s="11">
        <f>'Pairings NB'!C1546</f>
        <v/>
      </c>
      <c r="C349" s="11">
        <f>'Pairings NB'!D1546</f>
        <v/>
      </c>
      <c r="D349" s="11">
        <f>'Pairings NB'!E1546&amp;"/"&amp;'Pairings NB'!E1547</f>
        <v/>
      </c>
      <c r="E349" s="11">
        <f>'Pairings NB'!F1546&amp;"-"&amp;'Pairings NB'!G1546&amp;"-"&amp;'Pairings NB'!F1546</f>
        <v/>
      </c>
      <c r="F349" s="11">
        <f>IFERROR(VLOOKUP('Pairings NB'!$M$1546,Instructores!$A:$D,2,FALSE),"")</f>
        <v/>
      </c>
      <c r="G349" s="11">
        <f>'Pairings NB'!$M$1546</f>
        <v/>
      </c>
      <c r="H349" s="11">
        <f>IFERROR(VLOOKUP('Pairings NB'!$M$1546,Instructores!$A:$D,4,FALSE),"")</f>
        <v/>
      </c>
      <c r="I349" s="11">
        <f>'Pairings NB'!$O$1546</f>
        <v/>
      </c>
      <c r="J349" s="11">
        <f>'Pairings NB'!J1546</f>
        <v/>
      </c>
      <c r="K349" s="11">
        <f>IFERROR(VLOOKUP('Pairings NB'!$M$1546,Instructores!$A:$D,3,FALSE),"")</f>
        <v/>
      </c>
      <c r="L349" s="11">
        <f>IF('Pairings NB'!J1546=320,4,3)</f>
        <v/>
      </c>
      <c r="M349" s="11">
        <f>'Pairings NB'!$N$1546</f>
        <v/>
      </c>
    </row>
    <row r="350">
      <c r="A350" s="11">
        <f>'Pairings NB'!B1551</f>
        <v/>
      </c>
      <c r="B350" s="11">
        <f>'Pairings NB'!C1551</f>
        <v/>
      </c>
      <c r="C350" s="11">
        <f>'Pairings NB'!D1551</f>
        <v/>
      </c>
      <c r="D350" s="11">
        <f>'Pairings NB'!E1551&amp;"/"&amp;'Pairings NB'!E1552</f>
        <v/>
      </c>
      <c r="E350" s="11">
        <f>'Pairings NB'!F1551&amp;"-"&amp;'Pairings NB'!G1551&amp;"-"&amp;'Pairings NB'!F1551</f>
        <v/>
      </c>
      <c r="F350" s="11">
        <f>IFERROR(VLOOKUP('Pairings NB'!$M$1551,Instructores!$A:$D,2,FALSE),"")</f>
        <v/>
      </c>
      <c r="G350" s="11">
        <f>'Pairings NB'!$M$1551</f>
        <v/>
      </c>
      <c r="H350" s="11">
        <f>IFERROR(VLOOKUP('Pairings NB'!$M$1551,Instructores!$A:$D,4,FALSE),"")</f>
        <v/>
      </c>
      <c r="I350" s="11">
        <f>'Pairings NB'!$O$1551</f>
        <v/>
      </c>
      <c r="J350" s="11">
        <f>'Pairings NB'!J1551</f>
        <v/>
      </c>
      <c r="K350" s="11">
        <f>IFERROR(VLOOKUP('Pairings NB'!$M$1551,Instructores!$A:$D,3,FALSE),"")</f>
        <v/>
      </c>
      <c r="L350" s="11">
        <f>IF('Pairings NB'!J1551=320,4,3)</f>
        <v/>
      </c>
      <c r="M350" s="11">
        <f>'Pairings NB'!$N$1551</f>
        <v/>
      </c>
    </row>
    <row r="351">
      <c r="A351" s="11">
        <f>'Pairings NB'!B1556</f>
        <v/>
      </c>
      <c r="B351" s="11">
        <f>'Pairings NB'!C1556</f>
        <v/>
      </c>
      <c r="C351" s="11">
        <f>'Pairings NB'!D1556</f>
        <v/>
      </c>
      <c r="D351" s="11">
        <f>'Pairings NB'!E1556&amp;"/"&amp;'Pairings NB'!E1557</f>
        <v/>
      </c>
      <c r="E351" s="11">
        <f>'Pairings NB'!F1556&amp;"-"&amp;'Pairings NB'!G1556&amp;"-"&amp;'Pairings NB'!F1556</f>
        <v/>
      </c>
      <c r="F351" s="11">
        <f>IFERROR(VLOOKUP('Pairings NB'!$M$1556,Instructores!$A:$D,2,FALSE),"")</f>
        <v/>
      </c>
      <c r="G351" s="11">
        <f>'Pairings NB'!$M$1556</f>
        <v/>
      </c>
      <c r="H351" s="11">
        <f>IFERROR(VLOOKUP('Pairings NB'!$M$1556,Instructores!$A:$D,4,FALSE),"")</f>
        <v/>
      </c>
      <c r="I351" s="11">
        <f>'Pairings NB'!$O$1556</f>
        <v/>
      </c>
      <c r="J351" s="11">
        <f>'Pairings NB'!J1556</f>
        <v/>
      </c>
      <c r="K351" s="11">
        <f>IFERROR(VLOOKUP('Pairings NB'!$M$1556,Instructores!$A:$D,3,FALSE),"")</f>
        <v/>
      </c>
      <c r="L351" s="11">
        <f>IF('Pairings NB'!J1556=320,4,3)</f>
        <v/>
      </c>
      <c r="M351" s="11">
        <f>'Pairings NB'!$N$1556</f>
        <v/>
      </c>
    </row>
    <row r="352">
      <c r="A352" s="11">
        <f>'Pairings NB'!B1561</f>
        <v/>
      </c>
      <c r="B352" s="11">
        <f>'Pairings NB'!C1561</f>
        <v/>
      </c>
      <c r="C352" s="11">
        <f>'Pairings NB'!D1561</f>
        <v/>
      </c>
      <c r="D352" s="11">
        <f>'Pairings NB'!E1561&amp;"/"&amp;'Pairings NB'!E1562</f>
        <v/>
      </c>
      <c r="E352" s="11">
        <f>'Pairings NB'!F1561&amp;"-"&amp;'Pairings NB'!G1561&amp;"-"&amp;'Pairings NB'!F1561</f>
        <v/>
      </c>
      <c r="F352" s="11">
        <f>IFERROR(VLOOKUP('Pairings NB'!$M$1561,Instructores!$A:$D,2,FALSE),"")</f>
        <v/>
      </c>
      <c r="G352" s="11">
        <f>'Pairings NB'!$M$1561</f>
        <v/>
      </c>
      <c r="H352" s="11">
        <f>IFERROR(VLOOKUP('Pairings NB'!$M$1561,Instructores!$A:$D,4,FALSE),"")</f>
        <v/>
      </c>
      <c r="I352" s="11">
        <f>'Pairings NB'!$O$1561</f>
        <v/>
      </c>
      <c r="J352" s="11">
        <f>'Pairings NB'!J1561</f>
        <v/>
      </c>
      <c r="K352" s="11">
        <f>IFERROR(VLOOKUP('Pairings NB'!$M$1561,Instructores!$A:$D,3,FALSE),"")</f>
        <v/>
      </c>
      <c r="L352" s="11">
        <f>IF('Pairings NB'!J1561=320,4,3)</f>
        <v/>
      </c>
      <c r="M352" s="11">
        <f>'Pairings NB'!$N$1561</f>
        <v/>
      </c>
    </row>
    <row r="353">
      <c r="A353" s="11">
        <f>'Pairings NB'!B1566</f>
        <v/>
      </c>
      <c r="B353" s="11">
        <f>'Pairings NB'!C1566</f>
        <v/>
      </c>
      <c r="C353" s="11">
        <f>'Pairings NB'!D1566</f>
        <v/>
      </c>
      <c r="D353" s="11">
        <f>'Pairings NB'!E1566&amp;"/"&amp;'Pairings NB'!E1567</f>
        <v/>
      </c>
      <c r="E353" s="11">
        <f>'Pairings NB'!F1566&amp;"-"&amp;'Pairings NB'!G1566&amp;"-"&amp;'Pairings NB'!F1566</f>
        <v/>
      </c>
      <c r="F353" s="11">
        <f>IFERROR(VLOOKUP('Pairings NB'!$M$1566,Instructores!$A:$D,2,FALSE),"")</f>
        <v/>
      </c>
      <c r="G353" s="11">
        <f>'Pairings NB'!$M$1566</f>
        <v/>
      </c>
      <c r="H353" s="11">
        <f>IFERROR(VLOOKUP('Pairings NB'!$M$1566,Instructores!$A:$D,4,FALSE),"")</f>
        <v/>
      </c>
      <c r="I353" s="11">
        <f>'Pairings NB'!$O$1566</f>
        <v/>
      </c>
      <c r="J353" s="11">
        <f>'Pairings NB'!J1566</f>
        <v/>
      </c>
      <c r="K353" s="11">
        <f>IFERROR(VLOOKUP('Pairings NB'!$M$1566,Instructores!$A:$D,3,FALSE),"")</f>
        <v/>
      </c>
      <c r="L353" s="11">
        <f>IF('Pairings NB'!J1566=320,4,3)</f>
        <v/>
      </c>
      <c r="M353" s="11">
        <f>'Pairings NB'!$N$1566</f>
        <v/>
      </c>
    </row>
    <row r="354">
      <c r="A354" s="11">
        <f>'Pairings NB'!B1571</f>
        <v/>
      </c>
      <c r="B354" s="11">
        <f>'Pairings NB'!C1571</f>
        <v/>
      </c>
      <c r="C354" s="11">
        <f>'Pairings NB'!D1571</f>
        <v/>
      </c>
      <c r="D354" s="11">
        <f>'Pairings NB'!E1571&amp;"/"&amp;'Pairings NB'!E1572</f>
        <v/>
      </c>
      <c r="E354" s="11">
        <f>'Pairings NB'!F1571&amp;"-"&amp;'Pairings NB'!G1571&amp;"-"&amp;'Pairings NB'!F1571</f>
        <v/>
      </c>
      <c r="F354" s="11">
        <f>IFERROR(VLOOKUP('Pairings NB'!$M$1571,Instructores!$A:$D,2,FALSE),"")</f>
        <v/>
      </c>
      <c r="G354" s="11">
        <f>'Pairings NB'!$M$1571</f>
        <v/>
      </c>
      <c r="H354" s="11">
        <f>IFERROR(VLOOKUP('Pairings NB'!$M$1571,Instructores!$A:$D,4,FALSE),"")</f>
        <v/>
      </c>
      <c r="I354" s="11">
        <f>'Pairings NB'!$O$1571</f>
        <v/>
      </c>
      <c r="J354" s="11">
        <f>'Pairings NB'!J1571</f>
        <v/>
      </c>
      <c r="K354" s="11">
        <f>IFERROR(VLOOKUP('Pairings NB'!$M$1571,Instructores!$A:$D,3,FALSE),"")</f>
        <v/>
      </c>
      <c r="L354" s="11">
        <f>IF('Pairings NB'!J1571=320,4,3)</f>
        <v/>
      </c>
      <c r="M354" s="11">
        <f>'Pairings NB'!$N$1571</f>
        <v/>
      </c>
    </row>
    <row r="355">
      <c r="A355" s="11">
        <f>'Pairings NB'!B1576</f>
        <v/>
      </c>
      <c r="B355" s="11">
        <f>'Pairings NB'!C1576</f>
        <v/>
      </c>
      <c r="C355" s="11">
        <f>'Pairings NB'!D1576</f>
        <v/>
      </c>
      <c r="D355" s="11">
        <f>'Pairings NB'!E1576&amp;"/"&amp;'Pairings NB'!E1577</f>
        <v/>
      </c>
      <c r="E355" s="11">
        <f>'Pairings NB'!F1576&amp;"-"&amp;'Pairings NB'!G1576&amp;"-"&amp;'Pairings NB'!F1576</f>
        <v/>
      </c>
      <c r="F355" s="11">
        <f>IFERROR(VLOOKUP('Pairings NB'!$M$1576,Instructores!$A:$D,2,FALSE),"")</f>
        <v/>
      </c>
      <c r="G355" s="11">
        <f>'Pairings NB'!$M$1576</f>
        <v/>
      </c>
      <c r="H355" s="11">
        <f>IFERROR(VLOOKUP('Pairings NB'!$M$1576,Instructores!$A:$D,4,FALSE),"")</f>
        <v/>
      </c>
      <c r="I355" s="11">
        <f>'Pairings NB'!$O$1576</f>
        <v/>
      </c>
      <c r="J355" s="11">
        <f>'Pairings NB'!J1576</f>
        <v/>
      </c>
      <c r="K355" s="11">
        <f>IFERROR(VLOOKUP('Pairings NB'!$M$1576,Instructores!$A:$D,3,FALSE),"")</f>
        <v/>
      </c>
      <c r="L355" s="11">
        <f>IF('Pairings NB'!J1576=320,4,3)</f>
        <v/>
      </c>
      <c r="M355" s="11">
        <f>'Pairings NB'!$N$1576</f>
        <v/>
      </c>
    </row>
    <row r="356">
      <c r="A356" s="11">
        <f>'Pairings NB'!B1578</f>
        <v/>
      </c>
      <c r="B356" s="11">
        <f>'Pairings NB'!C1578</f>
        <v/>
      </c>
      <c r="C356" s="11">
        <f>'Pairings NB'!D1578</f>
        <v/>
      </c>
      <c r="D356" s="11">
        <f>'Pairings NB'!E1578&amp;"/"&amp;'Pairings NB'!E1579</f>
        <v/>
      </c>
      <c r="E356" s="11">
        <f>'Pairings NB'!F1578&amp;"-"&amp;'Pairings NB'!G1578&amp;"-"&amp;'Pairings NB'!F1578</f>
        <v/>
      </c>
      <c r="F356" s="11">
        <f>IFERROR(VLOOKUP('Pairings NB'!$M$1576,Instructores!$A:$D,2,FALSE),"")</f>
        <v/>
      </c>
      <c r="G356" s="11">
        <f>'Pairings NB'!$M$1576</f>
        <v/>
      </c>
      <c r="H356" s="11">
        <f>IFERROR(VLOOKUP('Pairings NB'!$M$1576,Instructores!$A:$D,4,FALSE),"")</f>
        <v/>
      </c>
      <c r="I356" s="11">
        <f>'Pairings NB'!$O$1576</f>
        <v/>
      </c>
      <c r="J356" s="11">
        <f>'Pairings NB'!J1578</f>
        <v/>
      </c>
      <c r="K356" s="11">
        <f>IFERROR(VLOOKUP('Pairings NB'!$M$1576,Instructores!$A:$D,3,FALSE),"")</f>
        <v/>
      </c>
      <c r="L356" s="11">
        <f>IF('Pairings NB'!J1578=320,4,3)</f>
        <v/>
      </c>
      <c r="M356" s="11">
        <f>'Pairings NB'!$N$1576</f>
        <v/>
      </c>
    </row>
    <row r="357">
      <c r="A357" s="11">
        <f>'Pairings NB'!B1583</f>
        <v/>
      </c>
      <c r="B357" s="11">
        <f>'Pairings NB'!C1583</f>
        <v/>
      </c>
      <c r="C357" s="11">
        <f>'Pairings NB'!D1583</f>
        <v/>
      </c>
      <c r="D357" s="11">
        <f>'Pairings NB'!E1583&amp;"/"&amp;'Pairings NB'!E1584</f>
        <v/>
      </c>
      <c r="E357" s="11">
        <f>'Pairings NB'!F1583&amp;"-"&amp;'Pairings NB'!G1583&amp;"-"&amp;'Pairings NB'!F1583</f>
        <v/>
      </c>
      <c r="F357" s="11">
        <f>IFERROR(VLOOKUP('Pairings NB'!$M$1583,Instructores!$A:$D,2,FALSE),"")</f>
        <v/>
      </c>
      <c r="G357" s="11">
        <f>'Pairings NB'!$M$1583</f>
        <v/>
      </c>
      <c r="H357" s="11">
        <f>IFERROR(VLOOKUP('Pairings NB'!$M$1583,Instructores!$A:$D,4,FALSE),"")</f>
        <v/>
      </c>
      <c r="I357" s="11">
        <f>'Pairings NB'!$O$1583</f>
        <v/>
      </c>
      <c r="J357" s="11">
        <f>'Pairings NB'!J1583</f>
        <v/>
      </c>
      <c r="K357" s="11">
        <f>IFERROR(VLOOKUP('Pairings NB'!$M$1583,Instructores!$A:$D,3,FALSE),"")</f>
        <v/>
      </c>
      <c r="L357" s="11">
        <f>IF('Pairings NB'!J1583=320,4,3)</f>
        <v/>
      </c>
      <c r="M357" s="11">
        <f>'Pairings NB'!$N$1583</f>
        <v/>
      </c>
    </row>
    <row r="358">
      <c r="A358" s="11">
        <f>'Pairings NB'!B1588</f>
        <v/>
      </c>
      <c r="B358" s="11">
        <f>'Pairings NB'!C1588</f>
        <v/>
      </c>
      <c r="C358" s="11">
        <f>'Pairings NB'!D1588</f>
        <v/>
      </c>
      <c r="D358" s="11">
        <f>'Pairings NB'!E1588&amp;"/"&amp;'Pairings NB'!E1589</f>
        <v/>
      </c>
      <c r="E358" s="11">
        <f>'Pairings NB'!F1588&amp;"-"&amp;'Pairings NB'!G1588&amp;"-"&amp;'Pairings NB'!F1588</f>
        <v/>
      </c>
      <c r="F358" s="11">
        <f>IFERROR(VLOOKUP('Pairings NB'!$M$1588,Instructores!$A:$D,2,FALSE),"")</f>
        <v/>
      </c>
      <c r="G358" s="11">
        <f>'Pairings NB'!$M$1588</f>
        <v/>
      </c>
      <c r="H358" s="11">
        <f>IFERROR(VLOOKUP('Pairings NB'!$M$1588,Instructores!$A:$D,4,FALSE),"")</f>
        <v/>
      </c>
      <c r="I358" s="11">
        <f>'Pairings NB'!$O$1588</f>
        <v/>
      </c>
      <c r="J358" s="11">
        <f>'Pairings NB'!J1588</f>
        <v/>
      </c>
      <c r="K358" s="11">
        <f>IFERROR(VLOOKUP('Pairings NB'!$M$1588,Instructores!$A:$D,3,FALSE),"")</f>
        <v/>
      </c>
      <c r="L358" s="11">
        <f>IF('Pairings NB'!J1588=320,4,3)</f>
        <v/>
      </c>
      <c r="M358" s="11">
        <f>'Pairings NB'!$N$1588</f>
        <v/>
      </c>
    </row>
    <row r="359">
      <c r="A359" s="11">
        <f>'Pairings NB'!B1590</f>
        <v/>
      </c>
      <c r="B359" s="11">
        <f>'Pairings NB'!C1590</f>
        <v/>
      </c>
      <c r="C359" s="11">
        <f>'Pairings NB'!D1590</f>
        <v/>
      </c>
      <c r="D359" s="11">
        <f>'Pairings NB'!E1590&amp;"/"&amp;'Pairings NB'!E1591</f>
        <v/>
      </c>
      <c r="E359" s="11">
        <f>'Pairings NB'!F1590&amp;"-"&amp;'Pairings NB'!G1590&amp;"-"&amp;'Pairings NB'!F1590</f>
        <v/>
      </c>
      <c r="F359" s="11">
        <f>IFERROR(VLOOKUP('Pairings NB'!$M$1588,Instructores!$A:$D,2,FALSE),"")</f>
        <v/>
      </c>
      <c r="G359" s="11">
        <f>'Pairings NB'!$M$1588</f>
        <v/>
      </c>
      <c r="H359" s="11">
        <f>IFERROR(VLOOKUP('Pairings NB'!$M$1588,Instructores!$A:$D,4,FALSE),"")</f>
        <v/>
      </c>
      <c r="I359" s="11">
        <f>'Pairings NB'!$O$1588</f>
        <v/>
      </c>
      <c r="J359" s="11">
        <f>'Pairings NB'!J1590</f>
        <v/>
      </c>
      <c r="K359" s="11">
        <f>IFERROR(VLOOKUP('Pairings NB'!$M$1588,Instructores!$A:$D,3,FALSE),"")</f>
        <v/>
      </c>
      <c r="L359" s="11">
        <f>IF('Pairings NB'!J1590=320,4,3)</f>
        <v/>
      </c>
      <c r="M359" s="11">
        <f>'Pairings NB'!$N$1588</f>
        <v/>
      </c>
    </row>
    <row r="360">
      <c r="A360" s="11">
        <f>'Pairings NB'!B1595</f>
        <v/>
      </c>
      <c r="B360" s="11">
        <f>'Pairings NB'!C1595</f>
        <v/>
      </c>
      <c r="C360" s="11">
        <f>'Pairings NB'!D1595</f>
        <v/>
      </c>
      <c r="D360" s="11">
        <f>'Pairings NB'!E1595&amp;"/"&amp;'Pairings NB'!E1596</f>
        <v/>
      </c>
      <c r="E360" s="11">
        <f>'Pairings NB'!F1595&amp;"-"&amp;'Pairings NB'!G1595&amp;"-"&amp;'Pairings NB'!F1595</f>
        <v/>
      </c>
      <c r="F360" s="11">
        <f>IFERROR(VLOOKUP('Pairings NB'!$M$1595,Instructores!$A:$D,2,FALSE),"")</f>
        <v/>
      </c>
      <c r="G360" s="11">
        <f>'Pairings NB'!$M$1595</f>
        <v/>
      </c>
      <c r="H360" s="11">
        <f>IFERROR(VLOOKUP('Pairings NB'!$M$1595,Instructores!$A:$D,4,FALSE),"")</f>
        <v/>
      </c>
      <c r="I360" s="11">
        <f>'Pairings NB'!$O$1595</f>
        <v/>
      </c>
      <c r="J360" s="11">
        <f>'Pairings NB'!J1595</f>
        <v/>
      </c>
      <c r="K360" s="11">
        <f>IFERROR(VLOOKUP('Pairings NB'!$M$1595,Instructores!$A:$D,3,FALSE),"")</f>
        <v/>
      </c>
      <c r="L360" s="11">
        <f>IF('Pairings NB'!J1595=320,4,3)</f>
        <v/>
      </c>
      <c r="M360" s="11">
        <f>'Pairings NB'!$N$1595</f>
        <v/>
      </c>
    </row>
    <row r="361">
      <c r="A361" s="11">
        <f>'Pairings NB'!B1597</f>
        <v/>
      </c>
      <c r="B361" s="11">
        <f>'Pairings NB'!C1597</f>
        <v/>
      </c>
      <c r="C361" s="11">
        <f>'Pairings NB'!D1597</f>
        <v/>
      </c>
      <c r="D361" s="11">
        <f>'Pairings NB'!E1597&amp;"/"&amp;'Pairings NB'!E1598</f>
        <v/>
      </c>
      <c r="E361" s="11">
        <f>'Pairings NB'!F1597&amp;"-"&amp;'Pairings NB'!G1597&amp;"-"&amp;'Pairings NB'!F1597</f>
        <v/>
      </c>
      <c r="F361" s="11">
        <f>IFERROR(VLOOKUP('Pairings NB'!$M$1595,Instructores!$A:$D,2,FALSE),"")</f>
        <v/>
      </c>
      <c r="G361" s="11">
        <f>'Pairings NB'!$M$1595</f>
        <v/>
      </c>
      <c r="H361" s="11">
        <f>IFERROR(VLOOKUP('Pairings NB'!$M$1595,Instructores!$A:$D,4,FALSE),"")</f>
        <v/>
      </c>
      <c r="I361" s="11">
        <f>'Pairings NB'!$O$1595</f>
        <v/>
      </c>
      <c r="J361" s="11">
        <f>'Pairings NB'!J1597</f>
        <v/>
      </c>
      <c r="K361" s="11">
        <f>IFERROR(VLOOKUP('Pairings NB'!$M$1595,Instructores!$A:$D,3,FALSE),"")</f>
        <v/>
      </c>
      <c r="L361" s="11">
        <f>IF('Pairings NB'!J1597=320,4,3)</f>
        <v/>
      </c>
      <c r="M361" s="11">
        <f>'Pairings NB'!$N$1595</f>
        <v/>
      </c>
    </row>
    <row r="362">
      <c r="A362" s="11">
        <f>'Pairings NB'!B1602</f>
        <v/>
      </c>
      <c r="B362" s="11">
        <f>'Pairings NB'!C1602</f>
        <v/>
      </c>
      <c r="C362" s="11">
        <f>'Pairings NB'!D1602</f>
        <v/>
      </c>
      <c r="D362" s="11">
        <f>'Pairings NB'!E1602&amp;"/"&amp;'Pairings NB'!E1603</f>
        <v/>
      </c>
      <c r="E362" s="11">
        <f>'Pairings NB'!F1602&amp;"-"&amp;'Pairings NB'!G1602&amp;"-"&amp;'Pairings NB'!F1602</f>
        <v/>
      </c>
      <c r="F362" s="11">
        <f>IFERROR(VLOOKUP('Pairings NB'!$M$1602,Instructores!$A:$D,2,FALSE),"")</f>
        <v/>
      </c>
      <c r="G362" s="11">
        <f>'Pairings NB'!$M$1602</f>
        <v/>
      </c>
      <c r="H362" s="11">
        <f>IFERROR(VLOOKUP('Pairings NB'!$M$1602,Instructores!$A:$D,4,FALSE),"")</f>
        <v/>
      </c>
      <c r="I362" s="11">
        <f>'Pairings NB'!$O$1602</f>
        <v/>
      </c>
      <c r="J362" s="11">
        <f>'Pairings NB'!J1602</f>
        <v/>
      </c>
      <c r="K362" s="11">
        <f>IFERROR(VLOOKUP('Pairings NB'!$M$1602,Instructores!$A:$D,3,FALSE),"")</f>
        <v/>
      </c>
      <c r="L362" s="11">
        <f>IF('Pairings NB'!J1602=320,4,3)</f>
        <v/>
      </c>
      <c r="M362" s="11">
        <f>'Pairings NB'!$N$1602</f>
        <v/>
      </c>
    </row>
    <row r="363">
      <c r="A363" s="11">
        <f>'Pairings NB'!B1604</f>
        <v/>
      </c>
      <c r="B363" s="11">
        <f>'Pairings NB'!C1604</f>
        <v/>
      </c>
      <c r="C363" s="11">
        <f>'Pairings NB'!D1604</f>
        <v/>
      </c>
      <c r="D363" s="11">
        <f>'Pairings NB'!E1604&amp;"/"&amp;'Pairings NB'!E1605</f>
        <v/>
      </c>
      <c r="E363" s="11">
        <f>'Pairings NB'!F1604&amp;"-"&amp;'Pairings NB'!G1604&amp;"-"&amp;'Pairings NB'!F1604</f>
        <v/>
      </c>
      <c r="F363" s="11">
        <f>IFERROR(VLOOKUP('Pairings NB'!$M$1602,Instructores!$A:$D,2,FALSE),"")</f>
        <v/>
      </c>
      <c r="G363" s="11">
        <f>'Pairings NB'!$M$1602</f>
        <v/>
      </c>
      <c r="H363" s="11">
        <f>IFERROR(VLOOKUP('Pairings NB'!$M$1602,Instructores!$A:$D,4,FALSE),"")</f>
        <v/>
      </c>
      <c r="I363" s="11">
        <f>'Pairings NB'!$O$1602</f>
        <v/>
      </c>
      <c r="J363" s="11">
        <f>'Pairings NB'!J1604</f>
        <v/>
      </c>
      <c r="K363" s="11">
        <f>IFERROR(VLOOKUP('Pairings NB'!$M$1602,Instructores!$A:$D,3,FALSE),"")</f>
        <v/>
      </c>
      <c r="L363" s="11">
        <f>IF('Pairings NB'!J1604=320,4,3)</f>
        <v/>
      </c>
      <c r="M363" s="11">
        <f>'Pairings NB'!$N$1602</f>
        <v/>
      </c>
    </row>
    <row r="364">
      <c r="A364" s="11">
        <f>'Pairings NB'!B1609</f>
        <v/>
      </c>
      <c r="B364" s="11">
        <f>'Pairings NB'!C1609</f>
        <v/>
      </c>
      <c r="C364" s="11">
        <f>'Pairings NB'!D1609</f>
        <v/>
      </c>
      <c r="D364" s="11">
        <f>'Pairings NB'!E1609&amp;"/"&amp;'Pairings NB'!E1610</f>
        <v/>
      </c>
      <c r="E364" s="11">
        <f>'Pairings NB'!F1609&amp;"-"&amp;'Pairings NB'!G1609&amp;"-"&amp;'Pairings NB'!F1609</f>
        <v/>
      </c>
      <c r="F364" s="11">
        <f>IFERROR(VLOOKUP('Pairings NB'!$M$1609,Instructores!$A:$D,2,FALSE),"")</f>
        <v/>
      </c>
      <c r="G364" s="11">
        <f>'Pairings NB'!$M$1609</f>
        <v/>
      </c>
      <c r="H364" s="11">
        <f>IFERROR(VLOOKUP('Pairings NB'!$M$1609,Instructores!$A:$D,4,FALSE),"")</f>
        <v/>
      </c>
      <c r="I364" s="11">
        <f>'Pairings NB'!$O$1609</f>
        <v/>
      </c>
      <c r="J364" s="11">
        <f>'Pairings NB'!J1609</f>
        <v/>
      </c>
      <c r="K364" s="11">
        <f>IFERROR(VLOOKUP('Pairings NB'!$M$1609,Instructores!$A:$D,3,FALSE),"")</f>
        <v/>
      </c>
      <c r="L364" s="11">
        <f>IF('Pairings NB'!J1609=320,4,3)</f>
        <v/>
      </c>
      <c r="M364" s="11">
        <f>'Pairings NB'!$N$1609</f>
        <v/>
      </c>
    </row>
    <row r="365">
      <c r="A365" s="11">
        <f>'Pairings NB'!B1614</f>
        <v/>
      </c>
      <c r="B365" s="11">
        <f>'Pairings NB'!C1614</f>
        <v/>
      </c>
      <c r="C365" s="11">
        <f>'Pairings NB'!D1614</f>
        <v/>
      </c>
      <c r="D365" s="11">
        <f>'Pairings NB'!E1614&amp;"/"&amp;'Pairings NB'!E1615</f>
        <v/>
      </c>
      <c r="E365" s="11">
        <f>'Pairings NB'!F1614&amp;"-"&amp;'Pairings NB'!G1614&amp;"-"&amp;'Pairings NB'!F1614</f>
        <v/>
      </c>
      <c r="F365" s="11">
        <f>IFERROR(VLOOKUP('Pairings NB'!$M$1614,Instructores!$A:$D,2,FALSE),"")</f>
        <v/>
      </c>
      <c r="G365" s="11">
        <f>'Pairings NB'!$M$1614</f>
        <v/>
      </c>
      <c r="H365" s="11">
        <f>IFERROR(VLOOKUP('Pairings NB'!$M$1614,Instructores!$A:$D,4,FALSE),"")</f>
        <v/>
      </c>
      <c r="I365" s="11">
        <f>'Pairings NB'!$O$1614</f>
        <v/>
      </c>
      <c r="J365" s="11">
        <f>'Pairings NB'!J1614</f>
        <v/>
      </c>
      <c r="K365" s="11">
        <f>IFERROR(VLOOKUP('Pairings NB'!$M$1614,Instructores!$A:$D,3,FALSE),"")</f>
        <v/>
      </c>
      <c r="L365" s="11">
        <f>IF('Pairings NB'!J1614=320,4,3)</f>
        <v/>
      </c>
      <c r="M365" s="11">
        <f>'Pairings NB'!$N$1614</f>
        <v/>
      </c>
    </row>
    <row r="366">
      <c r="A366" s="11">
        <f>'Pairings NB'!B1619</f>
        <v/>
      </c>
      <c r="B366" s="11">
        <f>'Pairings NB'!C1619</f>
        <v/>
      </c>
      <c r="C366" s="11">
        <f>'Pairings NB'!D1619</f>
        <v/>
      </c>
      <c r="D366" s="11">
        <f>'Pairings NB'!E1619&amp;"/"&amp;'Pairings NB'!E1620</f>
        <v/>
      </c>
      <c r="E366" s="11">
        <f>'Pairings NB'!F1619&amp;"-"&amp;'Pairings NB'!G1619&amp;"-"&amp;'Pairings NB'!F1619</f>
        <v/>
      </c>
      <c r="F366" s="11">
        <f>IFERROR(VLOOKUP('Pairings NB'!$M$1619,Instructores!$A:$D,2,FALSE),"")</f>
        <v/>
      </c>
      <c r="G366" s="11">
        <f>'Pairings NB'!$M$1619</f>
        <v/>
      </c>
      <c r="H366" s="11">
        <f>IFERROR(VLOOKUP('Pairings NB'!$M$1619,Instructores!$A:$D,4,FALSE),"")</f>
        <v/>
      </c>
      <c r="I366" s="11">
        <f>'Pairings NB'!$O$1619</f>
        <v/>
      </c>
      <c r="J366" s="11">
        <f>'Pairings NB'!J1619</f>
        <v/>
      </c>
      <c r="K366" s="11">
        <f>IFERROR(VLOOKUP('Pairings NB'!$M$1619,Instructores!$A:$D,3,FALSE),"")</f>
        <v/>
      </c>
      <c r="L366" s="11">
        <f>IF('Pairings NB'!J1619=320,4,3)</f>
        <v/>
      </c>
      <c r="M366" s="11">
        <f>'Pairings NB'!$N$1619</f>
        <v/>
      </c>
    </row>
    <row r="367">
      <c r="A367" s="11">
        <f>'Pairings NB'!B1624</f>
        <v/>
      </c>
      <c r="B367" s="11">
        <f>'Pairings NB'!C1624</f>
        <v/>
      </c>
      <c r="C367" s="11">
        <f>'Pairings NB'!D1624</f>
        <v/>
      </c>
      <c r="D367" s="11">
        <f>'Pairings NB'!E1624&amp;"/"&amp;'Pairings NB'!E1625</f>
        <v/>
      </c>
      <c r="E367" s="11">
        <f>'Pairings NB'!F1624&amp;"-"&amp;'Pairings NB'!G1624&amp;"-"&amp;'Pairings NB'!F1624</f>
        <v/>
      </c>
      <c r="F367" s="11">
        <f>IFERROR(VLOOKUP('Pairings NB'!$M$1624,Instructores!$A:$D,2,FALSE),"")</f>
        <v/>
      </c>
      <c r="G367" s="11">
        <f>'Pairings NB'!$M$1624</f>
        <v/>
      </c>
      <c r="H367" s="11">
        <f>IFERROR(VLOOKUP('Pairings NB'!$M$1624,Instructores!$A:$D,4,FALSE),"")</f>
        <v/>
      </c>
      <c r="I367" s="11">
        <f>'Pairings NB'!$O$1624</f>
        <v/>
      </c>
      <c r="J367" s="11">
        <f>'Pairings NB'!J1624</f>
        <v/>
      </c>
      <c r="K367" s="11">
        <f>IFERROR(VLOOKUP('Pairings NB'!$M$1624,Instructores!$A:$D,3,FALSE),"")</f>
        <v/>
      </c>
      <c r="L367" s="11">
        <f>IF('Pairings NB'!J1624=320,4,3)</f>
        <v/>
      </c>
      <c r="M367" s="11">
        <f>'Pairings NB'!$N$1624</f>
        <v/>
      </c>
    </row>
    <row r="368">
      <c r="A368" s="11">
        <f>'Pairings NB'!B1629</f>
        <v/>
      </c>
      <c r="B368" s="11">
        <f>'Pairings NB'!C1629</f>
        <v/>
      </c>
      <c r="C368" s="11">
        <f>'Pairings NB'!D1629</f>
        <v/>
      </c>
      <c r="D368" s="11">
        <f>'Pairings NB'!E1629&amp;"/"&amp;'Pairings NB'!E1630</f>
        <v/>
      </c>
      <c r="E368" s="11">
        <f>'Pairings NB'!F1629&amp;"-"&amp;'Pairings NB'!G1629&amp;"-"&amp;'Pairings NB'!F1629</f>
        <v/>
      </c>
      <c r="F368" s="11">
        <f>IFERROR(VLOOKUP('Pairings NB'!$M$1629,Instructores!$A:$D,2,FALSE),"")</f>
        <v/>
      </c>
      <c r="G368" s="11">
        <f>'Pairings NB'!$M$1629</f>
        <v/>
      </c>
      <c r="H368" s="11">
        <f>IFERROR(VLOOKUP('Pairings NB'!$M$1629,Instructores!$A:$D,4,FALSE),"")</f>
        <v/>
      </c>
      <c r="I368" s="11">
        <f>'Pairings NB'!$O$1629</f>
        <v/>
      </c>
      <c r="J368" s="11">
        <f>'Pairings NB'!J1629</f>
        <v/>
      </c>
      <c r="K368" s="11">
        <f>IFERROR(VLOOKUP('Pairings NB'!$M$1629,Instructores!$A:$D,3,FALSE),"")</f>
        <v/>
      </c>
      <c r="L368" s="11">
        <f>IF('Pairings NB'!J1629=320,4,3)</f>
        <v/>
      </c>
      <c r="M368" s="11">
        <f>'Pairings NB'!$N$1629</f>
        <v/>
      </c>
    </row>
    <row r="369">
      <c r="A369" s="11">
        <f>'Pairings NB'!B1634</f>
        <v/>
      </c>
      <c r="B369" s="11">
        <f>'Pairings NB'!C1634</f>
        <v/>
      </c>
      <c r="C369" s="11">
        <f>'Pairings NB'!D1634</f>
        <v/>
      </c>
      <c r="D369" s="11">
        <f>'Pairings NB'!E1634&amp;"/"&amp;'Pairings NB'!E1635</f>
        <v/>
      </c>
      <c r="E369" s="11">
        <f>'Pairings NB'!F1634&amp;"-"&amp;'Pairings NB'!G1634&amp;"-"&amp;'Pairings NB'!F1634</f>
        <v/>
      </c>
      <c r="F369" s="11">
        <f>IFERROR(VLOOKUP('Pairings NB'!$M$1634,Instructores!$A:$D,2,FALSE),"")</f>
        <v/>
      </c>
      <c r="G369" s="11">
        <f>'Pairings NB'!$M$1634</f>
        <v/>
      </c>
      <c r="H369" s="11">
        <f>IFERROR(VLOOKUP('Pairings NB'!$M$1634,Instructores!$A:$D,4,FALSE),"")</f>
        <v/>
      </c>
      <c r="I369" s="11">
        <f>'Pairings NB'!$O$1634</f>
        <v/>
      </c>
      <c r="J369" s="11">
        <f>'Pairings NB'!J1634</f>
        <v/>
      </c>
      <c r="K369" s="11">
        <f>IFERROR(VLOOKUP('Pairings NB'!$M$1634,Instructores!$A:$D,3,FALSE),"")</f>
        <v/>
      </c>
      <c r="L369" s="11">
        <f>IF('Pairings NB'!J1634=320,4,3)</f>
        <v/>
      </c>
      <c r="M369" s="11">
        <f>'Pairings NB'!$N$1634</f>
        <v/>
      </c>
    </row>
    <row r="370">
      <c r="A370" s="11">
        <f>'Pairings NB'!B1639</f>
        <v/>
      </c>
      <c r="B370" s="11">
        <f>'Pairings NB'!C1639</f>
        <v/>
      </c>
      <c r="C370" s="11">
        <f>'Pairings NB'!D1639</f>
        <v/>
      </c>
      <c r="D370" s="11">
        <f>'Pairings NB'!E1639&amp;"/"&amp;'Pairings NB'!E1640</f>
        <v/>
      </c>
      <c r="E370" s="11">
        <f>'Pairings NB'!F1639&amp;"-"&amp;'Pairings NB'!G1639&amp;"-"&amp;'Pairings NB'!F1639</f>
        <v/>
      </c>
      <c r="F370" s="11">
        <f>IFERROR(VLOOKUP('Pairings NB'!$M$1639,Instructores!$A:$D,2,FALSE),"")</f>
        <v/>
      </c>
      <c r="G370" s="11">
        <f>'Pairings NB'!$M$1639</f>
        <v/>
      </c>
      <c r="H370" s="11">
        <f>IFERROR(VLOOKUP('Pairings NB'!$M$1639,Instructores!$A:$D,4,FALSE),"")</f>
        <v/>
      </c>
      <c r="I370" s="11">
        <f>'Pairings NB'!$O$1639</f>
        <v/>
      </c>
      <c r="J370" s="11">
        <f>'Pairings NB'!J1639</f>
        <v/>
      </c>
      <c r="K370" s="11">
        <f>IFERROR(VLOOKUP('Pairings NB'!$M$1639,Instructores!$A:$D,3,FALSE),"")</f>
        <v/>
      </c>
      <c r="L370" s="11">
        <f>IF('Pairings NB'!J1639=320,4,3)</f>
        <v/>
      </c>
      <c r="M370" s="11">
        <f>'Pairings NB'!$N$1639</f>
        <v/>
      </c>
    </row>
    <row r="371">
      <c r="A371" s="11">
        <f>'Pairings NB'!B1644</f>
        <v/>
      </c>
      <c r="B371" s="11">
        <f>'Pairings NB'!C1644</f>
        <v/>
      </c>
      <c r="C371" s="11">
        <f>'Pairings NB'!D1644</f>
        <v/>
      </c>
      <c r="D371" s="11">
        <f>'Pairings NB'!E1644&amp;"/"&amp;'Pairings NB'!E1645</f>
        <v/>
      </c>
      <c r="E371" s="11">
        <f>'Pairings NB'!F1644&amp;"-"&amp;'Pairings NB'!G1644&amp;"-"&amp;'Pairings NB'!F1644</f>
        <v/>
      </c>
      <c r="F371" s="11">
        <f>IFERROR(VLOOKUP('Pairings NB'!$M$1644,Instructores!$A:$D,2,FALSE),"")</f>
        <v/>
      </c>
      <c r="G371" s="11">
        <f>'Pairings NB'!$M$1644</f>
        <v/>
      </c>
      <c r="H371" s="11">
        <f>IFERROR(VLOOKUP('Pairings NB'!$M$1644,Instructores!$A:$D,4,FALSE),"")</f>
        <v/>
      </c>
      <c r="I371" s="11">
        <f>'Pairings NB'!$O$1644</f>
        <v/>
      </c>
      <c r="J371" s="11">
        <f>'Pairings NB'!J1644</f>
        <v/>
      </c>
      <c r="K371" s="11">
        <f>IFERROR(VLOOKUP('Pairings NB'!$M$1644,Instructores!$A:$D,3,FALSE),"")</f>
        <v/>
      </c>
      <c r="L371" s="11">
        <f>IF('Pairings NB'!J1644=320,4,3)</f>
        <v/>
      </c>
      <c r="M371" s="11">
        <f>'Pairings NB'!$N$1644</f>
        <v/>
      </c>
    </row>
    <row r="372">
      <c r="A372" s="11">
        <f>'Pairings NB'!B1649</f>
        <v/>
      </c>
      <c r="B372" s="11">
        <f>'Pairings NB'!C1649</f>
        <v/>
      </c>
      <c r="C372" s="11">
        <f>'Pairings NB'!D1649</f>
        <v/>
      </c>
      <c r="D372" s="11">
        <f>'Pairings NB'!E1649&amp;"/"&amp;'Pairings NB'!E1650</f>
        <v/>
      </c>
      <c r="E372" s="11">
        <f>'Pairings NB'!F1649&amp;"-"&amp;'Pairings NB'!G1649&amp;"-"&amp;'Pairings NB'!F1649</f>
        <v/>
      </c>
      <c r="F372" s="11">
        <f>IFERROR(VLOOKUP('Pairings NB'!$M$1649,Instructores!$A:$D,2,FALSE),"")</f>
        <v/>
      </c>
      <c r="G372" s="11">
        <f>'Pairings NB'!$M$1649</f>
        <v/>
      </c>
      <c r="H372" s="11">
        <f>IFERROR(VLOOKUP('Pairings NB'!$M$1649,Instructores!$A:$D,4,FALSE),"")</f>
        <v/>
      </c>
      <c r="I372" s="11">
        <f>'Pairings NB'!$O$1649</f>
        <v/>
      </c>
      <c r="J372" s="11">
        <f>'Pairings NB'!J1649</f>
        <v/>
      </c>
      <c r="K372" s="11">
        <f>IFERROR(VLOOKUP('Pairings NB'!$M$1649,Instructores!$A:$D,3,FALSE),"")</f>
        <v/>
      </c>
      <c r="L372" s="11">
        <f>IF('Pairings NB'!J1649=320,4,3)</f>
        <v/>
      </c>
      <c r="M372" s="11">
        <f>'Pairings NB'!$N$1649</f>
        <v/>
      </c>
    </row>
    <row r="373">
      <c r="A373" s="11">
        <f>'Pairings NB'!B1654</f>
        <v/>
      </c>
      <c r="B373" s="11">
        <f>'Pairings NB'!C1654</f>
        <v/>
      </c>
      <c r="C373" s="11">
        <f>'Pairings NB'!D1654</f>
        <v/>
      </c>
      <c r="D373" s="11">
        <f>'Pairings NB'!E1654&amp;"/"&amp;'Pairings NB'!E1655</f>
        <v/>
      </c>
      <c r="E373" s="11">
        <f>'Pairings NB'!F1654&amp;"-"&amp;'Pairings NB'!G1654&amp;"-"&amp;'Pairings NB'!F1654</f>
        <v/>
      </c>
      <c r="F373" s="11">
        <f>IFERROR(VLOOKUP('Pairings NB'!$M$1654,Instructores!$A:$D,2,FALSE),"")</f>
        <v/>
      </c>
      <c r="G373" s="11">
        <f>'Pairings NB'!$M$1654</f>
        <v/>
      </c>
      <c r="H373" s="11">
        <f>IFERROR(VLOOKUP('Pairings NB'!$M$1654,Instructores!$A:$D,4,FALSE),"")</f>
        <v/>
      </c>
      <c r="I373" s="11">
        <f>'Pairings NB'!$O$1654</f>
        <v/>
      </c>
      <c r="J373" s="11">
        <f>'Pairings NB'!J1654</f>
        <v/>
      </c>
      <c r="K373" s="11">
        <f>IFERROR(VLOOKUP('Pairings NB'!$M$1654,Instructores!$A:$D,3,FALSE),"")</f>
        <v/>
      </c>
      <c r="L373" s="11">
        <f>IF('Pairings NB'!J1654=320,4,3)</f>
        <v/>
      </c>
      <c r="M373" s="11">
        <f>'Pairings NB'!$N$1654</f>
        <v/>
      </c>
    </row>
    <row r="374">
      <c r="A374" s="11">
        <f>'Pairings NB'!B1659</f>
        <v/>
      </c>
      <c r="B374" s="11">
        <f>'Pairings NB'!C1659</f>
        <v/>
      </c>
      <c r="C374" s="11">
        <f>'Pairings NB'!D1659</f>
        <v/>
      </c>
      <c r="D374" s="11">
        <f>'Pairings NB'!E1659&amp;"/"&amp;'Pairings NB'!E1660</f>
        <v/>
      </c>
      <c r="E374" s="11">
        <f>'Pairings NB'!F1659&amp;"-"&amp;'Pairings NB'!G1659&amp;"-"&amp;'Pairings NB'!F1659</f>
        <v/>
      </c>
      <c r="F374" s="11">
        <f>IFERROR(VLOOKUP('Pairings NB'!$M$1659,Instructores!$A:$D,2,FALSE),"")</f>
        <v/>
      </c>
      <c r="G374" s="11">
        <f>'Pairings NB'!$M$1659</f>
        <v/>
      </c>
      <c r="H374" s="11">
        <f>IFERROR(VLOOKUP('Pairings NB'!$M$1659,Instructores!$A:$D,4,FALSE),"")</f>
        <v/>
      </c>
      <c r="I374" s="11">
        <f>'Pairings NB'!$O$1659</f>
        <v/>
      </c>
      <c r="J374" s="11">
        <f>'Pairings NB'!J1659</f>
        <v/>
      </c>
      <c r="K374" s="11">
        <f>IFERROR(VLOOKUP('Pairings NB'!$M$1659,Instructores!$A:$D,3,FALSE),"")</f>
        <v/>
      </c>
      <c r="L374" s="11">
        <f>IF('Pairings NB'!J1659=320,4,3)</f>
        <v/>
      </c>
      <c r="M374" s="11">
        <f>'Pairings NB'!$N$1659</f>
        <v/>
      </c>
    </row>
    <row r="375">
      <c r="A375" s="11">
        <f>'Pairings NB'!B1664</f>
        <v/>
      </c>
      <c r="B375" s="11">
        <f>'Pairings NB'!C1664</f>
        <v/>
      </c>
      <c r="C375" s="11">
        <f>'Pairings NB'!D1664</f>
        <v/>
      </c>
      <c r="D375" s="11">
        <f>'Pairings NB'!E1664&amp;"/"&amp;'Pairings NB'!E1665</f>
        <v/>
      </c>
      <c r="E375" s="11">
        <f>'Pairings NB'!F1664&amp;"-"&amp;'Pairings NB'!G1664&amp;"-"&amp;'Pairings NB'!F1664</f>
        <v/>
      </c>
      <c r="F375" s="11">
        <f>IFERROR(VLOOKUP('Pairings NB'!$M$1664,Instructores!$A:$D,2,FALSE),"")</f>
        <v/>
      </c>
      <c r="G375" s="11">
        <f>'Pairings NB'!$M$1664</f>
        <v/>
      </c>
      <c r="H375" s="11">
        <f>IFERROR(VLOOKUP('Pairings NB'!$M$1664,Instructores!$A:$D,4,FALSE),"")</f>
        <v/>
      </c>
      <c r="I375" s="11">
        <f>'Pairings NB'!$O$1664</f>
        <v/>
      </c>
      <c r="J375" s="11">
        <f>'Pairings NB'!J1664</f>
        <v/>
      </c>
      <c r="K375" s="11">
        <f>IFERROR(VLOOKUP('Pairings NB'!$M$1664,Instructores!$A:$D,3,FALSE),"")</f>
        <v/>
      </c>
      <c r="L375" s="11">
        <f>IF('Pairings NB'!J1664=320,4,3)</f>
        <v/>
      </c>
      <c r="M375" s="11">
        <f>'Pairings NB'!$N$1664</f>
        <v/>
      </c>
    </row>
    <row r="376">
      <c r="A376" s="11">
        <f>'Pairings NB'!B1669</f>
        <v/>
      </c>
      <c r="B376" s="11">
        <f>'Pairings NB'!C1669</f>
        <v/>
      </c>
      <c r="C376" s="11">
        <f>'Pairings NB'!D1669</f>
        <v/>
      </c>
      <c r="D376" s="11">
        <f>'Pairings NB'!E1669&amp;"/"&amp;'Pairings NB'!E1670</f>
        <v/>
      </c>
      <c r="E376" s="11">
        <f>'Pairings NB'!F1669&amp;"-"&amp;'Pairings NB'!G1669&amp;"-"&amp;'Pairings NB'!F1669</f>
        <v/>
      </c>
      <c r="F376" s="11">
        <f>IFERROR(VLOOKUP('Pairings NB'!$M$1669,Instructores!$A:$D,2,FALSE),"")</f>
        <v/>
      </c>
      <c r="G376" s="11">
        <f>'Pairings NB'!$M$1669</f>
        <v/>
      </c>
      <c r="H376" s="11">
        <f>IFERROR(VLOOKUP('Pairings NB'!$M$1669,Instructores!$A:$D,4,FALSE),"")</f>
        <v/>
      </c>
      <c r="I376" s="11">
        <f>'Pairings NB'!$O$1669</f>
        <v/>
      </c>
      <c r="J376" s="11">
        <f>'Pairings NB'!J1669</f>
        <v/>
      </c>
      <c r="K376" s="11">
        <f>IFERROR(VLOOKUP('Pairings NB'!$M$1669,Instructores!$A:$D,3,FALSE),"")</f>
        <v/>
      </c>
      <c r="L376" s="11">
        <f>IF('Pairings NB'!J1669=320,4,3)</f>
        <v/>
      </c>
      <c r="M376" s="11">
        <f>'Pairings NB'!$N$1669</f>
        <v/>
      </c>
    </row>
    <row r="377">
      <c r="A377" s="11">
        <f>'Pairings NB'!B1674</f>
        <v/>
      </c>
      <c r="B377" s="11">
        <f>'Pairings NB'!C1674</f>
        <v/>
      </c>
      <c r="C377" s="11">
        <f>'Pairings NB'!D1674</f>
        <v/>
      </c>
      <c r="D377" s="11">
        <f>'Pairings NB'!E1674&amp;"/"&amp;'Pairings NB'!E1675</f>
        <v/>
      </c>
      <c r="E377" s="11">
        <f>'Pairings NB'!F1674&amp;"-"&amp;'Pairings NB'!G1674&amp;"-"&amp;'Pairings NB'!F1674</f>
        <v/>
      </c>
      <c r="F377" s="11">
        <f>IFERROR(VLOOKUP('Pairings NB'!$M$1674,Instructores!$A:$D,2,FALSE),"")</f>
        <v/>
      </c>
      <c r="G377" s="11">
        <f>'Pairings NB'!$M$1674</f>
        <v/>
      </c>
      <c r="H377" s="11">
        <f>IFERROR(VLOOKUP('Pairings NB'!$M$1674,Instructores!$A:$D,4,FALSE),"")</f>
        <v/>
      </c>
      <c r="I377" s="11">
        <f>'Pairings NB'!$O$1674</f>
        <v/>
      </c>
      <c r="J377" s="11">
        <f>'Pairings NB'!J1674</f>
        <v/>
      </c>
      <c r="K377" s="11">
        <f>IFERROR(VLOOKUP('Pairings NB'!$M$1674,Instructores!$A:$D,3,FALSE),"")</f>
        <v/>
      </c>
      <c r="L377" s="11">
        <f>IF('Pairings NB'!J1674=320,4,3)</f>
        <v/>
      </c>
      <c r="M377" s="11">
        <f>'Pairings NB'!$N$1674</f>
        <v/>
      </c>
    </row>
    <row r="378">
      <c r="A378" s="11">
        <f>'Pairings NB'!B1676</f>
        <v/>
      </c>
      <c r="B378" s="11">
        <f>'Pairings NB'!C1676</f>
        <v/>
      </c>
      <c r="C378" s="11">
        <f>'Pairings NB'!D1676</f>
        <v/>
      </c>
      <c r="D378" s="11">
        <f>'Pairings NB'!E1676&amp;"/"&amp;'Pairings NB'!E1677</f>
        <v/>
      </c>
      <c r="E378" s="11">
        <f>'Pairings NB'!F1676&amp;"-"&amp;'Pairings NB'!G1676&amp;"-"&amp;'Pairings NB'!F1676</f>
        <v/>
      </c>
      <c r="F378" s="11">
        <f>IFERROR(VLOOKUP('Pairings NB'!$M$1674,Instructores!$A:$D,2,FALSE),"")</f>
        <v/>
      </c>
      <c r="G378" s="11">
        <f>'Pairings NB'!$M$1674</f>
        <v/>
      </c>
      <c r="H378" s="11">
        <f>IFERROR(VLOOKUP('Pairings NB'!$M$1674,Instructores!$A:$D,4,FALSE),"")</f>
        <v/>
      </c>
      <c r="I378" s="11">
        <f>'Pairings NB'!$O$1674</f>
        <v/>
      </c>
      <c r="J378" s="11">
        <f>'Pairings NB'!J1676</f>
        <v/>
      </c>
      <c r="K378" s="11">
        <f>IFERROR(VLOOKUP('Pairings NB'!$M$1674,Instructores!$A:$D,3,FALSE),"")</f>
        <v/>
      </c>
      <c r="L378" s="11">
        <f>IF('Pairings NB'!J1676=320,4,3)</f>
        <v/>
      </c>
      <c r="M378" s="11">
        <f>'Pairings NB'!$N$1674</f>
        <v/>
      </c>
    </row>
    <row r="379">
      <c r="A379" s="11">
        <f>'Pairings NB'!B1681</f>
        <v/>
      </c>
      <c r="B379" s="11">
        <f>'Pairings NB'!C1681</f>
        <v/>
      </c>
      <c r="C379" s="11">
        <f>'Pairings NB'!D1681</f>
        <v/>
      </c>
      <c r="D379" s="11">
        <f>'Pairings NB'!E1681&amp;"/"&amp;'Pairings NB'!E1682</f>
        <v/>
      </c>
      <c r="E379" s="11">
        <f>'Pairings NB'!F1681&amp;"-"&amp;'Pairings NB'!G1681&amp;"-"&amp;'Pairings NB'!F1681</f>
        <v/>
      </c>
      <c r="F379" s="11">
        <f>IFERROR(VLOOKUP('Pairings NB'!$M$1681,Instructores!$A:$D,2,FALSE),"")</f>
        <v/>
      </c>
      <c r="G379" s="11">
        <f>'Pairings NB'!$M$1681</f>
        <v/>
      </c>
      <c r="H379" s="11">
        <f>IFERROR(VLOOKUP('Pairings NB'!$M$1681,Instructores!$A:$D,4,FALSE),"")</f>
        <v/>
      </c>
      <c r="I379" s="11">
        <f>'Pairings NB'!$O$1681</f>
        <v/>
      </c>
      <c r="J379" s="11">
        <f>'Pairings NB'!J1681</f>
        <v/>
      </c>
      <c r="K379" s="11">
        <f>IFERROR(VLOOKUP('Pairings NB'!$M$1681,Instructores!$A:$D,3,FALSE),"")</f>
        <v/>
      </c>
      <c r="L379" s="11">
        <f>IF('Pairings NB'!J1681=320,4,3)</f>
        <v/>
      </c>
      <c r="M379" s="11">
        <f>'Pairings NB'!$N$1681</f>
        <v/>
      </c>
    </row>
    <row r="380">
      <c r="A380" s="11">
        <f>'Pairings NB'!B1686</f>
        <v/>
      </c>
      <c r="B380" s="11">
        <f>'Pairings NB'!C1686</f>
        <v/>
      </c>
      <c r="C380" s="11">
        <f>'Pairings NB'!D1686</f>
        <v/>
      </c>
      <c r="D380" s="11">
        <f>'Pairings NB'!E1686&amp;"/"&amp;'Pairings NB'!E1687</f>
        <v/>
      </c>
      <c r="E380" s="11">
        <f>'Pairings NB'!F1686&amp;"-"&amp;'Pairings NB'!G1686&amp;"-"&amp;'Pairings NB'!F1686</f>
        <v/>
      </c>
      <c r="F380" s="11">
        <f>IFERROR(VLOOKUP('Pairings NB'!$M$1686,Instructores!$A:$D,2,FALSE),"")</f>
        <v/>
      </c>
      <c r="G380" s="11">
        <f>'Pairings NB'!$M$1686</f>
        <v/>
      </c>
      <c r="H380" s="11">
        <f>IFERROR(VLOOKUP('Pairings NB'!$M$1686,Instructores!$A:$D,4,FALSE),"")</f>
        <v/>
      </c>
      <c r="I380" s="11">
        <f>'Pairings NB'!$O$1686</f>
        <v/>
      </c>
      <c r="J380" s="11">
        <f>'Pairings NB'!J1686</f>
        <v/>
      </c>
      <c r="K380" s="11">
        <f>IFERROR(VLOOKUP('Pairings NB'!$M$1686,Instructores!$A:$D,3,FALSE),"")</f>
        <v/>
      </c>
      <c r="L380" s="11">
        <f>IF('Pairings NB'!J1686=320,4,3)</f>
        <v/>
      </c>
      <c r="M380" s="11">
        <f>'Pairings NB'!$N$1686</f>
        <v/>
      </c>
    </row>
    <row r="381">
      <c r="A381" s="11">
        <f>'Pairings NB'!B1691</f>
        <v/>
      </c>
      <c r="B381" s="11">
        <f>'Pairings NB'!C1691</f>
        <v/>
      </c>
      <c r="C381" s="11">
        <f>'Pairings NB'!D1691</f>
        <v/>
      </c>
      <c r="D381" s="11">
        <f>'Pairings NB'!E1691&amp;"/"&amp;'Pairings NB'!E1692</f>
        <v/>
      </c>
      <c r="E381" s="11">
        <f>'Pairings NB'!F1691&amp;"-"&amp;'Pairings NB'!G1691&amp;"-"&amp;'Pairings NB'!F1691</f>
        <v/>
      </c>
      <c r="F381" s="11">
        <f>IFERROR(VLOOKUP('Pairings NB'!$M$1691,Instructores!$A:$D,2,FALSE),"")</f>
        <v/>
      </c>
      <c r="G381" s="11">
        <f>'Pairings NB'!$M$1691</f>
        <v/>
      </c>
      <c r="H381" s="11">
        <f>IFERROR(VLOOKUP('Pairings NB'!$M$1691,Instructores!$A:$D,4,FALSE),"")</f>
        <v/>
      </c>
      <c r="I381" s="11">
        <f>'Pairings NB'!$O$1691</f>
        <v/>
      </c>
      <c r="J381" s="11">
        <f>'Pairings NB'!J1691</f>
        <v/>
      </c>
      <c r="K381" s="11">
        <f>IFERROR(VLOOKUP('Pairings NB'!$M$1691,Instructores!$A:$D,3,FALSE),"")</f>
        <v/>
      </c>
      <c r="L381" s="11">
        <f>IF('Pairings NB'!J1691=320,4,3)</f>
        <v/>
      </c>
      <c r="M381" s="11">
        <f>'Pairings NB'!$N$1691</f>
        <v/>
      </c>
    </row>
    <row r="382">
      <c r="A382" s="11">
        <f>'Pairings NB'!B1696</f>
        <v/>
      </c>
      <c r="B382" s="11">
        <f>'Pairings NB'!C1696</f>
        <v/>
      </c>
      <c r="C382" s="11">
        <f>'Pairings NB'!D1696</f>
        <v/>
      </c>
      <c r="D382" s="11">
        <f>'Pairings NB'!E1696&amp;"/"&amp;'Pairings NB'!E1697</f>
        <v/>
      </c>
      <c r="E382" s="11">
        <f>'Pairings NB'!F1696&amp;"-"&amp;'Pairings NB'!G1696&amp;"-"&amp;'Pairings NB'!F1696</f>
        <v/>
      </c>
      <c r="F382" s="11">
        <f>IFERROR(VLOOKUP('Pairings NB'!$M$1696,Instructores!$A:$D,2,FALSE),"")</f>
        <v/>
      </c>
      <c r="G382" s="11">
        <f>'Pairings NB'!$M$1696</f>
        <v/>
      </c>
      <c r="H382" s="11">
        <f>IFERROR(VLOOKUP('Pairings NB'!$M$1696,Instructores!$A:$D,4,FALSE),"")</f>
        <v/>
      </c>
      <c r="I382" s="11">
        <f>'Pairings NB'!$O$1696</f>
        <v/>
      </c>
      <c r="J382" s="11">
        <f>'Pairings NB'!J1696</f>
        <v/>
      </c>
      <c r="K382" s="11">
        <f>IFERROR(VLOOKUP('Pairings NB'!$M$1696,Instructores!$A:$D,3,FALSE),"")</f>
        <v/>
      </c>
      <c r="L382" s="11">
        <f>IF('Pairings NB'!J1696=320,4,3)</f>
        <v/>
      </c>
      <c r="M382" s="11">
        <f>'Pairings NB'!$N$1696</f>
        <v/>
      </c>
    </row>
    <row r="383">
      <c r="A383" s="11">
        <f>'Pairings NB'!B1701</f>
        <v/>
      </c>
      <c r="B383" s="11">
        <f>'Pairings NB'!C1701</f>
        <v/>
      </c>
      <c r="C383" s="11">
        <f>'Pairings NB'!D1701</f>
        <v/>
      </c>
      <c r="D383" s="11">
        <f>'Pairings NB'!E1701&amp;"/"&amp;'Pairings NB'!E1702</f>
        <v/>
      </c>
      <c r="E383" s="11">
        <f>'Pairings NB'!F1701&amp;"-"&amp;'Pairings NB'!G1701&amp;"-"&amp;'Pairings NB'!F1701</f>
        <v/>
      </c>
      <c r="F383" s="11">
        <f>IFERROR(VLOOKUP('Pairings NB'!$M$1701,Instructores!$A:$D,2,FALSE),"")</f>
        <v/>
      </c>
      <c r="G383" s="11">
        <f>'Pairings NB'!$M$1701</f>
        <v/>
      </c>
      <c r="H383" s="11">
        <f>IFERROR(VLOOKUP('Pairings NB'!$M$1701,Instructores!$A:$D,4,FALSE),"")</f>
        <v/>
      </c>
      <c r="I383" s="11">
        <f>'Pairings NB'!$O$1701</f>
        <v/>
      </c>
      <c r="J383" s="11">
        <f>'Pairings NB'!J1701</f>
        <v/>
      </c>
      <c r="K383" s="11">
        <f>IFERROR(VLOOKUP('Pairings NB'!$M$1701,Instructores!$A:$D,3,FALSE),"")</f>
        <v/>
      </c>
      <c r="L383" s="11">
        <f>IF('Pairings NB'!J1701=320,4,3)</f>
        <v/>
      </c>
      <c r="M383" s="11">
        <f>'Pairings NB'!$N$1701</f>
        <v/>
      </c>
    </row>
    <row r="384">
      <c r="A384" s="11">
        <f>'Pairings NB'!B1703</f>
        <v/>
      </c>
      <c r="B384" s="11">
        <f>'Pairings NB'!C1703</f>
        <v/>
      </c>
      <c r="C384" s="11">
        <f>'Pairings NB'!D1703</f>
        <v/>
      </c>
      <c r="D384" s="11">
        <f>'Pairings NB'!E1703&amp;"/"&amp;'Pairings NB'!E1704</f>
        <v/>
      </c>
      <c r="E384" s="11">
        <f>'Pairings NB'!F1703&amp;"-"&amp;'Pairings NB'!G1703&amp;"-"&amp;'Pairings NB'!F1703</f>
        <v/>
      </c>
      <c r="F384" s="11">
        <f>IFERROR(VLOOKUP('Pairings NB'!$M$1701,Instructores!$A:$D,2,FALSE),"")</f>
        <v/>
      </c>
      <c r="G384" s="11">
        <f>'Pairings NB'!$M$1701</f>
        <v/>
      </c>
      <c r="H384" s="11">
        <f>IFERROR(VLOOKUP('Pairings NB'!$M$1701,Instructores!$A:$D,4,FALSE),"")</f>
        <v/>
      </c>
      <c r="I384" s="11">
        <f>'Pairings NB'!$O$1701</f>
        <v/>
      </c>
      <c r="J384" s="11">
        <f>'Pairings NB'!J1703</f>
        <v/>
      </c>
      <c r="K384" s="11">
        <f>IFERROR(VLOOKUP('Pairings NB'!$M$1701,Instructores!$A:$D,3,FALSE),"")</f>
        <v/>
      </c>
      <c r="L384" s="11">
        <f>IF('Pairings NB'!J1703=320,4,3)</f>
        <v/>
      </c>
      <c r="M384" s="11">
        <f>'Pairings NB'!$N$1701</f>
        <v/>
      </c>
    </row>
    <row r="385">
      <c r="A385" s="11">
        <f>'Pairings NB'!B1708</f>
        <v/>
      </c>
      <c r="B385" s="11">
        <f>'Pairings NB'!C1708</f>
        <v/>
      </c>
      <c r="C385" s="11">
        <f>'Pairings NB'!D1708</f>
        <v/>
      </c>
      <c r="D385" s="11">
        <f>'Pairings NB'!E1708&amp;"/"&amp;'Pairings NB'!E1709</f>
        <v/>
      </c>
      <c r="E385" s="11">
        <f>'Pairings NB'!F1708&amp;"-"&amp;'Pairings NB'!G1708&amp;"-"&amp;'Pairings NB'!F1708</f>
        <v/>
      </c>
      <c r="F385" s="11">
        <f>IFERROR(VLOOKUP('Pairings NB'!$M$1708,Instructores!$A:$D,2,FALSE),"")</f>
        <v/>
      </c>
      <c r="G385" s="11">
        <f>'Pairings NB'!$M$1708</f>
        <v/>
      </c>
      <c r="H385" s="11">
        <f>IFERROR(VLOOKUP('Pairings NB'!$M$1708,Instructores!$A:$D,4,FALSE),"")</f>
        <v/>
      </c>
      <c r="I385" s="11">
        <f>'Pairings NB'!$O$1708</f>
        <v/>
      </c>
      <c r="J385" s="11">
        <f>'Pairings NB'!J1708</f>
        <v/>
      </c>
      <c r="K385" s="11">
        <f>IFERROR(VLOOKUP('Pairings NB'!$M$1708,Instructores!$A:$D,3,FALSE),"")</f>
        <v/>
      </c>
      <c r="L385" s="11">
        <f>IF('Pairings NB'!J1708=320,4,3)</f>
        <v/>
      </c>
      <c r="M385" s="11">
        <f>'Pairings NB'!$N$1708</f>
        <v/>
      </c>
    </row>
    <row r="386">
      <c r="A386" s="11">
        <f>'Pairings NB'!B1710</f>
        <v/>
      </c>
      <c r="B386" s="11">
        <f>'Pairings NB'!C1710</f>
        <v/>
      </c>
      <c r="C386" s="11">
        <f>'Pairings NB'!D1710</f>
        <v/>
      </c>
      <c r="D386" s="11">
        <f>'Pairings NB'!E1710&amp;"/"&amp;'Pairings NB'!E1711</f>
        <v/>
      </c>
      <c r="E386" s="11">
        <f>'Pairings NB'!F1710&amp;"-"&amp;'Pairings NB'!G1710&amp;"-"&amp;'Pairings NB'!F1710</f>
        <v/>
      </c>
      <c r="F386" s="11">
        <f>IFERROR(VLOOKUP('Pairings NB'!$M$1708,Instructores!$A:$D,2,FALSE),"")</f>
        <v/>
      </c>
      <c r="G386" s="11">
        <f>'Pairings NB'!$M$1708</f>
        <v/>
      </c>
      <c r="H386" s="11">
        <f>IFERROR(VLOOKUP('Pairings NB'!$M$1708,Instructores!$A:$D,4,FALSE),"")</f>
        <v/>
      </c>
      <c r="I386" s="11">
        <f>'Pairings NB'!$O$1708</f>
        <v/>
      </c>
      <c r="J386" s="11">
        <f>'Pairings NB'!J1710</f>
        <v/>
      </c>
      <c r="K386" s="11">
        <f>IFERROR(VLOOKUP('Pairings NB'!$M$1708,Instructores!$A:$D,3,FALSE),"")</f>
        <v/>
      </c>
      <c r="L386" s="11">
        <f>IF('Pairings NB'!J1710=320,4,3)</f>
        <v/>
      </c>
      <c r="M386" s="11">
        <f>'Pairings NB'!$N$1708</f>
        <v/>
      </c>
    </row>
    <row r="387">
      <c r="A387" s="11">
        <f>'Pairings NB'!B1715</f>
        <v/>
      </c>
      <c r="B387" s="11">
        <f>'Pairings NB'!C1715</f>
        <v/>
      </c>
      <c r="C387" s="11">
        <f>'Pairings NB'!D1715</f>
        <v/>
      </c>
      <c r="D387" s="11">
        <f>'Pairings NB'!E1715&amp;"/"&amp;'Pairings NB'!E1716</f>
        <v/>
      </c>
      <c r="E387" s="11">
        <f>'Pairings NB'!F1715&amp;"-"&amp;'Pairings NB'!G1715&amp;"-"&amp;'Pairings NB'!F1715</f>
        <v/>
      </c>
      <c r="F387" s="11">
        <f>IFERROR(VLOOKUP('Pairings NB'!$M$1715,Instructores!$A:$D,2,FALSE),"")</f>
        <v/>
      </c>
      <c r="G387" s="11">
        <f>'Pairings NB'!$M$1715</f>
        <v/>
      </c>
      <c r="H387" s="11">
        <f>IFERROR(VLOOKUP('Pairings NB'!$M$1715,Instructores!$A:$D,4,FALSE),"")</f>
        <v/>
      </c>
      <c r="I387" s="11">
        <f>'Pairings NB'!$O$1715</f>
        <v/>
      </c>
      <c r="J387" s="11">
        <f>'Pairings NB'!J1715</f>
        <v/>
      </c>
      <c r="K387" s="11">
        <f>IFERROR(VLOOKUP('Pairings NB'!$M$1715,Instructores!$A:$D,3,FALSE),"")</f>
        <v/>
      </c>
      <c r="L387" s="11">
        <f>IF('Pairings NB'!J1715=320,4,3)</f>
        <v/>
      </c>
      <c r="M387" s="11">
        <f>'Pairings NB'!$N$1715</f>
        <v/>
      </c>
    </row>
    <row r="388">
      <c r="A388" s="11">
        <f>'Pairings NB'!B1720</f>
        <v/>
      </c>
      <c r="B388" s="11">
        <f>'Pairings NB'!C1720</f>
        <v/>
      </c>
      <c r="C388" s="11">
        <f>'Pairings NB'!D1720</f>
        <v/>
      </c>
      <c r="D388" s="11">
        <f>'Pairings NB'!E1720&amp;"/"&amp;'Pairings NB'!E1721</f>
        <v/>
      </c>
      <c r="E388" s="11">
        <f>'Pairings NB'!F1720&amp;"-"&amp;'Pairings NB'!G1720&amp;"-"&amp;'Pairings NB'!F1720</f>
        <v/>
      </c>
      <c r="F388" s="11">
        <f>IFERROR(VLOOKUP('Pairings NB'!$M$1720,Instructores!$A:$D,2,FALSE),"")</f>
        <v/>
      </c>
      <c r="G388" s="11">
        <f>'Pairings NB'!$M$1720</f>
        <v/>
      </c>
      <c r="H388" s="11">
        <f>IFERROR(VLOOKUP('Pairings NB'!$M$1720,Instructores!$A:$D,4,FALSE),"")</f>
        <v/>
      </c>
      <c r="I388" s="11">
        <f>'Pairings NB'!$O$1720</f>
        <v/>
      </c>
      <c r="J388" s="11">
        <f>'Pairings NB'!J1720</f>
        <v/>
      </c>
      <c r="K388" s="11">
        <f>IFERROR(VLOOKUP('Pairings NB'!$M$1720,Instructores!$A:$D,3,FALSE),"")</f>
        <v/>
      </c>
      <c r="L388" s="11">
        <f>IF('Pairings NB'!J1720=320,4,3)</f>
        <v/>
      </c>
      <c r="M388" s="11">
        <f>'Pairings NB'!$N$1720</f>
        <v/>
      </c>
    </row>
    <row r="389">
      <c r="A389" s="11">
        <f>'Pairings NB'!B1725</f>
        <v/>
      </c>
      <c r="B389" s="11">
        <f>'Pairings NB'!C1725</f>
        <v/>
      </c>
      <c r="C389" s="11">
        <f>'Pairings NB'!D1725</f>
        <v/>
      </c>
      <c r="D389" s="11">
        <f>'Pairings NB'!E1725&amp;"/"&amp;'Pairings NB'!E1726</f>
        <v/>
      </c>
      <c r="E389" s="11">
        <f>'Pairings NB'!F1725&amp;"-"&amp;'Pairings NB'!G1725&amp;"-"&amp;'Pairings NB'!F1725</f>
        <v/>
      </c>
      <c r="F389" s="11">
        <f>IFERROR(VLOOKUP('Pairings NB'!$M$1725,Instructores!$A:$D,2,FALSE),"")</f>
        <v/>
      </c>
      <c r="G389" s="11">
        <f>'Pairings NB'!$M$1725</f>
        <v/>
      </c>
      <c r="H389" s="11">
        <f>IFERROR(VLOOKUP('Pairings NB'!$M$1725,Instructores!$A:$D,4,FALSE),"")</f>
        <v/>
      </c>
      <c r="I389" s="11">
        <f>'Pairings NB'!$O$1725</f>
        <v/>
      </c>
      <c r="J389" s="11">
        <f>'Pairings NB'!J1725</f>
        <v/>
      </c>
      <c r="K389" s="11">
        <f>IFERROR(VLOOKUP('Pairings NB'!$M$1725,Instructores!$A:$D,3,FALSE),"")</f>
        <v/>
      </c>
      <c r="L389" s="11">
        <f>IF('Pairings NB'!J1725=320,4,3)</f>
        <v/>
      </c>
      <c r="M389" s="11">
        <f>'Pairings NB'!$N$1725</f>
        <v/>
      </c>
    </row>
    <row r="390">
      <c r="A390" s="11">
        <f>'Pairings NB'!B1730</f>
        <v/>
      </c>
      <c r="B390" s="11">
        <f>'Pairings NB'!C1730</f>
        <v/>
      </c>
      <c r="C390" s="11">
        <f>'Pairings NB'!D1730</f>
        <v/>
      </c>
      <c r="D390" s="11">
        <f>'Pairings NB'!E1730&amp;"/"&amp;'Pairings NB'!E1731</f>
        <v/>
      </c>
      <c r="E390" s="11">
        <f>'Pairings NB'!F1730&amp;"-"&amp;'Pairings NB'!G1730&amp;"-"&amp;'Pairings NB'!F1730</f>
        <v/>
      </c>
      <c r="F390" s="11">
        <f>IFERROR(VLOOKUP('Pairings NB'!$M$1730,Instructores!$A:$D,2,FALSE),"")</f>
        <v/>
      </c>
      <c r="G390" s="11">
        <f>'Pairings NB'!$M$1730</f>
        <v/>
      </c>
      <c r="H390" s="11">
        <f>IFERROR(VLOOKUP('Pairings NB'!$M$1730,Instructores!$A:$D,4,FALSE),"")</f>
        <v/>
      </c>
      <c r="I390" s="11">
        <f>'Pairings NB'!$O$1730</f>
        <v/>
      </c>
      <c r="J390" s="11">
        <f>'Pairings NB'!J1730</f>
        <v/>
      </c>
      <c r="K390" s="11">
        <f>IFERROR(VLOOKUP('Pairings NB'!$M$1730,Instructores!$A:$D,3,FALSE),"")</f>
        <v/>
      </c>
      <c r="L390" s="11">
        <f>IF('Pairings NB'!J1730=320,4,3)</f>
        <v/>
      </c>
      <c r="M390" s="11">
        <f>'Pairings NB'!$N$1730</f>
        <v/>
      </c>
    </row>
    <row r="391">
      <c r="A391" s="11">
        <f>'Pairings NB'!B1735</f>
        <v/>
      </c>
      <c r="B391" s="11">
        <f>'Pairings NB'!C1735</f>
        <v/>
      </c>
      <c r="C391" s="11">
        <f>'Pairings NB'!D1735</f>
        <v/>
      </c>
      <c r="D391" s="11">
        <f>'Pairings NB'!E1735&amp;"/"&amp;'Pairings NB'!E1736</f>
        <v/>
      </c>
      <c r="E391" s="11">
        <f>'Pairings NB'!F1735&amp;"-"&amp;'Pairings NB'!G1735&amp;"-"&amp;'Pairings NB'!F1735</f>
        <v/>
      </c>
      <c r="F391" s="11">
        <f>IFERROR(VLOOKUP('Pairings NB'!$M$1735,Instructores!$A:$D,2,FALSE),"")</f>
        <v/>
      </c>
      <c r="G391" s="11">
        <f>'Pairings NB'!$M$1735</f>
        <v/>
      </c>
      <c r="H391" s="11">
        <f>IFERROR(VLOOKUP('Pairings NB'!$M$1735,Instructores!$A:$D,4,FALSE),"")</f>
        <v/>
      </c>
      <c r="I391" s="11">
        <f>'Pairings NB'!$O$1735</f>
        <v/>
      </c>
      <c r="J391" s="11">
        <f>'Pairings NB'!J1735</f>
        <v/>
      </c>
      <c r="K391" s="11">
        <f>IFERROR(VLOOKUP('Pairings NB'!$M$1735,Instructores!$A:$D,3,FALSE),"")</f>
        <v/>
      </c>
      <c r="L391" s="11">
        <f>IF('Pairings NB'!J1735=320,4,3)</f>
        <v/>
      </c>
      <c r="M391" s="11">
        <f>'Pairings NB'!$N$1735</f>
        <v/>
      </c>
    </row>
    <row r="392">
      <c r="A392" s="11">
        <f>'Pairings NB'!B1740</f>
        <v/>
      </c>
      <c r="B392" s="11">
        <f>'Pairings NB'!C1740</f>
        <v/>
      </c>
      <c r="C392" s="11">
        <f>'Pairings NB'!D1740</f>
        <v/>
      </c>
      <c r="D392" s="11">
        <f>'Pairings NB'!E1740&amp;"/"&amp;'Pairings NB'!E1741</f>
        <v/>
      </c>
      <c r="E392" s="11">
        <f>'Pairings NB'!F1740&amp;"-"&amp;'Pairings NB'!G1740&amp;"-"&amp;'Pairings NB'!F1740</f>
        <v/>
      </c>
      <c r="F392" s="11">
        <f>IFERROR(VLOOKUP('Pairings NB'!$M$1740,Instructores!$A:$D,2,FALSE),"")</f>
        <v/>
      </c>
      <c r="G392" s="11">
        <f>'Pairings NB'!$M$1740</f>
        <v/>
      </c>
      <c r="H392" s="11">
        <f>IFERROR(VLOOKUP('Pairings NB'!$M$1740,Instructores!$A:$D,4,FALSE),"")</f>
        <v/>
      </c>
      <c r="I392" s="11">
        <f>'Pairings NB'!$O$1740</f>
        <v/>
      </c>
      <c r="J392" s="11">
        <f>'Pairings NB'!J1740</f>
        <v/>
      </c>
      <c r="K392" s="11">
        <f>IFERROR(VLOOKUP('Pairings NB'!$M$1740,Instructores!$A:$D,3,FALSE),"")</f>
        <v/>
      </c>
      <c r="L392" s="11">
        <f>IF('Pairings NB'!J1740=320,4,3)</f>
        <v/>
      </c>
      <c r="M392" s="11">
        <f>'Pairings NB'!$N$1740</f>
        <v/>
      </c>
    </row>
    <row r="393">
      <c r="A393" s="11">
        <f>'Pairings NB'!B1745</f>
        <v/>
      </c>
      <c r="B393" s="11">
        <f>'Pairings NB'!C1745</f>
        <v/>
      </c>
      <c r="C393" s="11">
        <f>'Pairings NB'!D1745</f>
        <v/>
      </c>
      <c r="D393" s="11">
        <f>'Pairings NB'!E1745&amp;"/"&amp;'Pairings NB'!E1746</f>
        <v/>
      </c>
      <c r="E393" s="11">
        <f>'Pairings NB'!F1745&amp;"-"&amp;'Pairings NB'!G1745&amp;"-"&amp;'Pairings NB'!F1745</f>
        <v/>
      </c>
      <c r="F393" s="11">
        <f>IFERROR(VLOOKUP('Pairings NB'!$M$1745,Instructores!$A:$D,2,FALSE),"")</f>
        <v/>
      </c>
      <c r="G393" s="11">
        <f>'Pairings NB'!$M$1745</f>
        <v/>
      </c>
      <c r="H393" s="11">
        <f>IFERROR(VLOOKUP('Pairings NB'!$M$1745,Instructores!$A:$D,4,FALSE),"")</f>
        <v/>
      </c>
      <c r="I393" s="11">
        <f>'Pairings NB'!$O$1745</f>
        <v/>
      </c>
      <c r="J393" s="11">
        <f>'Pairings NB'!J1745</f>
        <v/>
      </c>
      <c r="K393" s="11">
        <f>IFERROR(VLOOKUP('Pairings NB'!$M$1745,Instructores!$A:$D,3,FALSE),"")</f>
        <v/>
      </c>
      <c r="L393" s="11">
        <f>IF('Pairings NB'!J1745=320,4,3)</f>
        <v/>
      </c>
      <c r="M393" s="11">
        <f>'Pairings NB'!$N$1745</f>
        <v/>
      </c>
    </row>
    <row r="394">
      <c r="A394" s="11">
        <f>'Pairings NB'!B1750</f>
        <v/>
      </c>
      <c r="B394" s="11">
        <f>'Pairings NB'!C1750</f>
        <v/>
      </c>
      <c r="C394" s="11">
        <f>'Pairings NB'!D1750</f>
        <v/>
      </c>
      <c r="D394" s="11">
        <f>'Pairings NB'!E1750&amp;"/"&amp;'Pairings NB'!E1751</f>
        <v/>
      </c>
      <c r="E394" s="11">
        <f>'Pairings NB'!F1750&amp;"-"&amp;'Pairings NB'!G1750&amp;"-"&amp;'Pairings NB'!F1750</f>
        <v/>
      </c>
      <c r="F394" s="11">
        <f>IFERROR(VLOOKUP('Pairings NB'!$M$1750,Instructores!$A:$D,2,FALSE),"")</f>
        <v/>
      </c>
      <c r="G394" s="11">
        <f>'Pairings NB'!$M$1750</f>
        <v/>
      </c>
      <c r="H394" s="11">
        <f>IFERROR(VLOOKUP('Pairings NB'!$M$1750,Instructores!$A:$D,4,FALSE),"")</f>
        <v/>
      </c>
      <c r="I394" s="11">
        <f>'Pairings NB'!$O$1750</f>
        <v/>
      </c>
      <c r="J394" s="11">
        <f>'Pairings NB'!J1750</f>
        <v/>
      </c>
      <c r="K394" s="11">
        <f>IFERROR(VLOOKUP('Pairings NB'!$M$1750,Instructores!$A:$D,3,FALSE),"")</f>
        <v/>
      </c>
      <c r="L394" s="11">
        <f>IF('Pairings NB'!J1750=320,4,3)</f>
        <v/>
      </c>
      <c r="M394" s="11">
        <f>'Pairings NB'!$N$1750</f>
        <v/>
      </c>
    </row>
    <row r="395">
      <c r="A395" s="11">
        <f>'Pairings NB'!B1755</f>
        <v/>
      </c>
      <c r="B395" s="11">
        <f>'Pairings NB'!C1755</f>
        <v/>
      </c>
      <c r="C395" s="11">
        <f>'Pairings NB'!D1755</f>
        <v/>
      </c>
      <c r="D395" s="11">
        <f>'Pairings NB'!E1755&amp;"/"&amp;'Pairings NB'!E1756</f>
        <v/>
      </c>
      <c r="E395" s="11">
        <f>'Pairings NB'!F1755&amp;"-"&amp;'Pairings NB'!G1755&amp;"-"&amp;'Pairings NB'!F1755</f>
        <v/>
      </c>
      <c r="F395" s="11">
        <f>IFERROR(VLOOKUP('Pairings NB'!$M$1755,Instructores!$A:$D,2,FALSE),"")</f>
        <v/>
      </c>
      <c r="G395" s="11">
        <f>'Pairings NB'!$M$1755</f>
        <v/>
      </c>
      <c r="H395" s="11">
        <f>IFERROR(VLOOKUP('Pairings NB'!$M$1755,Instructores!$A:$D,4,FALSE),"")</f>
        <v/>
      </c>
      <c r="I395" s="11">
        <f>'Pairings NB'!$O$1755</f>
        <v/>
      </c>
      <c r="J395" s="11">
        <f>'Pairings NB'!J1755</f>
        <v/>
      </c>
      <c r="K395" s="11">
        <f>IFERROR(VLOOKUP('Pairings NB'!$M$1755,Instructores!$A:$D,3,FALSE),"")</f>
        <v/>
      </c>
      <c r="L395" s="11">
        <f>IF('Pairings NB'!J1755=320,4,3)</f>
        <v/>
      </c>
      <c r="M395" s="11">
        <f>'Pairings NB'!$N$1755</f>
        <v/>
      </c>
    </row>
    <row r="396">
      <c r="A396" s="11">
        <f>'Pairings NB'!B1760</f>
        <v/>
      </c>
      <c r="B396" s="11">
        <f>'Pairings NB'!C1760</f>
        <v/>
      </c>
      <c r="C396" s="11">
        <f>'Pairings NB'!D1760</f>
        <v/>
      </c>
      <c r="D396" s="11">
        <f>'Pairings NB'!E1760&amp;"/"&amp;'Pairings NB'!E1761</f>
        <v/>
      </c>
      <c r="E396" s="11">
        <f>'Pairings NB'!F1760&amp;"-"&amp;'Pairings NB'!G1760&amp;"-"&amp;'Pairings NB'!F1760</f>
        <v/>
      </c>
      <c r="F396" s="11">
        <f>IFERROR(VLOOKUP('Pairings NB'!$M$1760,Instructores!$A:$D,2,FALSE),"")</f>
        <v/>
      </c>
      <c r="G396" s="11">
        <f>'Pairings NB'!$M$1760</f>
        <v/>
      </c>
      <c r="H396" s="11">
        <f>IFERROR(VLOOKUP('Pairings NB'!$M$1760,Instructores!$A:$D,4,FALSE),"")</f>
        <v/>
      </c>
      <c r="I396" s="11">
        <f>'Pairings NB'!$O$1760</f>
        <v/>
      </c>
      <c r="J396" s="11">
        <f>'Pairings NB'!J1760</f>
        <v/>
      </c>
      <c r="K396" s="11">
        <f>IFERROR(VLOOKUP('Pairings NB'!$M$1760,Instructores!$A:$D,3,FALSE),"")</f>
        <v/>
      </c>
      <c r="L396" s="11">
        <f>IF('Pairings NB'!J1760=320,4,3)</f>
        <v/>
      </c>
      <c r="M396" s="11">
        <f>'Pairings NB'!$N$1760</f>
        <v/>
      </c>
    </row>
    <row r="397">
      <c r="A397" s="11">
        <f>'Pairings NB'!B1762</f>
        <v/>
      </c>
      <c r="B397" s="11">
        <f>'Pairings NB'!C1762</f>
        <v/>
      </c>
      <c r="C397" s="11">
        <f>'Pairings NB'!D1762</f>
        <v/>
      </c>
      <c r="D397" s="11">
        <f>'Pairings NB'!E1762&amp;"/"&amp;'Pairings NB'!E1763</f>
        <v/>
      </c>
      <c r="E397" s="11">
        <f>'Pairings NB'!F1762&amp;"-"&amp;'Pairings NB'!G1762&amp;"-"&amp;'Pairings NB'!F1762</f>
        <v/>
      </c>
      <c r="F397" s="11">
        <f>IFERROR(VLOOKUP('Pairings NB'!$M$1760,Instructores!$A:$D,2,FALSE),"")</f>
        <v/>
      </c>
      <c r="G397" s="11">
        <f>'Pairings NB'!$M$1760</f>
        <v/>
      </c>
      <c r="H397" s="11">
        <f>IFERROR(VLOOKUP('Pairings NB'!$M$1760,Instructores!$A:$D,4,FALSE),"")</f>
        <v/>
      </c>
      <c r="I397" s="11">
        <f>'Pairings NB'!$O$1760</f>
        <v/>
      </c>
      <c r="J397" s="11">
        <f>'Pairings NB'!J1762</f>
        <v/>
      </c>
      <c r="K397" s="11">
        <f>IFERROR(VLOOKUP('Pairings NB'!$M$1760,Instructores!$A:$D,3,FALSE),"")</f>
        <v/>
      </c>
      <c r="L397" s="11">
        <f>IF('Pairings NB'!J1762=320,4,3)</f>
        <v/>
      </c>
      <c r="M397" s="11">
        <f>'Pairings NB'!$N$1760</f>
        <v/>
      </c>
    </row>
    <row r="398">
      <c r="A398" s="11">
        <f>'Pairings NB'!B1767</f>
        <v/>
      </c>
      <c r="B398" s="11">
        <f>'Pairings NB'!C1767</f>
        <v/>
      </c>
      <c r="C398" s="11">
        <f>'Pairings NB'!D1767</f>
        <v/>
      </c>
      <c r="D398" s="11">
        <f>'Pairings NB'!E1767&amp;"/"&amp;'Pairings NB'!E1768</f>
        <v/>
      </c>
      <c r="E398" s="11">
        <f>'Pairings NB'!F1767&amp;"-"&amp;'Pairings NB'!G1767&amp;"-"&amp;'Pairings NB'!F1767</f>
        <v/>
      </c>
      <c r="F398" s="11">
        <f>IFERROR(VLOOKUP('Pairings NB'!$M$1767,Instructores!$A:$D,2,FALSE),"")</f>
        <v/>
      </c>
      <c r="G398" s="11">
        <f>'Pairings NB'!$M$1767</f>
        <v/>
      </c>
      <c r="H398" s="11">
        <f>IFERROR(VLOOKUP('Pairings NB'!$M$1767,Instructores!$A:$D,4,FALSE),"")</f>
        <v/>
      </c>
      <c r="I398" s="11">
        <f>'Pairings NB'!$O$1767</f>
        <v/>
      </c>
      <c r="J398" s="11">
        <f>'Pairings NB'!J1767</f>
        <v/>
      </c>
      <c r="K398" s="11">
        <f>IFERROR(VLOOKUP('Pairings NB'!$M$1767,Instructores!$A:$D,3,FALSE),"")</f>
        <v/>
      </c>
      <c r="L398" s="11">
        <f>IF('Pairings NB'!J1767=320,4,3)</f>
        <v/>
      </c>
      <c r="M398" s="11">
        <f>'Pairings NB'!$N$1767</f>
        <v/>
      </c>
    </row>
    <row r="399">
      <c r="A399" s="11">
        <f>'Pairings NB'!B1769</f>
        <v/>
      </c>
      <c r="B399" s="11">
        <f>'Pairings NB'!C1769</f>
        <v/>
      </c>
      <c r="C399" s="11">
        <f>'Pairings NB'!D1769</f>
        <v/>
      </c>
      <c r="D399" s="11">
        <f>'Pairings NB'!E1769&amp;"/"&amp;'Pairings NB'!E1770</f>
        <v/>
      </c>
      <c r="E399" s="11">
        <f>'Pairings NB'!F1769&amp;"-"&amp;'Pairings NB'!G1769&amp;"-"&amp;'Pairings NB'!F1769</f>
        <v/>
      </c>
      <c r="F399" s="11">
        <f>IFERROR(VLOOKUP('Pairings NB'!$M$1767,Instructores!$A:$D,2,FALSE),"")</f>
        <v/>
      </c>
      <c r="G399" s="11">
        <f>'Pairings NB'!$M$1767</f>
        <v/>
      </c>
      <c r="H399" s="11">
        <f>IFERROR(VLOOKUP('Pairings NB'!$M$1767,Instructores!$A:$D,4,FALSE),"")</f>
        <v/>
      </c>
      <c r="I399" s="11">
        <f>'Pairings NB'!$O$1767</f>
        <v/>
      </c>
      <c r="J399" s="11">
        <f>'Pairings NB'!J1769</f>
        <v/>
      </c>
      <c r="K399" s="11">
        <f>IFERROR(VLOOKUP('Pairings NB'!$M$1767,Instructores!$A:$D,3,FALSE),"")</f>
        <v/>
      </c>
      <c r="L399" s="11">
        <f>IF('Pairings NB'!J1769=320,4,3)</f>
        <v/>
      </c>
      <c r="M399" s="11">
        <f>'Pairings NB'!$N$1767</f>
        <v/>
      </c>
    </row>
    <row r="400">
      <c r="A400" s="11">
        <f>'Pairings NB'!B1774</f>
        <v/>
      </c>
      <c r="B400" s="11">
        <f>'Pairings NB'!C1774</f>
        <v/>
      </c>
      <c r="C400" s="11">
        <f>'Pairings NB'!D1774</f>
        <v/>
      </c>
      <c r="D400" s="11">
        <f>'Pairings NB'!E1774&amp;"/"&amp;'Pairings NB'!E1775</f>
        <v/>
      </c>
      <c r="E400" s="11">
        <f>'Pairings NB'!F1774&amp;"-"&amp;'Pairings NB'!G1774&amp;"-"&amp;'Pairings NB'!F1774</f>
        <v/>
      </c>
      <c r="F400" s="11">
        <f>IFERROR(VLOOKUP('Pairings NB'!$M$1774,Instructores!$A:$D,2,FALSE),"")</f>
        <v/>
      </c>
      <c r="G400" s="11">
        <f>'Pairings NB'!$M$1774</f>
        <v/>
      </c>
      <c r="H400" s="11">
        <f>IFERROR(VLOOKUP('Pairings NB'!$M$1774,Instructores!$A:$D,4,FALSE),"")</f>
        <v/>
      </c>
      <c r="I400" s="11">
        <f>'Pairings NB'!$O$1774</f>
        <v/>
      </c>
      <c r="J400" s="11">
        <f>'Pairings NB'!J1774</f>
        <v/>
      </c>
      <c r="K400" s="11">
        <f>IFERROR(VLOOKUP('Pairings NB'!$M$1774,Instructores!$A:$D,3,FALSE),"")</f>
        <v/>
      </c>
      <c r="L400" s="11">
        <f>IF('Pairings NB'!J1774=320,4,3)</f>
        <v/>
      </c>
      <c r="M400" s="11">
        <f>'Pairings NB'!$N$1774</f>
        <v/>
      </c>
    </row>
    <row r="401">
      <c r="A401" s="11">
        <f>'Pairings NB'!B1779</f>
        <v/>
      </c>
      <c r="B401" s="11">
        <f>'Pairings NB'!C1779</f>
        <v/>
      </c>
      <c r="C401" s="11">
        <f>'Pairings NB'!D1779</f>
        <v/>
      </c>
      <c r="D401" s="11">
        <f>'Pairings NB'!E1779&amp;"/"&amp;'Pairings NB'!E1780</f>
        <v/>
      </c>
      <c r="E401" s="11">
        <f>'Pairings NB'!F1779&amp;"-"&amp;'Pairings NB'!G1779&amp;"-"&amp;'Pairings NB'!F1779</f>
        <v/>
      </c>
      <c r="F401" s="11">
        <f>IFERROR(VLOOKUP('Pairings NB'!$M$1779,Instructores!$A:$D,2,FALSE),"")</f>
        <v/>
      </c>
      <c r="G401" s="11">
        <f>'Pairings NB'!$M$1779</f>
        <v/>
      </c>
      <c r="H401" s="11">
        <f>IFERROR(VLOOKUP('Pairings NB'!$M$1779,Instructores!$A:$D,4,FALSE),"")</f>
        <v/>
      </c>
      <c r="I401" s="11">
        <f>'Pairings NB'!$O$1779</f>
        <v/>
      </c>
      <c r="J401" s="11">
        <f>'Pairings NB'!J1779</f>
        <v/>
      </c>
      <c r="K401" s="11">
        <f>IFERROR(VLOOKUP('Pairings NB'!$M$1779,Instructores!$A:$D,3,FALSE),"")</f>
        <v/>
      </c>
      <c r="L401" s="11">
        <f>IF('Pairings NB'!J1779=320,4,3)</f>
        <v/>
      </c>
      <c r="M401" s="11">
        <f>'Pairings NB'!$N$1779</f>
        <v/>
      </c>
    </row>
    <row r="402">
      <c r="A402" s="11">
        <f>'Pairings NB'!B1781</f>
        <v/>
      </c>
      <c r="B402" s="11">
        <f>'Pairings NB'!C1781</f>
        <v/>
      </c>
      <c r="C402" s="11">
        <f>'Pairings NB'!D1781</f>
        <v/>
      </c>
      <c r="D402" s="11">
        <f>'Pairings NB'!E1781&amp;"/"&amp;'Pairings NB'!E1782</f>
        <v/>
      </c>
      <c r="E402" s="11">
        <f>'Pairings NB'!F1781&amp;"-"&amp;'Pairings NB'!G1781&amp;"-"&amp;'Pairings NB'!F1781</f>
        <v/>
      </c>
      <c r="F402" s="11">
        <f>IFERROR(VLOOKUP('Pairings NB'!$M$1779,Instructores!$A:$D,2,FALSE),"")</f>
        <v/>
      </c>
      <c r="G402" s="11">
        <f>'Pairings NB'!$M$1779</f>
        <v/>
      </c>
      <c r="H402" s="11">
        <f>IFERROR(VLOOKUP('Pairings NB'!$M$1779,Instructores!$A:$D,4,FALSE),"")</f>
        <v/>
      </c>
      <c r="I402" s="11">
        <f>'Pairings NB'!$O$1779</f>
        <v/>
      </c>
      <c r="J402" s="11">
        <f>'Pairings NB'!J1781</f>
        <v/>
      </c>
      <c r="K402" s="11">
        <f>IFERROR(VLOOKUP('Pairings NB'!$M$1779,Instructores!$A:$D,3,FALSE),"")</f>
        <v/>
      </c>
      <c r="L402" s="11">
        <f>IF('Pairings NB'!J1781=320,4,3)</f>
        <v/>
      </c>
      <c r="M402" s="11">
        <f>'Pairings NB'!$N$1779</f>
        <v/>
      </c>
    </row>
    <row r="403">
      <c r="A403" s="11">
        <f>'Pairings NB'!B1786</f>
        <v/>
      </c>
      <c r="B403" s="11">
        <f>'Pairings NB'!C1786</f>
        <v/>
      </c>
      <c r="C403" s="11">
        <f>'Pairings NB'!D1786</f>
        <v/>
      </c>
      <c r="D403" s="11">
        <f>'Pairings NB'!E1786&amp;"/"&amp;'Pairings NB'!E1787</f>
        <v/>
      </c>
      <c r="E403" s="11">
        <f>'Pairings NB'!F1786&amp;"-"&amp;'Pairings NB'!G1786&amp;"-"&amp;'Pairings NB'!F1786</f>
        <v/>
      </c>
      <c r="F403" s="11">
        <f>IFERROR(VLOOKUP('Pairings NB'!$M$1786,Instructores!$A:$D,2,FALSE),"")</f>
        <v/>
      </c>
      <c r="G403" s="11">
        <f>'Pairings NB'!$M$1786</f>
        <v/>
      </c>
      <c r="H403" s="11">
        <f>IFERROR(VLOOKUP('Pairings NB'!$M$1786,Instructores!$A:$D,4,FALSE),"")</f>
        <v/>
      </c>
      <c r="I403" s="11">
        <f>'Pairings NB'!$O$1786</f>
        <v/>
      </c>
      <c r="J403" s="11">
        <f>'Pairings NB'!J1786</f>
        <v/>
      </c>
      <c r="K403" s="11">
        <f>IFERROR(VLOOKUP('Pairings NB'!$M$1786,Instructores!$A:$D,3,FALSE),"")</f>
        <v/>
      </c>
      <c r="L403" s="11">
        <f>IF('Pairings NB'!J1786=320,4,3)</f>
        <v/>
      </c>
      <c r="M403" s="11">
        <f>'Pairings NB'!$N$1786</f>
        <v/>
      </c>
    </row>
    <row r="404">
      <c r="A404" s="11">
        <f>'Pairings NB'!B1791</f>
        <v/>
      </c>
      <c r="B404" s="11">
        <f>'Pairings NB'!C1791</f>
        <v/>
      </c>
      <c r="C404" s="11">
        <f>'Pairings NB'!D1791</f>
        <v/>
      </c>
      <c r="D404" s="11">
        <f>'Pairings NB'!E1791&amp;"/"&amp;'Pairings NB'!E1792</f>
        <v/>
      </c>
      <c r="E404" s="11">
        <f>'Pairings NB'!F1791&amp;"-"&amp;'Pairings NB'!G1791&amp;"-"&amp;'Pairings NB'!F1791</f>
        <v/>
      </c>
      <c r="F404" s="11">
        <f>IFERROR(VLOOKUP('Pairings NB'!$M$1791,Instructores!$A:$D,2,FALSE),"")</f>
        <v/>
      </c>
      <c r="G404" s="11">
        <f>'Pairings NB'!$M$1791</f>
        <v/>
      </c>
      <c r="H404" s="11">
        <f>IFERROR(VLOOKUP('Pairings NB'!$M$1791,Instructores!$A:$D,4,FALSE),"")</f>
        <v/>
      </c>
      <c r="I404" s="11">
        <f>'Pairings NB'!$O$1791</f>
        <v/>
      </c>
      <c r="J404" s="11">
        <f>'Pairings NB'!J1791</f>
        <v/>
      </c>
      <c r="K404" s="11">
        <f>IFERROR(VLOOKUP('Pairings NB'!$M$1791,Instructores!$A:$D,3,FALSE),"")</f>
        <v/>
      </c>
      <c r="L404" s="11">
        <f>IF('Pairings NB'!J1791=320,4,3)</f>
        <v/>
      </c>
      <c r="M404" s="11">
        <f>'Pairings NB'!$N$1791</f>
        <v/>
      </c>
    </row>
    <row r="405">
      <c r="A405" s="11">
        <f>'Pairings NB'!B1796</f>
        <v/>
      </c>
      <c r="B405" s="11">
        <f>'Pairings NB'!C1796</f>
        <v/>
      </c>
      <c r="C405" s="11">
        <f>'Pairings NB'!D1796</f>
        <v/>
      </c>
      <c r="D405" s="11">
        <f>'Pairings NB'!E1796&amp;"/"&amp;'Pairings NB'!E1797</f>
        <v/>
      </c>
      <c r="E405" s="11">
        <f>'Pairings NB'!F1796&amp;"-"&amp;'Pairings NB'!G1796&amp;"-"&amp;'Pairings NB'!F1796</f>
        <v/>
      </c>
      <c r="F405" s="11">
        <f>IFERROR(VLOOKUP('Pairings NB'!$M$1796,Instructores!$A:$D,2,FALSE),"")</f>
        <v/>
      </c>
      <c r="G405" s="11">
        <f>'Pairings NB'!$M$1796</f>
        <v/>
      </c>
      <c r="H405" s="11">
        <f>IFERROR(VLOOKUP('Pairings NB'!$M$1796,Instructores!$A:$D,4,FALSE),"")</f>
        <v/>
      </c>
      <c r="I405" s="11">
        <f>'Pairings NB'!$O$1796</f>
        <v/>
      </c>
      <c r="J405" s="11">
        <f>'Pairings NB'!J1796</f>
        <v/>
      </c>
      <c r="K405" s="11">
        <f>IFERROR(VLOOKUP('Pairings NB'!$M$1796,Instructores!$A:$D,3,FALSE),"")</f>
        <v/>
      </c>
      <c r="L405" s="11">
        <f>IF('Pairings NB'!J1796=320,4,3)</f>
        <v/>
      </c>
      <c r="M405" s="11">
        <f>'Pairings NB'!$N$1796</f>
        <v/>
      </c>
    </row>
    <row r="406">
      <c r="A406" s="11">
        <f>'Pairings NB'!B1798</f>
        <v/>
      </c>
      <c r="B406" s="11">
        <f>'Pairings NB'!C1798</f>
        <v/>
      </c>
      <c r="C406" s="11">
        <f>'Pairings NB'!D1798</f>
        <v/>
      </c>
      <c r="D406" s="11">
        <f>'Pairings NB'!E1798&amp;"/"&amp;'Pairings NB'!E1799</f>
        <v/>
      </c>
      <c r="E406" s="11">
        <f>'Pairings NB'!F1798&amp;"-"&amp;'Pairings NB'!G1798&amp;"-"&amp;'Pairings NB'!F1798</f>
        <v/>
      </c>
      <c r="F406" s="11">
        <f>IFERROR(VLOOKUP('Pairings NB'!$M$1796,Instructores!$A:$D,2,FALSE),"")</f>
        <v/>
      </c>
      <c r="G406" s="11">
        <f>'Pairings NB'!$M$1796</f>
        <v/>
      </c>
      <c r="H406" s="11">
        <f>IFERROR(VLOOKUP('Pairings NB'!$M$1796,Instructores!$A:$D,4,FALSE),"")</f>
        <v/>
      </c>
      <c r="I406" s="11">
        <f>'Pairings NB'!$O$1796</f>
        <v/>
      </c>
      <c r="J406" s="11">
        <f>'Pairings NB'!J1798</f>
        <v/>
      </c>
      <c r="K406" s="11">
        <f>IFERROR(VLOOKUP('Pairings NB'!$M$1796,Instructores!$A:$D,3,FALSE),"")</f>
        <v/>
      </c>
      <c r="L406" s="11">
        <f>IF('Pairings NB'!J1798=320,4,3)</f>
        <v/>
      </c>
      <c r="M406" s="11">
        <f>'Pairings NB'!$N$1796</f>
        <v/>
      </c>
    </row>
    <row r="407">
      <c r="A407" s="11">
        <f>'Pairings NB'!B1803</f>
        <v/>
      </c>
      <c r="B407" s="11">
        <f>'Pairings NB'!C1803</f>
        <v/>
      </c>
      <c r="C407" s="11">
        <f>'Pairings NB'!D1803</f>
        <v/>
      </c>
      <c r="D407" s="11">
        <f>'Pairings NB'!E1803&amp;"/"&amp;'Pairings NB'!E1804</f>
        <v/>
      </c>
      <c r="E407" s="11">
        <f>'Pairings NB'!F1803&amp;"-"&amp;'Pairings NB'!G1803&amp;"-"&amp;'Pairings NB'!F1803</f>
        <v/>
      </c>
      <c r="F407" s="11">
        <f>IFERROR(VLOOKUP('Pairings NB'!$M$1803,Instructores!$A:$D,2,FALSE),"")</f>
        <v/>
      </c>
      <c r="G407" s="11">
        <f>'Pairings NB'!$M$1803</f>
        <v/>
      </c>
      <c r="H407" s="11">
        <f>IFERROR(VLOOKUP('Pairings NB'!$M$1803,Instructores!$A:$D,4,FALSE),"")</f>
        <v/>
      </c>
      <c r="I407" s="11">
        <f>'Pairings NB'!$O$1803</f>
        <v/>
      </c>
      <c r="J407" s="11">
        <f>'Pairings NB'!J1803</f>
        <v/>
      </c>
      <c r="K407" s="11">
        <f>IFERROR(VLOOKUP('Pairings NB'!$M$1803,Instructores!$A:$D,3,FALSE),"")</f>
        <v/>
      </c>
      <c r="L407" s="11">
        <f>IF('Pairings NB'!J1803=320,4,3)</f>
        <v/>
      </c>
      <c r="M407" s="11">
        <f>'Pairings NB'!$N$1803</f>
        <v/>
      </c>
    </row>
    <row r="408">
      <c r="A408" s="11">
        <f>'Pairings NB'!B1808</f>
        <v/>
      </c>
      <c r="B408" s="11">
        <f>'Pairings NB'!C1808</f>
        <v/>
      </c>
      <c r="C408" s="11">
        <f>'Pairings NB'!D1808</f>
        <v/>
      </c>
      <c r="D408" s="11">
        <f>'Pairings NB'!E1808&amp;"/"&amp;'Pairings NB'!E1809</f>
        <v/>
      </c>
      <c r="E408" s="11">
        <f>'Pairings NB'!F1808&amp;"-"&amp;'Pairings NB'!G1808&amp;"-"&amp;'Pairings NB'!F1808</f>
        <v/>
      </c>
      <c r="F408" s="11">
        <f>IFERROR(VLOOKUP('Pairings NB'!$M$1808,Instructores!$A:$D,2,FALSE),"")</f>
        <v/>
      </c>
      <c r="G408" s="11">
        <f>'Pairings NB'!$M$1808</f>
        <v/>
      </c>
      <c r="H408" s="11">
        <f>IFERROR(VLOOKUP('Pairings NB'!$M$1808,Instructores!$A:$D,4,FALSE),"")</f>
        <v/>
      </c>
      <c r="I408" s="11">
        <f>'Pairings NB'!$O$1808</f>
        <v/>
      </c>
      <c r="J408" s="11">
        <f>'Pairings NB'!J1808</f>
        <v/>
      </c>
      <c r="K408" s="11">
        <f>IFERROR(VLOOKUP('Pairings NB'!$M$1808,Instructores!$A:$D,3,FALSE),"")</f>
        <v/>
      </c>
      <c r="L408" s="11">
        <f>IF('Pairings NB'!J1808=320,4,3)</f>
        <v/>
      </c>
      <c r="M408" s="11">
        <f>'Pairings NB'!$N$1808</f>
        <v/>
      </c>
    </row>
    <row r="409">
      <c r="A409" s="11">
        <f>'Pairings NB'!B1813</f>
        <v/>
      </c>
      <c r="B409" s="11">
        <f>'Pairings NB'!C1813</f>
        <v/>
      </c>
      <c r="C409" s="11">
        <f>'Pairings NB'!D1813</f>
        <v/>
      </c>
      <c r="D409" s="11">
        <f>'Pairings NB'!E1813&amp;"/"&amp;'Pairings NB'!E1814</f>
        <v/>
      </c>
      <c r="E409" s="11">
        <f>'Pairings NB'!F1813&amp;"-"&amp;'Pairings NB'!G1813&amp;"-"&amp;'Pairings NB'!F1813</f>
        <v/>
      </c>
      <c r="F409" s="11">
        <f>IFERROR(VLOOKUP('Pairings NB'!$M$1813,Instructores!$A:$D,2,FALSE),"")</f>
        <v/>
      </c>
      <c r="G409" s="11">
        <f>'Pairings NB'!$M$1813</f>
        <v/>
      </c>
      <c r="H409" s="11">
        <f>IFERROR(VLOOKUP('Pairings NB'!$M$1813,Instructores!$A:$D,4,FALSE),"")</f>
        <v/>
      </c>
      <c r="I409" s="11">
        <f>'Pairings NB'!$O$1813</f>
        <v/>
      </c>
      <c r="J409" s="11">
        <f>'Pairings NB'!J1813</f>
        <v/>
      </c>
      <c r="K409" s="11">
        <f>IFERROR(VLOOKUP('Pairings NB'!$M$1813,Instructores!$A:$D,3,FALSE),"")</f>
        <v/>
      </c>
      <c r="L409" s="11">
        <f>IF('Pairings NB'!J1813=320,4,3)</f>
        <v/>
      </c>
      <c r="M409" s="11">
        <f>'Pairings NB'!$N$1813</f>
        <v/>
      </c>
    </row>
    <row r="410">
      <c r="A410" s="11">
        <f>'Pairings NB'!B1818</f>
        <v/>
      </c>
      <c r="B410" s="11">
        <f>'Pairings NB'!C1818</f>
        <v/>
      </c>
      <c r="C410" s="11">
        <f>'Pairings NB'!D1818</f>
        <v/>
      </c>
      <c r="D410" s="11">
        <f>'Pairings NB'!E1818&amp;"/"&amp;'Pairings NB'!E1819</f>
        <v/>
      </c>
      <c r="E410" s="11">
        <f>'Pairings NB'!F1818&amp;"-"&amp;'Pairings NB'!G1818&amp;"-"&amp;'Pairings NB'!F1818</f>
        <v/>
      </c>
      <c r="F410" s="11">
        <f>IFERROR(VLOOKUP('Pairings NB'!$M$1818,Instructores!$A:$D,2,FALSE),"")</f>
        <v/>
      </c>
      <c r="G410" s="11">
        <f>'Pairings NB'!$M$1818</f>
        <v/>
      </c>
      <c r="H410" s="11">
        <f>IFERROR(VLOOKUP('Pairings NB'!$M$1818,Instructores!$A:$D,4,FALSE),"")</f>
        <v/>
      </c>
      <c r="I410" s="11">
        <f>'Pairings NB'!$O$1818</f>
        <v/>
      </c>
      <c r="J410" s="11">
        <f>'Pairings NB'!J1818</f>
        <v/>
      </c>
      <c r="K410" s="11">
        <f>IFERROR(VLOOKUP('Pairings NB'!$M$1818,Instructores!$A:$D,3,FALSE),"")</f>
        <v/>
      </c>
      <c r="L410" s="11">
        <f>IF('Pairings NB'!J1818=320,4,3)</f>
        <v/>
      </c>
      <c r="M410" s="11">
        <f>'Pairings NB'!$N$1818</f>
        <v/>
      </c>
    </row>
    <row r="411">
      <c r="A411" s="11">
        <f>'Pairings NB'!B1823</f>
        <v/>
      </c>
      <c r="B411" s="11">
        <f>'Pairings NB'!C1823</f>
        <v/>
      </c>
      <c r="C411" s="11">
        <f>'Pairings NB'!D1823</f>
        <v/>
      </c>
      <c r="D411" s="11">
        <f>'Pairings NB'!E1823&amp;"/"&amp;'Pairings NB'!E1824</f>
        <v/>
      </c>
      <c r="E411" s="11">
        <f>'Pairings NB'!F1823&amp;"-"&amp;'Pairings NB'!G1823&amp;"-"&amp;'Pairings NB'!F1823</f>
        <v/>
      </c>
      <c r="F411" s="11">
        <f>IFERROR(VLOOKUP('Pairings NB'!$M$1823,Instructores!$A:$D,2,FALSE),"")</f>
        <v/>
      </c>
      <c r="G411" s="11">
        <f>'Pairings NB'!$M$1823</f>
        <v/>
      </c>
      <c r="H411" s="11">
        <f>IFERROR(VLOOKUP('Pairings NB'!$M$1823,Instructores!$A:$D,4,FALSE),"")</f>
        <v/>
      </c>
      <c r="I411" s="11">
        <f>'Pairings NB'!$O$1823</f>
        <v/>
      </c>
      <c r="J411" s="11">
        <f>'Pairings NB'!J1823</f>
        <v/>
      </c>
      <c r="K411" s="11">
        <f>IFERROR(VLOOKUP('Pairings NB'!$M$1823,Instructores!$A:$D,3,FALSE),"")</f>
        <v/>
      </c>
      <c r="L411" s="11">
        <f>IF('Pairings NB'!J1823=320,4,3)</f>
        <v/>
      </c>
      <c r="M411" s="11">
        <f>'Pairings NB'!$N$1823</f>
        <v/>
      </c>
    </row>
    <row r="412">
      <c r="A412" s="11">
        <f>'Pairings NB'!B1828</f>
        <v/>
      </c>
      <c r="B412" s="11">
        <f>'Pairings NB'!C1828</f>
        <v/>
      </c>
      <c r="C412" s="11">
        <f>'Pairings NB'!D1828</f>
        <v/>
      </c>
      <c r="D412" s="11">
        <f>'Pairings NB'!E1828&amp;"/"&amp;'Pairings NB'!E1829</f>
        <v/>
      </c>
      <c r="E412" s="11">
        <f>'Pairings NB'!F1828&amp;"-"&amp;'Pairings NB'!G1828&amp;"-"&amp;'Pairings NB'!F1828</f>
        <v/>
      </c>
      <c r="F412" s="11">
        <f>IFERROR(VLOOKUP('Pairings NB'!$M$1828,Instructores!$A:$D,2,FALSE),"")</f>
        <v/>
      </c>
      <c r="G412" s="11">
        <f>'Pairings NB'!$M$1828</f>
        <v/>
      </c>
      <c r="H412" s="11">
        <f>IFERROR(VLOOKUP('Pairings NB'!$M$1828,Instructores!$A:$D,4,FALSE),"")</f>
        <v/>
      </c>
      <c r="I412" s="11">
        <f>'Pairings NB'!$O$1828</f>
        <v/>
      </c>
      <c r="J412" s="11">
        <f>'Pairings NB'!J1828</f>
        <v/>
      </c>
      <c r="K412" s="11">
        <f>IFERROR(VLOOKUP('Pairings NB'!$M$1828,Instructores!$A:$D,3,FALSE),"")</f>
        <v/>
      </c>
      <c r="L412" s="11">
        <f>IF('Pairings NB'!J1828=320,4,3)</f>
        <v/>
      </c>
      <c r="M412" s="11">
        <f>'Pairings NB'!$N$1828</f>
        <v/>
      </c>
    </row>
    <row r="413">
      <c r="A413" s="11">
        <f>'Pairings NB'!B1833</f>
        <v/>
      </c>
      <c r="B413" s="11">
        <f>'Pairings NB'!C1833</f>
        <v/>
      </c>
      <c r="C413" s="11">
        <f>'Pairings NB'!D1833</f>
        <v/>
      </c>
      <c r="D413" s="11">
        <f>'Pairings NB'!E1833&amp;"/"&amp;'Pairings NB'!E1834</f>
        <v/>
      </c>
      <c r="E413" s="11">
        <f>'Pairings NB'!F1833&amp;"-"&amp;'Pairings NB'!G1833&amp;"-"&amp;'Pairings NB'!F1833</f>
        <v/>
      </c>
      <c r="F413" s="11">
        <f>IFERROR(VLOOKUP('Pairings NB'!$M$1833,Instructores!$A:$D,2,FALSE),"")</f>
        <v/>
      </c>
      <c r="G413" s="11">
        <f>'Pairings NB'!$M$1833</f>
        <v/>
      </c>
      <c r="H413" s="11">
        <f>IFERROR(VLOOKUP('Pairings NB'!$M$1833,Instructores!$A:$D,4,FALSE),"")</f>
        <v/>
      </c>
      <c r="I413" s="11">
        <f>'Pairings NB'!$O$1833</f>
        <v/>
      </c>
      <c r="J413" s="11">
        <f>'Pairings NB'!J1833</f>
        <v/>
      </c>
      <c r="K413" s="11">
        <f>IFERROR(VLOOKUP('Pairings NB'!$M$1833,Instructores!$A:$D,3,FALSE),"")</f>
        <v/>
      </c>
      <c r="L413" s="11">
        <f>IF('Pairings NB'!J1833=320,4,3)</f>
        <v/>
      </c>
      <c r="M413" s="11">
        <f>'Pairings NB'!$N$1833</f>
        <v/>
      </c>
    </row>
    <row r="414">
      <c r="A414" s="11">
        <f>'Pairings NB'!B1838</f>
        <v/>
      </c>
      <c r="B414" s="11">
        <f>'Pairings NB'!C1838</f>
        <v/>
      </c>
      <c r="C414" s="11">
        <f>'Pairings NB'!D1838</f>
        <v/>
      </c>
      <c r="D414" s="11">
        <f>'Pairings NB'!E1838&amp;"/"&amp;'Pairings NB'!E1839</f>
        <v/>
      </c>
      <c r="E414" s="11">
        <f>'Pairings NB'!F1838&amp;"-"&amp;'Pairings NB'!G1838&amp;"-"&amp;'Pairings NB'!F1838</f>
        <v/>
      </c>
      <c r="F414" s="11">
        <f>IFERROR(VLOOKUP('Pairings NB'!$M$1838,Instructores!$A:$D,2,FALSE),"")</f>
        <v/>
      </c>
      <c r="G414" s="11">
        <f>'Pairings NB'!$M$1838</f>
        <v/>
      </c>
      <c r="H414" s="11">
        <f>IFERROR(VLOOKUP('Pairings NB'!$M$1838,Instructores!$A:$D,4,FALSE),"")</f>
        <v/>
      </c>
      <c r="I414" s="11">
        <f>'Pairings NB'!$O$1838</f>
        <v/>
      </c>
      <c r="J414" s="11">
        <f>'Pairings NB'!J1838</f>
        <v/>
      </c>
      <c r="K414" s="11">
        <f>IFERROR(VLOOKUP('Pairings NB'!$M$1838,Instructores!$A:$D,3,FALSE),"")</f>
        <v/>
      </c>
      <c r="L414" s="11">
        <f>IF('Pairings NB'!J1838=320,4,3)</f>
        <v/>
      </c>
      <c r="M414" s="11">
        <f>'Pairings NB'!$N$1838</f>
        <v/>
      </c>
    </row>
    <row r="415">
      <c r="A415" s="11">
        <f>'Pairings NB'!B1843</f>
        <v/>
      </c>
      <c r="B415" s="11">
        <f>'Pairings NB'!C1843</f>
        <v/>
      </c>
      <c r="C415" s="11">
        <f>'Pairings NB'!D1843</f>
        <v/>
      </c>
      <c r="D415" s="11">
        <f>'Pairings NB'!E1843&amp;"/"&amp;'Pairings NB'!E1844</f>
        <v/>
      </c>
      <c r="E415" s="11">
        <f>'Pairings NB'!F1843&amp;"-"&amp;'Pairings NB'!G1843&amp;"-"&amp;'Pairings NB'!F1843</f>
        <v/>
      </c>
      <c r="F415" s="11">
        <f>IFERROR(VLOOKUP('Pairings NB'!$M$1843,Instructores!$A:$D,2,FALSE),"")</f>
        <v/>
      </c>
      <c r="G415" s="11">
        <f>'Pairings NB'!$M$1843</f>
        <v/>
      </c>
      <c r="H415" s="11">
        <f>IFERROR(VLOOKUP('Pairings NB'!$M$1843,Instructores!$A:$D,4,FALSE),"")</f>
        <v/>
      </c>
      <c r="I415" s="11">
        <f>'Pairings NB'!$O$1843</f>
        <v/>
      </c>
      <c r="J415" s="11">
        <f>'Pairings NB'!J1843</f>
        <v/>
      </c>
      <c r="K415" s="11">
        <f>IFERROR(VLOOKUP('Pairings NB'!$M$1843,Instructores!$A:$D,3,FALSE),"")</f>
        <v/>
      </c>
      <c r="L415" s="11">
        <f>IF('Pairings NB'!J1843=320,4,3)</f>
        <v/>
      </c>
      <c r="M415" s="11">
        <f>'Pairings NB'!$N$1843</f>
        <v/>
      </c>
    </row>
    <row r="416">
      <c r="A416" s="11">
        <f>'Pairings NB'!B1848</f>
        <v/>
      </c>
      <c r="B416" s="11">
        <f>'Pairings NB'!C1848</f>
        <v/>
      </c>
      <c r="C416" s="11">
        <f>'Pairings NB'!D1848</f>
        <v/>
      </c>
      <c r="D416" s="11">
        <f>'Pairings NB'!E1848&amp;"/"&amp;'Pairings NB'!E1849</f>
        <v/>
      </c>
      <c r="E416" s="11">
        <f>'Pairings NB'!F1848&amp;"-"&amp;'Pairings NB'!G1848&amp;"-"&amp;'Pairings NB'!F1848</f>
        <v/>
      </c>
      <c r="F416" s="11">
        <f>IFERROR(VLOOKUP('Pairings NB'!$M$1848,Instructores!$A:$D,2,FALSE),"")</f>
        <v/>
      </c>
      <c r="G416" s="11">
        <f>'Pairings NB'!$M$1848</f>
        <v/>
      </c>
      <c r="H416" s="11">
        <f>IFERROR(VLOOKUP('Pairings NB'!$M$1848,Instructores!$A:$D,4,FALSE),"")</f>
        <v/>
      </c>
      <c r="I416" s="11">
        <f>'Pairings NB'!$O$1848</f>
        <v/>
      </c>
      <c r="J416" s="11">
        <f>'Pairings NB'!J1848</f>
        <v/>
      </c>
      <c r="K416" s="11">
        <f>IFERROR(VLOOKUP('Pairings NB'!$M$1848,Instructores!$A:$D,3,FALSE),"")</f>
        <v/>
      </c>
      <c r="L416" s="11">
        <f>IF('Pairings NB'!J1848=320,4,3)</f>
        <v/>
      </c>
      <c r="M416" s="11">
        <f>'Pairings NB'!$N$1848</f>
        <v/>
      </c>
    </row>
    <row r="417">
      <c r="A417" s="11">
        <f>'Pairings NB'!B1853</f>
        <v/>
      </c>
      <c r="B417" s="11">
        <f>'Pairings NB'!C1853</f>
        <v/>
      </c>
      <c r="C417" s="11">
        <f>'Pairings NB'!D1853</f>
        <v/>
      </c>
      <c r="D417" s="11">
        <f>'Pairings NB'!E1853&amp;"/"&amp;'Pairings NB'!E1854</f>
        <v/>
      </c>
      <c r="E417" s="11">
        <f>'Pairings NB'!F1853&amp;"-"&amp;'Pairings NB'!G1853&amp;"-"&amp;'Pairings NB'!F1853</f>
        <v/>
      </c>
      <c r="F417" s="11">
        <f>IFERROR(VLOOKUP('Pairings NB'!$M$1853,Instructores!$A:$D,2,FALSE),"")</f>
        <v/>
      </c>
      <c r="G417" s="11">
        <f>'Pairings NB'!$M$1853</f>
        <v/>
      </c>
      <c r="H417" s="11">
        <f>IFERROR(VLOOKUP('Pairings NB'!$M$1853,Instructores!$A:$D,4,FALSE),"")</f>
        <v/>
      </c>
      <c r="I417" s="11">
        <f>'Pairings NB'!$O$1853</f>
        <v/>
      </c>
      <c r="J417" s="11">
        <f>'Pairings NB'!J1853</f>
        <v/>
      </c>
      <c r="K417" s="11">
        <f>IFERROR(VLOOKUP('Pairings NB'!$M$1853,Instructores!$A:$D,3,FALSE),"")</f>
        <v/>
      </c>
      <c r="L417" s="11">
        <f>IF('Pairings NB'!J1853=320,4,3)</f>
        <v/>
      </c>
      <c r="M417" s="11">
        <f>'Pairings NB'!$N$1853</f>
        <v/>
      </c>
    </row>
    <row r="418">
      <c r="A418" s="11">
        <f>'Pairings NB'!B1858</f>
        <v/>
      </c>
      <c r="B418" s="11">
        <f>'Pairings NB'!C1858</f>
        <v/>
      </c>
      <c r="C418" s="11">
        <f>'Pairings NB'!D1858</f>
        <v/>
      </c>
      <c r="D418" s="11">
        <f>'Pairings NB'!E1858&amp;"/"&amp;'Pairings NB'!E1859</f>
        <v/>
      </c>
      <c r="E418" s="11">
        <f>'Pairings NB'!F1858&amp;"-"&amp;'Pairings NB'!G1858&amp;"-"&amp;'Pairings NB'!F1858</f>
        <v/>
      </c>
      <c r="F418" s="11">
        <f>IFERROR(VLOOKUP('Pairings NB'!$M$1858,Instructores!$A:$D,2,FALSE),"")</f>
        <v/>
      </c>
      <c r="G418" s="11">
        <f>'Pairings NB'!$M$1858</f>
        <v/>
      </c>
      <c r="H418" s="11">
        <f>IFERROR(VLOOKUP('Pairings NB'!$M$1858,Instructores!$A:$D,4,FALSE),"")</f>
        <v/>
      </c>
      <c r="I418" s="11">
        <f>'Pairings NB'!$O$1858</f>
        <v/>
      </c>
      <c r="J418" s="11">
        <f>'Pairings NB'!J1858</f>
        <v/>
      </c>
      <c r="K418" s="11">
        <f>IFERROR(VLOOKUP('Pairings NB'!$M$1858,Instructores!$A:$D,3,FALSE),"")</f>
        <v/>
      </c>
      <c r="L418" s="11">
        <f>IF('Pairings NB'!J1858=320,4,3)</f>
        <v/>
      </c>
      <c r="M418" s="11">
        <f>'Pairings NB'!$N$1858</f>
        <v/>
      </c>
    </row>
    <row r="419">
      <c r="A419" s="11">
        <f>'Pairings NB'!B1860</f>
        <v/>
      </c>
      <c r="B419" s="11">
        <f>'Pairings NB'!C1860</f>
        <v/>
      </c>
      <c r="C419" s="11">
        <f>'Pairings NB'!D1860</f>
        <v/>
      </c>
      <c r="D419" s="11">
        <f>'Pairings NB'!E1860&amp;"/"&amp;'Pairings NB'!E1861</f>
        <v/>
      </c>
      <c r="E419" s="11">
        <f>'Pairings NB'!F1860&amp;"-"&amp;'Pairings NB'!G1860&amp;"-"&amp;'Pairings NB'!F1860</f>
        <v/>
      </c>
      <c r="F419" s="11">
        <f>IFERROR(VLOOKUP('Pairings NB'!$M$1858,Instructores!$A:$D,2,FALSE),"")</f>
        <v/>
      </c>
      <c r="G419" s="11">
        <f>'Pairings NB'!$M$1858</f>
        <v/>
      </c>
      <c r="H419" s="11">
        <f>IFERROR(VLOOKUP('Pairings NB'!$M$1858,Instructores!$A:$D,4,FALSE),"")</f>
        <v/>
      </c>
      <c r="I419" s="11">
        <f>'Pairings NB'!$O$1858</f>
        <v/>
      </c>
      <c r="J419" s="11">
        <f>'Pairings NB'!J1860</f>
        <v/>
      </c>
      <c r="K419" s="11">
        <f>IFERROR(VLOOKUP('Pairings NB'!$M$1858,Instructores!$A:$D,3,FALSE),"")</f>
        <v/>
      </c>
      <c r="L419" s="11">
        <f>IF('Pairings NB'!J1860=320,4,3)</f>
        <v/>
      </c>
      <c r="M419" s="11">
        <f>'Pairings NB'!$N$1858</f>
        <v/>
      </c>
    </row>
    <row r="420">
      <c r="A420" s="11">
        <f>'Pairings NB'!B1865</f>
        <v/>
      </c>
      <c r="B420" s="11">
        <f>'Pairings NB'!C1865</f>
        <v/>
      </c>
      <c r="C420" s="11">
        <f>'Pairings NB'!D1865</f>
        <v/>
      </c>
      <c r="D420" s="11">
        <f>'Pairings NB'!E1865&amp;"/"&amp;'Pairings NB'!E1866</f>
        <v/>
      </c>
      <c r="E420" s="11">
        <f>'Pairings NB'!F1865&amp;"-"&amp;'Pairings NB'!G1865&amp;"-"&amp;'Pairings NB'!F1865</f>
        <v/>
      </c>
      <c r="F420" s="11">
        <f>IFERROR(VLOOKUP('Pairings NB'!$M$1865,Instructores!$A:$D,2,FALSE),"")</f>
        <v/>
      </c>
      <c r="G420" s="11">
        <f>'Pairings NB'!$M$1865</f>
        <v/>
      </c>
      <c r="H420" s="11">
        <f>IFERROR(VLOOKUP('Pairings NB'!$M$1865,Instructores!$A:$D,4,FALSE),"")</f>
        <v/>
      </c>
      <c r="I420" s="11">
        <f>'Pairings NB'!$O$1865</f>
        <v/>
      </c>
      <c r="J420" s="11">
        <f>'Pairings NB'!J1865</f>
        <v/>
      </c>
      <c r="K420" s="11">
        <f>IFERROR(VLOOKUP('Pairings NB'!$M$1865,Instructores!$A:$D,3,FALSE),"")</f>
        <v/>
      </c>
      <c r="L420" s="11">
        <f>IF('Pairings NB'!J1865=320,4,3)</f>
        <v/>
      </c>
      <c r="M420" s="11">
        <f>'Pairings NB'!$N$1865</f>
        <v/>
      </c>
    </row>
    <row r="421">
      <c r="A421" s="11">
        <f>'Pairings NB'!B1870</f>
        <v/>
      </c>
      <c r="B421" s="11">
        <f>'Pairings NB'!C1870</f>
        <v/>
      </c>
      <c r="C421" s="11">
        <f>'Pairings NB'!D1870</f>
        <v/>
      </c>
      <c r="D421" s="11">
        <f>'Pairings NB'!E1870&amp;"/"&amp;'Pairings NB'!E1871</f>
        <v/>
      </c>
      <c r="E421" s="11">
        <f>'Pairings NB'!F1870&amp;"-"&amp;'Pairings NB'!G1870&amp;"-"&amp;'Pairings NB'!F1870</f>
        <v/>
      </c>
      <c r="F421" s="11">
        <f>IFERROR(VLOOKUP('Pairings NB'!$M$1870,Instructores!$A:$D,2,FALSE),"")</f>
        <v/>
      </c>
      <c r="G421" s="11">
        <f>'Pairings NB'!$M$1870</f>
        <v/>
      </c>
      <c r="H421" s="11">
        <f>IFERROR(VLOOKUP('Pairings NB'!$M$1870,Instructores!$A:$D,4,FALSE),"")</f>
        <v/>
      </c>
      <c r="I421" s="11">
        <f>'Pairings NB'!$O$1870</f>
        <v/>
      </c>
      <c r="J421" s="11">
        <f>'Pairings NB'!J1870</f>
        <v/>
      </c>
      <c r="K421" s="11">
        <f>IFERROR(VLOOKUP('Pairings NB'!$M$1870,Instructores!$A:$D,3,FALSE),"")</f>
        <v/>
      </c>
      <c r="L421" s="11">
        <f>IF('Pairings NB'!J1870=320,4,3)</f>
        <v/>
      </c>
      <c r="M421" s="11">
        <f>'Pairings NB'!$N$1870</f>
        <v/>
      </c>
    </row>
    <row r="422">
      <c r="A422" s="11">
        <f>'Pairings NB'!B1875</f>
        <v/>
      </c>
      <c r="B422" s="11">
        <f>'Pairings NB'!C1875</f>
        <v/>
      </c>
      <c r="C422" s="11">
        <f>'Pairings NB'!D1875</f>
        <v/>
      </c>
      <c r="D422" s="11">
        <f>'Pairings NB'!E1875&amp;"/"&amp;'Pairings NB'!E1876</f>
        <v/>
      </c>
      <c r="E422" s="11">
        <f>'Pairings NB'!F1875&amp;"-"&amp;'Pairings NB'!G1875&amp;"-"&amp;'Pairings NB'!F1875</f>
        <v/>
      </c>
      <c r="F422" s="11">
        <f>IFERROR(VLOOKUP('Pairings NB'!$M$1875,Instructores!$A:$D,2,FALSE),"")</f>
        <v/>
      </c>
      <c r="G422" s="11">
        <f>'Pairings NB'!$M$1875</f>
        <v/>
      </c>
      <c r="H422" s="11">
        <f>IFERROR(VLOOKUP('Pairings NB'!$M$1875,Instructores!$A:$D,4,FALSE),"")</f>
        <v/>
      </c>
      <c r="I422" s="11">
        <f>'Pairings NB'!$O$1875</f>
        <v/>
      </c>
      <c r="J422" s="11">
        <f>'Pairings NB'!J1875</f>
        <v/>
      </c>
      <c r="K422" s="11">
        <f>IFERROR(VLOOKUP('Pairings NB'!$M$1875,Instructores!$A:$D,3,FALSE),"")</f>
        <v/>
      </c>
      <c r="L422" s="11">
        <f>IF('Pairings NB'!J1875=320,4,3)</f>
        <v/>
      </c>
      <c r="M422" s="11">
        <f>'Pairings NB'!$N$1875</f>
        <v/>
      </c>
    </row>
    <row r="423">
      <c r="A423" s="11">
        <f>'Pairings NB'!B1877</f>
        <v/>
      </c>
      <c r="B423" s="11">
        <f>'Pairings NB'!C1877</f>
        <v/>
      </c>
      <c r="C423" s="11">
        <f>'Pairings NB'!D1877</f>
        <v/>
      </c>
      <c r="D423" s="11">
        <f>'Pairings NB'!E1877&amp;"/"&amp;'Pairings NB'!E1878</f>
        <v/>
      </c>
      <c r="E423" s="11">
        <f>'Pairings NB'!F1877&amp;"-"&amp;'Pairings NB'!G1877&amp;"-"&amp;'Pairings NB'!F1877</f>
        <v/>
      </c>
      <c r="F423" s="11">
        <f>IFERROR(VLOOKUP('Pairings NB'!$M$1875,Instructores!$A:$D,2,FALSE),"")</f>
        <v/>
      </c>
      <c r="G423" s="11">
        <f>'Pairings NB'!$M$1875</f>
        <v/>
      </c>
      <c r="H423" s="11">
        <f>IFERROR(VLOOKUP('Pairings NB'!$M$1875,Instructores!$A:$D,4,FALSE),"")</f>
        <v/>
      </c>
      <c r="I423" s="11">
        <f>'Pairings NB'!$O$1875</f>
        <v/>
      </c>
      <c r="J423" s="11">
        <f>'Pairings NB'!J1877</f>
        <v/>
      </c>
      <c r="K423" s="11">
        <f>IFERROR(VLOOKUP('Pairings NB'!$M$1875,Instructores!$A:$D,3,FALSE),"")</f>
        <v/>
      </c>
      <c r="L423" s="11">
        <f>IF('Pairings NB'!J1877=320,4,3)</f>
        <v/>
      </c>
      <c r="M423" s="11">
        <f>'Pairings NB'!$N$1875</f>
        <v/>
      </c>
    </row>
    <row r="424">
      <c r="A424" s="11">
        <f>'Pairings NB'!B1882</f>
        <v/>
      </c>
      <c r="B424" s="11">
        <f>'Pairings NB'!C1882</f>
        <v/>
      </c>
      <c r="C424" s="11">
        <f>'Pairings NB'!D1882</f>
        <v/>
      </c>
      <c r="D424" s="11">
        <f>'Pairings NB'!E1882&amp;"/"&amp;'Pairings NB'!E1883</f>
        <v/>
      </c>
      <c r="E424" s="11">
        <f>'Pairings NB'!F1882&amp;"-"&amp;'Pairings NB'!G1882&amp;"-"&amp;'Pairings NB'!F1882</f>
        <v/>
      </c>
      <c r="F424" s="11">
        <f>IFERROR(VLOOKUP('Pairings NB'!$M$1882,Instructores!$A:$D,2,FALSE),"")</f>
        <v/>
      </c>
      <c r="G424" s="11">
        <f>'Pairings NB'!$M$1882</f>
        <v/>
      </c>
      <c r="H424" s="11">
        <f>IFERROR(VLOOKUP('Pairings NB'!$M$1882,Instructores!$A:$D,4,FALSE),"")</f>
        <v/>
      </c>
      <c r="I424" s="11">
        <f>'Pairings NB'!$O$1882</f>
        <v/>
      </c>
      <c r="J424" s="11">
        <f>'Pairings NB'!J1882</f>
        <v/>
      </c>
      <c r="K424" s="11">
        <f>IFERROR(VLOOKUP('Pairings NB'!$M$1882,Instructores!$A:$D,3,FALSE),"")</f>
        <v/>
      </c>
      <c r="L424" s="11">
        <f>IF('Pairings NB'!J1882=320,4,3)</f>
        <v/>
      </c>
      <c r="M424" s="11">
        <f>'Pairings NB'!$N$1882</f>
        <v/>
      </c>
    </row>
    <row r="425">
      <c r="A425" s="11">
        <f>'Pairings NB'!B1887</f>
        <v/>
      </c>
      <c r="B425" s="11">
        <f>'Pairings NB'!C1887</f>
        <v/>
      </c>
      <c r="C425" s="11">
        <f>'Pairings NB'!D1887</f>
        <v/>
      </c>
      <c r="D425" s="11">
        <f>'Pairings NB'!E1887&amp;"/"&amp;'Pairings NB'!E1888</f>
        <v/>
      </c>
      <c r="E425" s="11">
        <f>'Pairings NB'!F1887&amp;"-"&amp;'Pairings NB'!G1887&amp;"-"&amp;'Pairings NB'!F1887</f>
        <v/>
      </c>
      <c r="F425" s="11">
        <f>IFERROR(VLOOKUP('Pairings NB'!$M$1887,Instructores!$A:$D,2,FALSE),"")</f>
        <v/>
      </c>
      <c r="G425" s="11">
        <f>'Pairings NB'!$M$1887</f>
        <v/>
      </c>
      <c r="H425" s="11">
        <f>IFERROR(VLOOKUP('Pairings NB'!$M$1887,Instructores!$A:$D,4,FALSE),"")</f>
        <v/>
      </c>
      <c r="I425" s="11">
        <f>'Pairings NB'!$O$1887</f>
        <v/>
      </c>
      <c r="J425" s="11">
        <f>'Pairings NB'!J1887</f>
        <v/>
      </c>
      <c r="K425" s="11">
        <f>IFERROR(VLOOKUP('Pairings NB'!$M$1887,Instructores!$A:$D,3,FALSE),"")</f>
        <v/>
      </c>
      <c r="L425" s="11">
        <f>IF('Pairings NB'!J1887=320,4,3)</f>
        <v/>
      </c>
      <c r="M425" s="11">
        <f>'Pairings NB'!$N$1887</f>
        <v/>
      </c>
    </row>
    <row r="426">
      <c r="A426" s="11">
        <f>'Pairings NB'!B1889</f>
        <v/>
      </c>
      <c r="B426" s="11">
        <f>'Pairings NB'!C1889</f>
        <v/>
      </c>
      <c r="C426" s="11">
        <f>'Pairings NB'!D1889</f>
        <v/>
      </c>
      <c r="D426" s="11">
        <f>'Pairings NB'!E1889&amp;"/"&amp;'Pairings NB'!E1890</f>
        <v/>
      </c>
      <c r="E426" s="11">
        <f>'Pairings NB'!F1889&amp;"-"&amp;'Pairings NB'!G1889&amp;"-"&amp;'Pairings NB'!F1889</f>
        <v/>
      </c>
      <c r="F426" s="11">
        <f>IFERROR(VLOOKUP('Pairings NB'!$M$1887,Instructores!$A:$D,2,FALSE),"")</f>
        <v/>
      </c>
      <c r="G426" s="11">
        <f>'Pairings NB'!$M$1887</f>
        <v/>
      </c>
      <c r="H426" s="11">
        <f>IFERROR(VLOOKUP('Pairings NB'!$M$1887,Instructores!$A:$D,4,FALSE),"")</f>
        <v/>
      </c>
      <c r="I426" s="11">
        <f>'Pairings NB'!$O$1887</f>
        <v/>
      </c>
      <c r="J426" s="11">
        <f>'Pairings NB'!J1889</f>
        <v/>
      </c>
      <c r="K426" s="11">
        <f>IFERROR(VLOOKUP('Pairings NB'!$M$1887,Instructores!$A:$D,3,FALSE),"")</f>
        <v/>
      </c>
      <c r="L426" s="11">
        <f>IF('Pairings NB'!J1889=320,4,3)</f>
        <v/>
      </c>
      <c r="M426" s="11">
        <f>'Pairings NB'!$N$1887</f>
        <v/>
      </c>
    </row>
    <row r="427">
      <c r="A427" s="11">
        <f>'Pairings NB'!B1894</f>
        <v/>
      </c>
      <c r="B427" s="11">
        <f>'Pairings NB'!C1894</f>
        <v/>
      </c>
      <c r="C427" s="11">
        <f>'Pairings NB'!D1894</f>
        <v/>
      </c>
      <c r="D427" s="11">
        <f>'Pairings NB'!E1894&amp;"/"&amp;'Pairings NB'!E1895</f>
        <v/>
      </c>
      <c r="E427" s="11">
        <f>'Pairings NB'!F1894&amp;"-"&amp;'Pairings NB'!G1894&amp;"-"&amp;'Pairings NB'!F1894</f>
        <v/>
      </c>
      <c r="F427" s="11">
        <f>IFERROR(VLOOKUP('Pairings NB'!$M$1894,Instructores!$A:$D,2,FALSE),"")</f>
        <v/>
      </c>
      <c r="G427" s="11">
        <f>'Pairings NB'!$M$1894</f>
        <v/>
      </c>
      <c r="H427" s="11">
        <f>IFERROR(VLOOKUP('Pairings NB'!$M$1894,Instructores!$A:$D,4,FALSE),"")</f>
        <v/>
      </c>
      <c r="I427" s="11">
        <f>'Pairings NB'!$O$1894</f>
        <v/>
      </c>
      <c r="J427" s="11">
        <f>'Pairings NB'!J1894</f>
        <v/>
      </c>
      <c r="K427" s="11">
        <f>IFERROR(VLOOKUP('Pairings NB'!$M$1894,Instructores!$A:$D,3,FALSE),"")</f>
        <v/>
      </c>
      <c r="L427" s="11">
        <f>IF('Pairings NB'!J1894=320,4,3)</f>
        <v/>
      </c>
      <c r="M427" s="11">
        <f>'Pairings NB'!$N$1894</f>
        <v/>
      </c>
    </row>
    <row r="428">
      <c r="A428" s="11">
        <f>'Pairings NB'!B1899</f>
        <v/>
      </c>
      <c r="B428" s="11">
        <f>'Pairings NB'!C1899</f>
        <v/>
      </c>
      <c r="C428" s="11">
        <f>'Pairings NB'!D1899</f>
        <v/>
      </c>
      <c r="D428" s="11">
        <f>'Pairings NB'!E1899&amp;"/"&amp;'Pairings NB'!E1900</f>
        <v/>
      </c>
      <c r="E428" s="11">
        <f>'Pairings NB'!F1899&amp;"-"&amp;'Pairings NB'!G1899&amp;"-"&amp;'Pairings NB'!F1899</f>
        <v/>
      </c>
      <c r="F428" s="11">
        <f>IFERROR(VLOOKUP('Pairings NB'!$M$1899,Instructores!$A:$D,2,FALSE),"")</f>
        <v/>
      </c>
      <c r="G428" s="11">
        <f>'Pairings NB'!$M$1899</f>
        <v/>
      </c>
      <c r="H428" s="11">
        <f>IFERROR(VLOOKUP('Pairings NB'!$M$1899,Instructores!$A:$D,4,FALSE),"")</f>
        <v/>
      </c>
      <c r="I428" s="11">
        <f>'Pairings NB'!$O$1899</f>
        <v/>
      </c>
      <c r="J428" s="11">
        <f>'Pairings NB'!J1899</f>
        <v/>
      </c>
      <c r="K428" s="11">
        <f>IFERROR(VLOOKUP('Pairings NB'!$M$1899,Instructores!$A:$D,3,FALSE),"")</f>
        <v/>
      </c>
      <c r="L428" s="11">
        <f>IF('Pairings NB'!J1899=320,4,3)</f>
        <v/>
      </c>
      <c r="M428" s="11">
        <f>'Pairings NB'!$N$1899</f>
        <v/>
      </c>
    </row>
    <row r="429">
      <c r="A429" s="11">
        <f>'Pairings NB'!B1904</f>
        <v/>
      </c>
      <c r="B429" s="11">
        <f>'Pairings NB'!C1904</f>
        <v/>
      </c>
      <c r="C429" s="11">
        <f>'Pairings NB'!D1904</f>
        <v/>
      </c>
      <c r="D429" s="11">
        <f>'Pairings NB'!E1904&amp;"/"&amp;'Pairings NB'!E1905</f>
        <v/>
      </c>
      <c r="E429" s="11">
        <f>'Pairings NB'!F1904&amp;"-"&amp;'Pairings NB'!G1904&amp;"-"&amp;'Pairings NB'!F1904</f>
        <v/>
      </c>
      <c r="F429" s="11">
        <f>IFERROR(VLOOKUP('Pairings NB'!$M$1904,Instructores!$A:$D,2,FALSE),"")</f>
        <v/>
      </c>
      <c r="G429" s="11">
        <f>'Pairings NB'!$M$1904</f>
        <v/>
      </c>
      <c r="H429" s="11">
        <f>IFERROR(VLOOKUP('Pairings NB'!$M$1904,Instructores!$A:$D,4,FALSE),"")</f>
        <v/>
      </c>
      <c r="I429" s="11">
        <f>'Pairings NB'!$O$1904</f>
        <v/>
      </c>
      <c r="J429" s="11">
        <f>'Pairings NB'!J1904</f>
        <v/>
      </c>
      <c r="K429" s="11">
        <f>IFERROR(VLOOKUP('Pairings NB'!$M$1904,Instructores!$A:$D,3,FALSE),"")</f>
        <v/>
      </c>
      <c r="L429" s="11">
        <f>IF('Pairings NB'!J1904=320,4,3)</f>
        <v/>
      </c>
      <c r="M429" s="11">
        <f>'Pairings NB'!$N$1904</f>
        <v/>
      </c>
    </row>
    <row r="430">
      <c r="A430" s="11">
        <f>'Pairings NB'!B1909</f>
        <v/>
      </c>
      <c r="B430" s="11">
        <f>'Pairings NB'!C1909</f>
        <v/>
      </c>
      <c r="C430" s="11">
        <f>'Pairings NB'!D1909</f>
        <v/>
      </c>
      <c r="D430" s="11">
        <f>'Pairings NB'!E1909&amp;"/"&amp;'Pairings NB'!E1910</f>
        <v/>
      </c>
      <c r="E430" s="11">
        <f>'Pairings NB'!F1909&amp;"-"&amp;'Pairings NB'!G1909&amp;"-"&amp;'Pairings NB'!F1909</f>
        <v/>
      </c>
      <c r="F430" s="11">
        <f>IFERROR(VLOOKUP('Pairings NB'!$M$1909,Instructores!$A:$D,2,FALSE),"")</f>
        <v/>
      </c>
      <c r="G430" s="11">
        <f>'Pairings NB'!$M$1909</f>
        <v/>
      </c>
      <c r="H430" s="11">
        <f>IFERROR(VLOOKUP('Pairings NB'!$M$1909,Instructores!$A:$D,4,FALSE),"")</f>
        <v/>
      </c>
      <c r="I430" s="11">
        <f>'Pairings NB'!$O$1909</f>
        <v/>
      </c>
      <c r="J430" s="11">
        <f>'Pairings NB'!J1909</f>
        <v/>
      </c>
      <c r="K430" s="11">
        <f>IFERROR(VLOOKUP('Pairings NB'!$M$1909,Instructores!$A:$D,3,FALSE),"")</f>
        <v/>
      </c>
      <c r="L430" s="11">
        <f>IF('Pairings NB'!J1909=320,4,3)</f>
        <v/>
      </c>
      <c r="M430" s="11">
        <f>'Pairings NB'!$N$1909</f>
        <v/>
      </c>
    </row>
    <row r="431">
      <c r="A431" s="11">
        <f>'Pairings NB'!B1914</f>
        <v/>
      </c>
      <c r="B431" s="11">
        <f>'Pairings NB'!C1914</f>
        <v/>
      </c>
      <c r="C431" s="11">
        <f>'Pairings NB'!D1914</f>
        <v/>
      </c>
      <c r="D431" s="11">
        <f>'Pairings NB'!E1914&amp;"/"&amp;'Pairings NB'!E1915</f>
        <v/>
      </c>
      <c r="E431" s="11">
        <f>'Pairings NB'!F1914&amp;"-"&amp;'Pairings NB'!G1914&amp;"-"&amp;'Pairings NB'!F1914</f>
        <v/>
      </c>
      <c r="F431" s="11">
        <f>IFERROR(VLOOKUP('Pairings NB'!$M$1914,Instructores!$A:$D,2,FALSE),"")</f>
        <v/>
      </c>
      <c r="G431" s="11">
        <f>'Pairings NB'!$M$1914</f>
        <v/>
      </c>
      <c r="H431" s="11">
        <f>IFERROR(VLOOKUP('Pairings NB'!$M$1914,Instructores!$A:$D,4,FALSE),"")</f>
        <v/>
      </c>
      <c r="I431" s="11">
        <f>'Pairings NB'!$O$1914</f>
        <v/>
      </c>
      <c r="J431" s="11">
        <f>'Pairings NB'!J1914</f>
        <v/>
      </c>
      <c r="K431" s="11">
        <f>IFERROR(VLOOKUP('Pairings NB'!$M$1914,Instructores!$A:$D,3,FALSE),"")</f>
        <v/>
      </c>
      <c r="L431" s="11">
        <f>IF('Pairings NB'!J1914=320,4,3)</f>
        <v/>
      </c>
      <c r="M431" s="11">
        <f>'Pairings NB'!$N$1914</f>
        <v/>
      </c>
    </row>
    <row r="432">
      <c r="A432" s="11">
        <f>'Pairings NB'!B1919</f>
        <v/>
      </c>
      <c r="B432" s="11">
        <f>'Pairings NB'!C1919</f>
        <v/>
      </c>
      <c r="C432" s="11">
        <f>'Pairings NB'!D1919</f>
        <v/>
      </c>
      <c r="D432" s="11">
        <f>'Pairings NB'!E1919&amp;"/"&amp;'Pairings NB'!E1920</f>
        <v/>
      </c>
      <c r="E432" s="11">
        <f>'Pairings NB'!F1919&amp;"-"&amp;'Pairings NB'!G1919&amp;"-"&amp;'Pairings NB'!F1919</f>
        <v/>
      </c>
      <c r="F432" s="11">
        <f>IFERROR(VLOOKUP('Pairings NB'!$M$1919,Instructores!$A:$D,2,FALSE),"")</f>
        <v/>
      </c>
      <c r="G432" s="11">
        <f>'Pairings NB'!$M$1919</f>
        <v/>
      </c>
      <c r="H432" s="11">
        <f>IFERROR(VLOOKUP('Pairings NB'!$M$1919,Instructores!$A:$D,4,FALSE),"")</f>
        <v/>
      </c>
      <c r="I432" s="11">
        <f>'Pairings NB'!$O$1919</f>
        <v/>
      </c>
      <c r="J432" s="11">
        <f>'Pairings NB'!J1919</f>
        <v/>
      </c>
      <c r="K432" s="11">
        <f>IFERROR(VLOOKUP('Pairings NB'!$M$1919,Instructores!$A:$D,3,FALSE),"")</f>
        <v/>
      </c>
      <c r="L432" s="11">
        <f>IF('Pairings NB'!J1919=320,4,3)</f>
        <v/>
      </c>
      <c r="M432" s="11">
        <f>'Pairings NB'!$N$1919</f>
        <v/>
      </c>
    </row>
    <row r="433">
      <c r="A433" s="11">
        <f>'Pairings NB'!B1924</f>
        <v/>
      </c>
      <c r="B433" s="11">
        <f>'Pairings NB'!C1924</f>
        <v/>
      </c>
      <c r="C433" s="11">
        <f>'Pairings NB'!D1924</f>
        <v/>
      </c>
      <c r="D433" s="11">
        <f>'Pairings NB'!E1924&amp;"/"&amp;'Pairings NB'!E1925</f>
        <v/>
      </c>
      <c r="E433" s="11">
        <f>'Pairings NB'!F1924&amp;"-"&amp;'Pairings NB'!G1924&amp;"-"&amp;'Pairings NB'!F1924</f>
        <v/>
      </c>
      <c r="F433" s="11">
        <f>IFERROR(VLOOKUP('Pairings NB'!$M$1924,Instructores!$A:$D,2,FALSE),"")</f>
        <v/>
      </c>
      <c r="G433" s="11">
        <f>'Pairings NB'!$M$1924</f>
        <v/>
      </c>
      <c r="H433" s="11">
        <f>IFERROR(VLOOKUP('Pairings NB'!$M$1924,Instructores!$A:$D,4,FALSE),"")</f>
        <v/>
      </c>
      <c r="I433" s="11">
        <f>'Pairings NB'!$O$1924</f>
        <v/>
      </c>
      <c r="J433" s="11">
        <f>'Pairings NB'!J1924</f>
        <v/>
      </c>
      <c r="K433" s="11">
        <f>IFERROR(VLOOKUP('Pairings NB'!$M$1924,Instructores!$A:$D,3,FALSE),"")</f>
        <v/>
      </c>
      <c r="L433" s="11">
        <f>IF('Pairings NB'!J1924=320,4,3)</f>
        <v/>
      </c>
      <c r="M433" s="11">
        <f>'Pairings NB'!$N$1924</f>
        <v/>
      </c>
    </row>
    <row r="434">
      <c r="A434" s="11">
        <f>'Pairings NB'!B1929</f>
        <v/>
      </c>
      <c r="B434" s="11">
        <f>'Pairings NB'!C1929</f>
        <v/>
      </c>
      <c r="C434" s="11">
        <f>'Pairings NB'!D1929</f>
        <v/>
      </c>
      <c r="D434" s="11">
        <f>'Pairings NB'!E1929&amp;"/"&amp;'Pairings NB'!E1930</f>
        <v/>
      </c>
      <c r="E434" s="11">
        <f>'Pairings NB'!F1929&amp;"-"&amp;'Pairings NB'!G1929&amp;"-"&amp;'Pairings NB'!F1929</f>
        <v/>
      </c>
      <c r="F434" s="11">
        <f>IFERROR(VLOOKUP('Pairings NB'!$M$1929,Instructores!$A:$D,2,FALSE),"")</f>
        <v/>
      </c>
      <c r="G434" s="11">
        <f>'Pairings NB'!$M$1929</f>
        <v/>
      </c>
      <c r="H434" s="11">
        <f>IFERROR(VLOOKUP('Pairings NB'!$M$1929,Instructores!$A:$D,4,FALSE),"")</f>
        <v/>
      </c>
      <c r="I434" s="11">
        <f>'Pairings NB'!$O$1929</f>
        <v/>
      </c>
      <c r="J434" s="11">
        <f>'Pairings NB'!J1929</f>
        <v/>
      </c>
      <c r="K434" s="11">
        <f>IFERROR(VLOOKUP('Pairings NB'!$M$1929,Instructores!$A:$D,3,FALSE),"")</f>
        <v/>
      </c>
      <c r="L434" s="11">
        <f>IF('Pairings NB'!J1929=320,4,3)</f>
        <v/>
      </c>
      <c r="M434" s="11">
        <f>'Pairings NB'!$N$1929</f>
        <v/>
      </c>
    </row>
    <row r="435">
      <c r="A435" s="11">
        <f>'Pairings NB'!B1934</f>
        <v/>
      </c>
      <c r="B435" s="11">
        <f>'Pairings NB'!C1934</f>
        <v/>
      </c>
      <c r="C435" s="11">
        <f>'Pairings NB'!D1934</f>
        <v/>
      </c>
      <c r="D435" s="11">
        <f>'Pairings NB'!E1934&amp;"/"&amp;'Pairings NB'!E1935</f>
        <v/>
      </c>
      <c r="E435" s="11">
        <f>'Pairings NB'!F1934&amp;"-"&amp;'Pairings NB'!G1934&amp;"-"&amp;'Pairings NB'!F1934</f>
        <v/>
      </c>
      <c r="F435" s="11">
        <f>IFERROR(VLOOKUP('Pairings NB'!$M$1934,Instructores!$A:$D,2,FALSE),"")</f>
        <v/>
      </c>
      <c r="G435" s="11">
        <f>'Pairings NB'!$M$1934</f>
        <v/>
      </c>
      <c r="H435" s="11">
        <f>IFERROR(VLOOKUP('Pairings NB'!$M$1934,Instructores!$A:$D,4,FALSE),"")</f>
        <v/>
      </c>
      <c r="I435" s="11">
        <f>'Pairings NB'!$O$1934</f>
        <v/>
      </c>
      <c r="J435" s="11">
        <f>'Pairings NB'!J1934</f>
        <v/>
      </c>
      <c r="K435" s="11">
        <f>IFERROR(VLOOKUP('Pairings NB'!$M$1934,Instructores!$A:$D,3,FALSE),"")</f>
        <v/>
      </c>
      <c r="L435" s="11">
        <f>IF('Pairings NB'!J1934=320,4,3)</f>
        <v/>
      </c>
      <c r="M435" s="11">
        <f>'Pairings NB'!$N$1934</f>
        <v/>
      </c>
    </row>
    <row r="436">
      <c r="A436" s="11">
        <f>'Pairings NB'!B1939</f>
        <v/>
      </c>
      <c r="B436" s="11">
        <f>'Pairings NB'!C1939</f>
        <v/>
      </c>
      <c r="C436" s="11">
        <f>'Pairings NB'!D1939</f>
        <v/>
      </c>
      <c r="D436" s="11">
        <f>'Pairings NB'!E1939&amp;"/"&amp;'Pairings NB'!E1940</f>
        <v/>
      </c>
      <c r="E436" s="11">
        <f>'Pairings NB'!F1939&amp;"-"&amp;'Pairings NB'!G1939&amp;"-"&amp;'Pairings NB'!F1939</f>
        <v/>
      </c>
      <c r="F436" s="11">
        <f>IFERROR(VLOOKUP('Pairings NB'!$M$1939,Instructores!$A:$D,2,FALSE),"")</f>
        <v/>
      </c>
      <c r="G436" s="11">
        <f>'Pairings NB'!$M$1939</f>
        <v/>
      </c>
      <c r="H436" s="11">
        <f>IFERROR(VLOOKUP('Pairings NB'!$M$1939,Instructores!$A:$D,4,FALSE),"")</f>
        <v/>
      </c>
      <c r="I436" s="11">
        <f>'Pairings NB'!$O$1939</f>
        <v/>
      </c>
      <c r="J436" s="11">
        <f>'Pairings NB'!J1939</f>
        <v/>
      </c>
      <c r="K436" s="11">
        <f>IFERROR(VLOOKUP('Pairings NB'!$M$1939,Instructores!$A:$D,3,FALSE),"")</f>
        <v/>
      </c>
      <c r="L436" s="11">
        <f>IF('Pairings NB'!J1939=320,4,3)</f>
        <v/>
      </c>
      <c r="M436" s="11">
        <f>'Pairings NB'!$N$1939</f>
        <v/>
      </c>
    </row>
    <row r="437">
      <c r="A437" s="11">
        <f>'Pairings NB'!B1944</f>
        <v/>
      </c>
      <c r="B437" s="11">
        <f>'Pairings NB'!C1944</f>
        <v/>
      </c>
      <c r="C437" s="11">
        <f>'Pairings NB'!D1944</f>
        <v/>
      </c>
      <c r="D437" s="11">
        <f>'Pairings NB'!E1944&amp;"/"&amp;'Pairings NB'!E1945</f>
        <v/>
      </c>
      <c r="E437" s="11">
        <f>'Pairings NB'!F1944&amp;"-"&amp;'Pairings NB'!G1944&amp;"-"&amp;'Pairings NB'!F1944</f>
        <v/>
      </c>
      <c r="F437" s="11">
        <f>IFERROR(VLOOKUP('Pairings NB'!$M$1944,Instructores!$A:$D,2,FALSE),"")</f>
        <v/>
      </c>
      <c r="G437" s="11">
        <f>'Pairings NB'!$M$1944</f>
        <v/>
      </c>
      <c r="H437" s="11">
        <f>IFERROR(VLOOKUP('Pairings NB'!$M$1944,Instructores!$A:$D,4,FALSE),"")</f>
        <v/>
      </c>
      <c r="I437" s="11">
        <f>'Pairings NB'!$O$1944</f>
        <v/>
      </c>
      <c r="J437" s="11">
        <f>'Pairings NB'!J1944</f>
        <v/>
      </c>
      <c r="K437" s="11">
        <f>IFERROR(VLOOKUP('Pairings NB'!$M$1944,Instructores!$A:$D,3,FALSE),"")</f>
        <v/>
      </c>
      <c r="L437" s="11">
        <f>IF('Pairings NB'!J1944=320,4,3)</f>
        <v/>
      </c>
      <c r="M437" s="11">
        <f>'Pairings NB'!$N$1944</f>
        <v/>
      </c>
    </row>
    <row r="438">
      <c r="A438" s="11">
        <f>'Pairings NB'!B1949</f>
        <v/>
      </c>
      <c r="B438" s="11">
        <f>'Pairings NB'!C1949</f>
        <v/>
      </c>
      <c r="C438" s="11">
        <f>'Pairings NB'!D1949</f>
        <v/>
      </c>
      <c r="D438" s="11">
        <f>'Pairings NB'!E1949&amp;"/"&amp;'Pairings NB'!E1950</f>
        <v/>
      </c>
      <c r="E438" s="11">
        <f>'Pairings NB'!F1949&amp;"-"&amp;'Pairings NB'!G1949&amp;"-"&amp;'Pairings NB'!F1949</f>
        <v/>
      </c>
      <c r="F438" s="11">
        <f>IFERROR(VLOOKUP('Pairings NB'!$M$1949,Instructores!$A:$D,2,FALSE),"")</f>
        <v/>
      </c>
      <c r="G438" s="11">
        <f>'Pairings NB'!$M$1949</f>
        <v/>
      </c>
      <c r="H438" s="11">
        <f>IFERROR(VLOOKUP('Pairings NB'!$M$1949,Instructores!$A:$D,4,FALSE),"")</f>
        <v/>
      </c>
      <c r="I438" s="11">
        <f>'Pairings NB'!$O$1949</f>
        <v/>
      </c>
      <c r="J438" s="11">
        <f>'Pairings NB'!J1949</f>
        <v/>
      </c>
      <c r="K438" s="11">
        <f>IFERROR(VLOOKUP('Pairings NB'!$M$1949,Instructores!$A:$D,3,FALSE),"")</f>
        <v/>
      </c>
      <c r="L438" s="11">
        <f>IF('Pairings NB'!J1949=320,4,3)</f>
        <v/>
      </c>
      <c r="M438" s="11">
        <f>'Pairings NB'!$N$1949</f>
        <v/>
      </c>
    </row>
    <row r="439">
      <c r="A439" s="11">
        <f>'Pairings NB'!B1954</f>
        <v/>
      </c>
      <c r="B439" s="11">
        <f>'Pairings NB'!C1954</f>
        <v/>
      </c>
      <c r="C439" s="11">
        <f>'Pairings NB'!D1954</f>
        <v/>
      </c>
      <c r="D439" s="11">
        <f>'Pairings NB'!E1954&amp;"/"&amp;'Pairings NB'!E1955</f>
        <v/>
      </c>
      <c r="E439" s="11">
        <f>'Pairings NB'!F1954&amp;"-"&amp;'Pairings NB'!G1954&amp;"-"&amp;'Pairings NB'!F1954</f>
        <v/>
      </c>
      <c r="F439" s="11">
        <f>IFERROR(VLOOKUP('Pairings NB'!$M$1954,Instructores!$A:$D,2,FALSE),"")</f>
        <v/>
      </c>
      <c r="G439" s="11">
        <f>'Pairings NB'!$M$1954</f>
        <v/>
      </c>
      <c r="H439" s="11">
        <f>IFERROR(VLOOKUP('Pairings NB'!$M$1954,Instructores!$A:$D,4,FALSE),"")</f>
        <v/>
      </c>
      <c r="I439" s="11">
        <f>'Pairings NB'!$O$1954</f>
        <v/>
      </c>
      <c r="J439" s="11">
        <f>'Pairings NB'!J1954</f>
        <v/>
      </c>
      <c r="K439" s="11">
        <f>IFERROR(VLOOKUP('Pairings NB'!$M$1954,Instructores!$A:$D,3,FALSE),"")</f>
        <v/>
      </c>
      <c r="L439" s="11">
        <f>IF('Pairings NB'!J1954=320,4,3)</f>
        <v/>
      </c>
      <c r="M439" s="11">
        <f>'Pairings NB'!$N$1954</f>
        <v/>
      </c>
    </row>
    <row r="440">
      <c r="A440" s="11">
        <f>'Pairings NB'!B1956</f>
        <v/>
      </c>
      <c r="B440" s="11">
        <f>'Pairings NB'!C1956</f>
        <v/>
      </c>
      <c r="C440" s="11">
        <f>'Pairings NB'!D1956</f>
        <v/>
      </c>
      <c r="D440" s="11">
        <f>'Pairings NB'!E1956&amp;"/"&amp;'Pairings NB'!E1957</f>
        <v/>
      </c>
      <c r="E440" s="11">
        <f>'Pairings NB'!F1956&amp;"-"&amp;'Pairings NB'!G1956&amp;"-"&amp;'Pairings NB'!F1956</f>
        <v/>
      </c>
      <c r="F440" s="11">
        <f>IFERROR(VLOOKUP('Pairings NB'!$M$1954,Instructores!$A:$D,2,FALSE),"")</f>
        <v/>
      </c>
      <c r="G440" s="11">
        <f>'Pairings NB'!$M$1954</f>
        <v/>
      </c>
      <c r="H440" s="11">
        <f>IFERROR(VLOOKUP('Pairings NB'!$M$1954,Instructores!$A:$D,4,FALSE),"")</f>
        <v/>
      </c>
      <c r="I440" s="11">
        <f>'Pairings NB'!$O$1954</f>
        <v/>
      </c>
      <c r="J440" s="11">
        <f>'Pairings NB'!J1956</f>
        <v/>
      </c>
      <c r="K440" s="11">
        <f>IFERROR(VLOOKUP('Pairings NB'!$M$1954,Instructores!$A:$D,3,FALSE),"")</f>
        <v/>
      </c>
      <c r="L440" s="11">
        <f>IF('Pairings NB'!J1956=320,4,3)</f>
        <v/>
      </c>
      <c r="M440" s="11">
        <f>'Pairings NB'!$N$1954</f>
        <v/>
      </c>
    </row>
    <row r="441">
      <c r="A441" s="11">
        <f>'Pairings NB'!B1961</f>
        <v/>
      </c>
      <c r="B441" s="11">
        <f>'Pairings NB'!C1961</f>
        <v/>
      </c>
      <c r="C441" s="11">
        <f>'Pairings NB'!D1961</f>
        <v/>
      </c>
      <c r="D441" s="11">
        <f>'Pairings NB'!E1961&amp;"/"&amp;'Pairings NB'!E1962</f>
        <v/>
      </c>
      <c r="E441" s="11">
        <f>'Pairings NB'!F1961&amp;"-"&amp;'Pairings NB'!G1961&amp;"-"&amp;'Pairings NB'!F1961</f>
        <v/>
      </c>
      <c r="F441" s="11">
        <f>IFERROR(VLOOKUP('Pairings NB'!$M$1961,Instructores!$A:$D,2,FALSE),"")</f>
        <v/>
      </c>
      <c r="G441" s="11">
        <f>'Pairings NB'!$M$1961</f>
        <v/>
      </c>
      <c r="H441" s="11">
        <f>IFERROR(VLOOKUP('Pairings NB'!$M$1961,Instructores!$A:$D,4,FALSE),"")</f>
        <v/>
      </c>
      <c r="I441" s="11">
        <f>'Pairings NB'!$O$1961</f>
        <v/>
      </c>
      <c r="J441" s="11">
        <f>'Pairings NB'!J1961</f>
        <v/>
      </c>
      <c r="K441" s="11">
        <f>IFERROR(VLOOKUP('Pairings NB'!$M$1961,Instructores!$A:$D,3,FALSE),"")</f>
        <v/>
      </c>
      <c r="L441" s="11">
        <f>IF('Pairings NB'!J1961=320,4,3)</f>
        <v/>
      </c>
      <c r="M441" s="11">
        <f>'Pairings NB'!$N$1961</f>
        <v/>
      </c>
    </row>
    <row r="442">
      <c r="A442" s="11">
        <f>'Pairings NB'!B1963</f>
        <v/>
      </c>
      <c r="B442" s="11">
        <f>'Pairings NB'!C1963</f>
        <v/>
      </c>
      <c r="C442" s="11">
        <f>'Pairings NB'!D1963</f>
        <v/>
      </c>
      <c r="D442" s="11">
        <f>'Pairings NB'!E1963&amp;"/"&amp;'Pairings NB'!E1964</f>
        <v/>
      </c>
      <c r="E442" s="11">
        <f>'Pairings NB'!F1963&amp;"-"&amp;'Pairings NB'!G1963&amp;"-"&amp;'Pairings NB'!F1963</f>
        <v/>
      </c>
      <c r="F442" s="11">
        <f>IFERROR(VLOOKUP('Pairings NB'!$M$1961,Instructores!$A:$D,2,FALSE),"")</f>
        <v/>
      </c>
      <c r="G442" s="11">
        <f>'Pairings NB'!$M$1961</f>
        <v/>
      </c>
      <c r="H442" s="11">
        <f>IFERROR(VLOOKUP('Pairings NB'!$M$1961,Instructores!$A:$D,4,FALSE),"")</f>
        <v/>
      </c>
      <c r="I442" s="11">
        <f>'Pairings NB'!$O$1961</f>
        <v/>
      </c>
      <c r="J442" s="11">
        <f>'Pairings NB'!J1963</f>
        <v/>
      </c>
      <c r="K442" s="11">
        <f>IFERROR(VLOOKUP('Pairings NB'!$M$1961,Instructores!$A:$D,3,FALSE),"")</f>
        <v/>
      </c>
      <c r="L442" s="11">
        <f>IF('Pairings NB'!J1963=320,4,3)</f>
        <v/>
      </c>
      <c r="M442" s="11">
        <f>'Pairings NB'!$N$1961</f>
        <v/>
      </c>
    </row>
    <row r="443">
      <c r="A443" s="11">
        <f>'Pairings NB'!B1968</f>
        <v/>
      </c>
      <c r="B443" s="11">
        <f>'Pairings NB'!C1968</f>
        <v/>
      </c>
      <c r="C443" s="11">
        <f>'Pairings NB'!D1968</f>
        <v/>
      </c>
      <c r="D443" s="11">
        <f>'Pairings NB'!E1968&amp;"/"&amp;'Pairings NB'!E1969</f>
        <v/>
      </c>
      <c r="E443" s="11">
        <f>'Pairings NB'!F1968&amp;"-"&amp;'Pairings NB'!G1968&amp;"-"&amp;'Pairings NB'!F1968</f>
        <v/>
      </c>
      <c r="F443" s="11">
        <f>IFERROR(VLOOKUP('Pairings NB'!$M$1968,Instructores!$A:$D,2,FALSE),"")</f>
        <v/>
      </c>
      <c r="G443" s="11">
        <f>'Pairings NB'!$M$1968</f>
        <v/>
      </c>
      <c r="H443" s="11">
        <f>IFERROR(VLOOKUP('Pairings NB'!$M$1968,Instructores!$A:$D,4,FALSE),"")</f>
        <v/>
      </c>
      <c r="I443" s="11">
        <f>'Pairings NB'!$O$1968</f>
        <v/>
      </c>
      <c r="J443" s="11">
        <f>'Pairings NB'!J1968</f>
        <v/>
      </c>
      <c r="K443" s="11">
        <f>IFERROR(VLOOKUP('Pairings NB'!$M$1968,Instructores!$A:$D,3,FALSE),"")</f>
        <v/>
      </c>
      <c r="L443" s="11">
        <f>IF('Pairings NB'!J1968=320,4,3)</f>
        <v/>
      </c>
      <c r="M443" s="11">
        <f>'Pairings NB'!$N$1968</f>
        <v/>
      </c>
    </row>
    <row r="444">
      <c r="A444" s="11">
        <f>'Pairings NB'!B1970</f>
        <v/>
      </c>
      <c r="B444" s="11">
        <f>'Pairings NB'!C1970</f>
        <v/>
      </c>
      <c r="C444" s="11">
        <f>'Pairings NB'!D1970</f>
        <v/>
      </c>
      <c r="D444" s="11">
        <f>'Pairings NB'!E1970&amp;"/"&amp;'Pairings NB'!E1971</f>
        <v/>
      </c>
      <c r="E444" s="11">
        <f>'Pairings NB'!F1970&amp;"-"&amp;'Pairings NB'!G1970&amp;"-"&amp;'Pairings NB'!F1970</f>
        <v/>
      </c>
      <c r="F444" s="11">
        <f>IFERROR(VLOOKUP('Pairings NB'!$M$1968,Instructores!$A:$D,2,FALSE),"")</f>
        <v/>
      </c>
      <c r="G444" s="11">
        <f>'Pairings NB'!$M$1968</f>
        <v/>
      </c>
      <c r="H444" s="11">
        <f>IFERROR(VLOOKUP('Pairings NB'!$M$1968,Instructores!$A:$D,4,FALSE),"")</f>
        <v/>
      </c>
      <c r="I444" s="11">
        <f>'Pairings NB'!$O$1968</f>
        <v/>
      </c>
      <c r="J444" s="11">
        <f>'Pairings NB'!J1970</f>
        <v/>
      </c>
      <c r="K444" s="11">
        <f>IFERROR(VLOOKUP('Pairings NB'!$M$1968,Instructores!$A:$D,3,FALSE),"")</f>
        <v/>
      </c>
      <c r="L444" s="11">
        <f>IF('Pairings NB'!J1970=320,4,3)</f>
        <v/>
      </c>
      <c r="M444" s="11">
        <f>'Pairings NB'!$N$1968</f>
        <v/>
      </c>
    </row>
    <row r="445">
      <c r="A445" s="11">
        <f>'Pairings NB'!B1975</f>
        <v/>
      </c>
      <c r="B445" s="11">
        <f>'Pairings NB'!C1975</f>
        <v/>
      </c>
      <c r="C445" s="11">
        <f>'Pairings NB'!D1975</f>
        <v/>
      </c>
      <c r="D445" s="11">
        <f>'Pairings NB'!E1975&amp;"/"&amp;'Pairings NB'!E1976</f>
        <v/>
      </c>
      <c r="E445" s="11">
        <f>'Pairings NB'!F1975&amp;"-"&amp;'Pairings NB'!G1975&amp;"-"&amp;'Pairings NB'!F1975</f>
        <v/>
      </c>
      <c r="F445" s="11">
        <f>IFERROR(VLOOKUP('Pairings NB'!$M$1975,Instructores!$A:$D,2,FALSE),"")</f>
        <v/>
      </c>
      <c r="G445" s="11">
        <f>'Pairings NB'!$M$1975</f>
        <v/>
      </c>
      <c r="H445" s="11">
        <f>IFERROR(VLOOKUP('Pairings NB'!$M$1975,Instructores!$A:$D,4,FALSE),"")</f>
        <v/>
      </c>
      <c r="I445" s="11">
        <f>'Pairings NB'!$O$1975</f>
        <v/>
      </c>
      <c r="J445" s="11">
        <f>'Pairings NB'!J1975</f>
        <v/>
      </c>
      <c r="K445" s="11">
        <f>IFERROR(VLOOKUP('Pairings NB'!$M$1975,Instructores!$A:$D,3,FALSE),"")</f>
        <v/>
      </c>
      <c r="L445" s="11">
        <f>IF('Pairings NB'!J1975=320,4,3)</f>
        <v/>
      </c>
      <c r="M445" s="11">
        <f>'Pairings NB'!$N$1975</f>
        <v/>
      </c>
    </row>
    <row r="446">
      <c r="A446" s="11">
        <f>'Pairings NB'!B1980</f>
        <v/>
      </c>
      <c r="B446" s="11">
        <f>'Pairings NB'!C1980</f>
        <v/>
      </c>
      <c r="C446" s="11">
        <f>'Pairings NB'!D1980</f>
        <v/>
      </c>
      <c r="D446" s="11">
        <f>'Pairings NB'!E1980&amp;"/"&amp;'Pairings NB'!E1981</f>
        <v/>
      </c>
      <c r="E446" s="11">
        <f>'Pairings NB'!F1980&amp;"-"&amp;'Pairings NB'!G1980&amp;"-"&amp;'Pairings NB'!F1980</f>
        <v/>
      </c>
      <c r="F446" s="11">
        <f>IFERROR(VLOOKUP('Pairings NB'!$M$1980,Instructores!$A:$D,2,FALSE),"")</f>
        <v/>
      </c>
      <c r="G446" s="11">
        <f>'Pairings NB'!$M$1980</f>
        <v/>
      </c>
      <c r="H446" s="11">
        <f>IFERROR(VLOOKUP('Pairings NB'!$M$1980,Instructores!$A:$D,4,FALSE),"")</f>
        <v/>
      </c>
      <c r="I446" s="11">
        <f>'Pairings NB'!$O$1980</f>
        <v/>
      </c>
      <c r="J446" s="11">
        <f>'Pairings NB'!J1980</f>
        <v/>
      </c>
      <c r="K446" s="11">
        <f>IFERROR(VLOOKUP('Pairings NB'!$M$1980,Instructores!$A:$D,3,FALSE),"")</f>
        <v/>
      </c>
      <c r="L446" s="11">
        <f>IF('Pairings NB'!J1980=320,4,3)</f>
        <v/>
      </c>
      <c r="M446" s="11">
        <f>'Pairings NB'!$N$1980</f>
        <v/>
      </c>
    </row>
    <row r="447">
      <c r="A447" s="11">
        <f>'Pairings NB'!B1985</f>
        <v/>
      </c>
      <c r="B447" s="11">
        <f>'Pairings NB'!C1985</f>
        <v/>
      </c>
      <c r="C447" s="11">
        <f>'Pairings NB'!D1985</f>
        <v/>
      </c>
      <c r="D447" s="11">
        <f>'Pairings NB'!E1985&amp;"/"&amp;'Pairings NB'!E1986</f>
        <v/>
      </c>
      <c r="E447" s="11">
        <f>'Pairings NB'!F1985&amp;"-"&amp;'Pairings NB'!G1985&amp;"-"&amp;'Pairings NB'!F1985</f>
        <v/>
      </c>
      <c r="F447" s="11">
        <f>IFERROR(VLOOKUP('Pairings NB'!$M$1985,Instructores!$A:$D,2,FALSE),"")</f>
        <v/>
      </c>
      <c r="G447" s="11">
        <f>'Pairings NB'!$M$1985</f>
        <v/>
      </c>
      <c r="H447" s="11">
        <f>IFERROR(VLOOKUP('Pairings NB'!$M$1985,Instructores!$A:$D,4,FALSE),"")</f>
        <v/>
      </c>
      <c r="I447" s="11">
        <f>'Pairings NB'!$O$1985</f>
        <v/>
      </c>
      <c r="J447" s="11">
        <f>'Pairings NB'!J1985</f>
        <v/>
      </c>
      <c r="K447" s="11">
        <f>IFERROR(VLOOKUP('Pairings NB'!$M$1985,Instructores!$A:$D,3,FALSE),"")</f>
        <v/>
      </c>
      <c r="L447" s="11">
        <f>IF('Pairings NB'!J1985=320,4,3)</f>
        <v/>
      </c>
      <c r="M447" s="11">
        <f>'Pairings NB'!$N$1985</f>
        <v/>
      </c>
    </row>
    <row r="448">
      <c r="A448" s="11">
        <f>'Pairings NB'!B1990</f>
        <v/>
      </c>
      <c r="B448" s="11">
        <f>'Pairings NB'!C1990</f>
        <v/>
      </c>
      <c r="C448" s="11">
        <f>'Pairings NB'!D1990</f>
        <v/>
      </c>
      <c r="D448" s="11">
        <f>'Pairings NB'!E1990&amp;"/"&amp;'Pairings NB'!E1991</f>
        <v/>
      </c>
      <c r="E448" s="11">
        <f>'Pairings NB'!F1990&amp;"-"&amp;'Pairings NB'!G1990&amp;"-"&amp;'Pairings NB'!F1990</f>
        <v/>
      </c>
      <c r="F448" s="11">
        <f>IFERROR(VLOOKUP('Pairings NB'!$M$1990,Instructores!$A:$D,2,FALSE),"")</f>
        <v/>
      </c>
      <c r="G448" s="11">
        <f>'Pairings NB'!$M$1990</f>
        <v/>
      </c>
      <c r="H448" s="11">
        <f>IFERROR(VLOOKUP('Pairings NB'!$M$1990,Instructores!$A:$D,4,FALSE),"")</f>
        <v/>
      </c>
      <c r="I448" s="11">
        <f>'Pairings NB'!$O$1990</f>
        <v/>
      </c>
      <c r="J448" s="11">
        <f>'Pairings NB'!J1990</f>
        <v/>
      </c>
      <c r="K448" s="11">
        <f>IFERROR(VLOOKUP('Pairings NB'!$M$1990,Instructores!$A:$D,3,FALSE),"")</f>
        <v/>
      </c>
      <c r="L448" s="11">
        <f>IF('Pairings NB'!J1990=320,4,3)</f>
        <v/>
      </c>
      <c r="M448" s="11">
        <f>'Pairings NB'!$N$1990</f>
        <v/>
      </c>
    </row>
    <row r="449">
      <c r="A449" s="11">
        <f>'Pairings NB'!B1995</f>
        <v/>
      </c>
      <c r="B449" s="11">
        <f>'Pairings NB'!C1995</f>
        <v/>
      </c>
      <c r="C449" s="11">
        <f>'Pairings NB'!D1995</f>
        <v/>
      </c>
      <c r="D449" s="11">
        <f>'Pairings NB'!E1995&amp;"/"&amp;'Pairings NB'!E1996</f>
        <v/>
      </c>
      <c r="E449" s="11">
        <f>'Pairings NB'!F1995&amp;"-"&amp;'Pairings NB'!G1995&amp;"-"&amp;'Pairings NB'!F1995</f>
        <v/>
      </c>
      <c r="F449" s="11">
        <f>IFERROR(VLOOKUP('Pairings NB'!$M$1995,Instructores!$A:$D,2,FALSE),"")</f>
        <v/>
      </c>
      <c r="G449" s="11">
        <f>'Pairings NB'!$M$1995</f>
        <v/>
      </c>
      <c r="H449" s="11">
        <f>IFERROR(VLOOKUP('Pairings NB'!$M$1995,Instructores!$A:$D,4,FALSE),"")</f>
        <v/>
      </c>
      <c r="I449" s="11">
        <f>'Pairings NB'!$O$1995</f>
        <v/>
      </c>
      <c r="J449" s="11">
        <f>'Pairings NB'!J1995</f>
        <v/>
      </c>
      <c r="K449" s="11">
        <f>IFERROR(VLOOKUP('Pairings NB'!$M$1995,Instructores!$A:$D,3,FALSE),"")</f>
        <v/>
      </c>
      <c r="L449" s="11">
        <f>IF('Pairings NB'!J1995=320,4,3)</f>
        <v/>
      </c>
      <c r="M449" s="11">
        <f>'Pairings NB'!$N$1995</f>
        <v/>
      </c>
    </row>
    <row r="450">
      <c r="A450" s="11">
        <f>'Pairings NB'!B2000</f>
        <v/>
      </c>
      <c r="B450" s="11">
        <f>'Pairings NB'!C2000</f>
        <v/>
      </c>
      <c r="C450" s="11">
        <f>'Pairings NB'!D2000</f>
        <v/>
      </c>
      <c r="D450" s="11">
        <f>'Pairings NB'!E2000&amp;"/"&amp;'Pairings NB'!E2001</f>
        <v/>
      </c>
      <c r="E450" s="11">
        <f>'Pairings NB'!F2000&amp;"-"&amp;'Pairings NB'!G2000&amp;"-"&amp;'Pairings NB'!F2000</f>
        <v/>
      </c>
      <c r="F450" s="11">
        <f>IFERROR(VLOOKUP('Pairings NB'!$M$2000,Instructores!$A:$D,2,FALSE),"")</f>
        <v/>
      </c>
      <c r="G450" s="11">
        <f>'Pairings NB'!$M$2000</f>
        <v/>
      </c>
      <c r="H450" s="11">
        <f>IFERROR(VLOOKUP('Pairings NB'!$M$2000,Instructores!$A:$D,4,FALSE),"")</f>
        <v/>
      </c>
      <c r="I450" s="11">
        <f>'Pairings NB'!$O$2000</f>
        <v/>
      </c>
      <c r="J450" s="11">
        <f>'Pairings NB'!J2000</f>
        <v/>
      </c>
      <c r="K450" s="11">
        <f>IFERROR(VLOOKUP('Pairings NB'!$M$2000,Instructores!$A:$D,3,FALSE),"")</f>
        <v/>
      </c>
      <c r="L450" s="11">
        <f>IF('Pairings NB'!J2000=320,4,3)</f>
        <v/>
      </c>
      <c r="M450" s="11">
        <f>'Pairings NB'!$N$2000</f>
        <v/>
      </c>
    </row>
    <row r="451">
      <c r="A451" s="11">
        <f>'Pairings NB'!B2005</f>
        <v/>
      </c>
      <c r="B451" s="11">
        <f>'Pairings NB'!C2005</f>
        <v/>
      </c>
      <c r="C451" s="11">
        <f>'Pairings NB'!D2005</f>
        <v/>
      </c>
      <c r="D451" s="11">
        <f>'Pairings NB'!E2005&amp;"/"&amp;'Pairings NB'!E2006</f>
        <v/>
      </c>
      <c r="E451" s="11">
        <f>'Pairings NB'!F2005&amp;"-"&amp;'Pairings NB'!G2005&amp;"-"&amp;'Pairings NB'!F2005</f>
        <v/>
      </c>
      <c r="F451" s="11">
        <f>IFERROR(VLOOKUP('Pairings NB'!$M$2005,Instructores!$A:$D,2,FALSE),"")</f>
        <v/>
      </c>
      <c r="G451" s="11">
        <f>'Pairings NB'!$M$2005</f>
        <v/>
      </c>
      <c r="H451" s="11">
        <f>IFERROR(VLOOKUP('Pairings NB'!$M$2005,Instructores!$A:$D,4,FALSE),"")</f>
        <v/>
      </c>
      <c r="I451" s="11">
        <f>'Pairings NB'!$O$2005</f>
        <v/>
      </c>
      <c r="J451" s="11">
        <f>'Pairings NB'!J2005</f>
        <v/>
      </c>
      <c r="K451" s="11">
        <f>IFERROR(VLOOKUP('Pairings NB'!$M$2005,Instructores!$A:$D,3,FALSE),"")</f>
        <v/>
      </c>
      <c r="L451" s="11">
        <f>IF('Pairings NB'!J2005=320,4,3)</f>
        <v/>
      </c>
      <c r="M451" s="11">
        <f>'Pairings NB'!$N$2005</f>
        <v/>
      </c>
    </row>
    <row r="452">
      <c r="A452" s="11">
        <f>'Pairings NB'!B2010</f>
        <v/>
      </c>
      <c r="B452" s="11">
        <f>'Pairings NB'!C2010</f>
        <v/>
      </c>
      <c r="C452" s="11">
        <f>'Pairings NB'!D2010</f>
        <v/>
      </c>
      <c r="D452" s="11">
        <f>'Pairings NB'!E2010&amp;"/"&amp;'Pairings NB'!E2011</f>
        <v/>
      </c>
      <c r="E452" s="11">
        <f>'Pairings NB'!F2010&amp;"-"&amp;'Pairings NB'!G2010&amp;"-"&amp;'Pairings NB'!F2010</f>
        <v/>
      </c>
      <c r="F452" s="11">
        <f>IFERROR(VLOOKUP('Pairings NB'!$M$2010,Instructores!$A:$D,2,FALSE),"")</f>
        <v/>
      </c>
      <c r="G452" s="11">
        <f>'Pairings NB'!$M$2010</f>
        <v/>
      </c>
      <c r="H452" s="11">
        <f>IFERROR(VLOOKUP('Pairings NB'!$M$2010,Instructores!$A:$D,4,FALSE),"")</f>
        <v/>
      </c>
      <c r="I452" s="11">
        <f>'Pairings NB'!$O$2010</f>
        <v/>
      </c>
      <c r="J452" s="11">
        <f>'Pairings NB'!J2010</f>
        <v/>
      </c>
      <c r="K452" s="11">
        <f>IFERROR(VLOOKUP('Pairings NB'!$M$2010,Instructores!$A:$D,3,FALSE),"")</f>
        <v/>
      </c>
      <c r="L452" s="11">
        <f>IF('Pairings NB'!J2010=320,4,3)</f>
        <v/>
      </c>
      <c r="M452" s="11">
        <f>'Pairings NB'!$N$2010</f>
        <v/>
      </c>
    </row>
    <row r="453">
      <c r="A453" s="11">
        <f>'Pairings NB'!B2015</f>
        <v/>
      </c>
      <c r="B453" s="11">
        <f>'Pairings NB'!C2015</f>
        <v/>
      </c>
      <c r="C453" s="11">
        <f>'Pairings NB'!D2015</f>
        <v/>
      </c>
      <c r="D453" s="11">
        <f>'Pairings NB'!E2015&amp;"/"&amp;'Pairings NB'!E2016</f>
        <v/>
      </c>
      <c r="E453" s="11">
        <f>'Pairings NB'!F2015&amp;"-"&amp;'Pairings NB'!G2015&amp;"-"&amp;'Pairings NB'!F2015</f>
        <v/>
      </c>
      <c r="F453" s="11">
        <f>IFERROR(VLOOKUP('Pairings NB'!$M$2015,Instructores!$A:$D,2,FALSE),"")</f>
        <v/>
      </c>
      <c r="G453" s="11">
        <f>'Pairings NB'!$M$2015</f>
        <v/>
      </c>
      <c r="H453" s="11">
        <f>IFERROR(VLOOKUP('Pairings NB'!$M$2015,Instructores!$A:$D,4,FALSE),"")</f>
        <v/>
      </c>
      <c r="I453" s="11">
        <f>'Pairings NB'!$O$2015</f>
        <v/>
      </c>
      <c r="J453" s="11">
        <f>'Pairings NB'!J2015</f>
        <v/>
      </c>
      <c r="K453" s="11">
        <f>IFERROR(VLOOKUP('Pairings NB'!$M$2015,Instructores!$A:$D,3,FALSE),"")</f>
        <v/>
      </c>
      <c r="L453" s="11">
        <f>IF('Pairings NB'!J2015=320,4,3)</f>
        <v/>
      </c>
      <c r="M453" s="11">
        <f>'Pairings NB'!$N$2015</f>
        <v/>
      </c>
    </row>
    <row r="454">
      <c r="A454" s="11">
        <f>'Pairings NB'!B2020</f>
        <v/>
      </c>
      <c r="B454" s="11">
        <f>'Pairings NB'!C2020</f>
        <v/>
      </c>
      <c r="C454" s="11">
        <f>'Pairings NB'!D2020</f>
        <v/>
      </c>
      <c r="D454" s="11">
        <f>'Pairings NB'!E2020&amp;"/"&amp;'Pairings NB'!E2021</f>
        <v/>
      </c>
      <c r="E454" s="11">
        <f>'Pairings NB'!F2020&amp;"-"&amp;'Pairings NB'!G2020&amp;"-"&amp;'Pairings NB'!F2020</f>
        <v/>
      </c>
      <c r="F454" s="11">
        <f>IFERROR(VLOOKUP('Pairings NB'!$M$2020,Instructores!$A:$D,2,FALSE),"")</f>
        <v/>
      </c>
      <c r="G454" s="11">
        <f>'Pairings NB'!$M$2020</f>
        <v/>
      </c>
      <c r="H454" s="11">
        <f>IFERROR(VLOOKUP('Pairings NB'!$M$2020,Instructores!$A:$D,4,FALSE),"")</f>
        <v/>
      </c>
      <c r="I454" s="11">
        <f>'Pairings NB'!$O$2020</f>
        <v/>
      </c>
      <c r="J454" s="11">
        <f>'Pairings NB'!J2020</f>
        <v/>
      </c>
      <c r="K454" s="11">
        <f>IFERROR(VLOOKUP('Pairings NB'!$M$2020,Instructores!$A:$D,3,FALSE),"")</f>
        <v/>
      </c>
      <c r="L454" s="11">
        <f>IF('Pairings NB'!J2020=320,4,3)</f>
        <v/>
      </c>
      <c r="M454" s="11">
        <f>'Pairings NB'!$N$2020</f>
        <v/>
      </c>
    </row>
    <row r="455">
      <c r="A455" s="11">
        <f>'Pairings NB'!B2025</f>
        <v/>
      </c>
      <c r="B455" s="11">
        <f>'Pairings NB'!C2025</f>
        <v/>
      </c>
      <c r="C455" s="11">
        <f>'Pairings NB'!D2025</f>
        <v/>
      </c>
      <c r="D455" s="11">
        <f>'Pairings NB'!E2025&amp;"/"&amp;'Pairings NB'!E2026</f>
        <v/>
      </c>
      <c r="E455" s="11">
        <f>'Pairings NB'!F2025&amp;"-"&amp;'Pairings NB'!G2025&amp;"-"&amp;'Pairings NB'!F2025</f>
        <v/>
      </c>
      <c r="F455" s="11">
        <f>IFERROR(VLOOKUP('Pairings NB'!$M$2025,Instructores!$A:$D,2,FALSE),"")</f>
        <v/>
      </c>
      <c r="G455" s="11">
        <f>'Pairings NB'!$M$2025</f>
        <v/>
      </c>
      <c r="H455" s="11">
        <f>IFERROR(VLOOKUP('Pairings NB'!$M$2025,Instructores!$A:$D,4,FALSE),"")</f>
        <v/>
      </c>
      <c r="I455" s="11">
        <f>'Pairings NB'!$O$2025</f>
        <v/>
      </c>
      <c r="J455" s="11">
        <f>'Pairings NB'!J2025</f>
        <v/>
      </c>
      <c r="K455" s="11">
        <f>IFERROR(VLOOKUP('Pairings NB'!$M$2025,Instructores!$A:$D,3,FALSE),"")</f>
        <v/>
      </c>
      <c r="L455" s="11">
        <f>IF('Pairings NB'!J2025=320,4,3)</f>
        <v/>
      </c>
      <c r="M455" s="11">
        <f>'Pairings NB'!$N$2025</f>
        <v/>
      </c>
    </row>
    <row r="456">
      <c r="A456" s="11">
        <f>'Pairings NB'!B2027</f>
        <v/>
      </c>
      <c r="B456" s="11">
        <f>'Pairings NB'!C2027</f>
        <v/>
      </c>
      <c r="C456" s="11">
        <f>'Pairings NB'!D2027</f>
        <v/>
      </c>
      <c r="D456" s="11">
        <f>'Pairings NB'!E2027&amp;"/"&amp;'Pairings NB'!E2028</f>
        <v/>
      </c>
      <c r="E456" s="11">
        <f>'Pairings NB'!F2027&amp;"-"&amp;'Pairings NB'!G2027&amp;"-"&amp;'Pairings NB'!F2027</f>
        <v/>
      </c>
      <c r="F456" s="11">
        <f>IFERROR(VLOOKUP('Pairings NB'!$M$2025,Instructores!$A:$D,2,FALSE),"")</f>
        <v/>
      </c>
      <c r="G456" s="11">
        <f>'Pairings NB'!$M$2025</f>
        <v/>
      </c>
      <c r="H456" s="11">
        <f>IFERROR(VLOOKUP('Pairings NB'!$M$2025,Instructores!$A:$D,4,FALSE),"")</f>
        <v/>
      </c>
      <c r="I456" s="11">
        <f>'Pairings NB'!$O$2025</f>
        <v/>
      </c>
      <c r="J456" s="11">
        <f>'Pairings NB'!J2027</f>
        <v/>
      </c>
      <c r="K456" s="11">
        <f>IFERROR(VLOOKUP('Pairings NB'!$M$2025,Instructores!$A:$D,3,FALSE),"")</f>
        <v/>
      </c>
      <c r="L456" s="11">
        <f>IF('Pairings NB'!J2027=320,4,3)</f>
        <v/>
      </c>
      <c r="M456" s="11">
        <f>'Pairings NB'!$N$2025</f>
        <v/>
      </c>
    </row>
    <row r="457">
      <c r="A457" s="11">
        <f>'Pairings NB'!B2032</f>
        <v/>
      </c>
      <c r="B457" s="11">
        <f>'Pairings NB'!C2032</f>
        <v/>
      </c>
      <c r="C457" s="11">
        <f>'Pairings NB'!D2032</f>
        <v/>
      </c>
      <c r="D457" s="11">
        <f>'Pairings NB'!E2032&amp;"/"&amp;'Pairings NB'!E2033</f>
        <v/>
      </c>
      <c r="E457" s="11">
        <f>'Pairings NB'!F2032&amp;"-"&amp;'Pairings NB'!G2032&amp;"-"&amp;'Pairings NB'!F2032</f>
        <v/>
      </c>
      <c r="F457" s="11">
        <f>IFERROR(VLOOKUP('Pairings NB'!$M$2032,Instructores!$A:$D,2,FALSE),"")</f>
        <v/>
      </c>
      <c r="G457" s="11">
        <f>'Pairings NB'!$M$2032</f>
        <v/>
      </c>
      <c r="H457" s="11">
        <f>IFERROR(VLOOKUP('Pairings NB'!$M$2032,Instructores!$A:$D,4,FALSE),"")</f>
        <v/>
      </c>
      <c r="I457" s="11">
        <f>'Pairings NB'!$O$2032</f>
        <v/>
      </c>
      <c r="J457" s="11">
        <f>'Pairings NB'!J2032</f>
        <v/>
      </c>
      <c r="K457" s="11">
        <f>IFERROR(VLOOKUP('Pairings NB'!$M$2032,Instructores!$A:$D,3,FALSE),"")</f>
        <v/>
      </c>
      <c r="L457" s="11">
        <f>IF('Pairings NB'!J2032=320,4,3)</f>
        <v/>
      </c>
      <c r="M457" s="11">
        <f>'Pairings NB'!$N$2032</f>
        <v/>
      </c>
    </row>
    <row r="458">
      <c r="A458" s="11">
        <f>'Pairings NB'!B2034</f>
        <v/>
      </c>
      <c r="B458" s="11">
        <f>'Pairings NB'!C2034</f>
        <v/>
      </c>
      <c r="C458" s="11">
        <f>'Pairings NB'!D2034</f>
        <v/>
      </c>
      <c r="D458" s="11">
        <f>'Pairings NB'!E2034&amp;"/"&amp;'Pairings NB'!E2035</f>
        <v/>
      </c>
      <c r="E458" s="11">
        <f>'Pairings NB'!F2034&amp;"-"&amp;'Pairings NB'!G2034&amp;"-"&amp;'Pairings NB'!F2034</f>
        <v/>
      </c>
      <c r="F458" s="11">
        <f>IFERROR(VLOOKUP('Pairings NB'!$M$2032,Instructores!$A:$D,2,FALSE),"")</f>
        <v/>
      </c>
      <c r="G458" s="11">
        <f>'Pairings NB'!$M$2032</f>
        <v/>
      </c>
      <c r="H458" s="11">
        <f>IFERROR(VLOOKUP('Pairings NB'!$M$2032,Instructores!$A:$D,4,FALSE),"")</f>
        <v/>
      </c>
      <c r="I458" s="11">
        <f>'Pairings NB'!$O$2032</f>
        <v/>
      </c>
      <c r="J458" s="11">
        <f>'Pairings NB'!J2034</f>
        <v/>
      </c>
      <c r="K458" s="11">
        <f>IFERROR(VLOOKUP('Pairings NB'!$M$2032,Instructores!$A:$D,3,FALSE),"")</f>
        <v/>
      </c>
      <c r="L458" s="11">
        <f>IF('Pairings NB'!J2034=320,4,3)</f>
        <v/>
      </c>
      <c r="M458" s="11">
        <f>'Pairings NB'!$N$2032</f>
        <v/>
      </c>
    </row>
    <row r="459">
      <c r="A459" s="11">
        <f>'Pairings NB'!B2039</f>
        <v/>
      </c>
      <c r="B459" s="11">
        <f>'Pairings NB'!C2039</f>
        <v/>
      </c>
      <c r="C459" s="11">
        <f>'Pairings NB'!D2039</f>
        <v/>
      </c>
      <c r="D459" s="11">
        <f>'Pairings NB'!E2039&amp;"/"&amp;'Pairings NB'!E2040</f>
        <v/>
      </c>
      <c r="E459" s="11">
        <f>'Pairings NB'!F2039&amp;"-"&amp;'Pairings NB'!G2039&amp;"-"&amp;'Pairings NB'!F2039</f>
        <v/>
      </c>
      <c r="F459" s="11">
        <f>IFERROR(VLOOKUP('Pairings NB'!$M$2039,Instructores!$A:$D,2,FALSE),"")</f>
        <v/>
      </c>
      <c r="G459" s="11">
        <f>'Pairings NB'!$M$2039</f>
        <v/>
      </c>
      <c r="H459" s="11">
        <f>IFERROR(VLOOKUP('Pairings NB'!$M$2039,Instructores!$A:$D,4,FALSE),"")</f>
        <v/>
      </c>
      <c r="I459" s="11">
        <f>'Pairings NB'!$O$2039</f>
        <v/>
      </c>
      <c r="J459" s="11">
        <f>'Pairings NB'!J2039</f>
        <v/>
      </c>
      <c r="K459" s="11">
        <f>IFERROR(VLOOKUP('Pairings NB'!$M$2039,Instructores!$A:$D,3,FALSE),"")</f>
        <v/>
      </c>
      <c r="L459" s="11">
        <f>IF('Pairings NB'!J2039=320,4,3)</f>
        <v/>
      </c>
      <c r="M459" s="11">
        <f>'Pairings NB'!$N$2039</f>
        <v/>
      </c>
    </row>
    <row r="460">
      <c r="A460" s="11">
        <f>'Pairings NB'!B2041</f>
        <v/>
      </c>
      <c r="B460" s="11">
        <f>'Pairings NB'!C2041</f>
        <v/>
      </c>
      <c r="C460" s="11">
        <f>'Pairings NB'!D2041</f>
        <v/>
      </c>
      <c r="D460" s="11">
        <f>'Pairings NB'!E2041&amp;"/"&amp;'Pairings NB'!E2042</f>
        <v/>
      </c>
      <c r="E460" s="11">
        <f>'Pairings NB'!F2041&amp;"-"&amp;'Pairings NB'!G2041&amp;"-"&amp;'Pairings NB'!F2041</f>
        <v/>
      </c>
      <c r="F460" s="11">
        <f>IFERROR(VLOOKUP('Pairings NB'!$M$2039,Instructores!$A:$D,2,FALSE),"")</f>
        <v/>
      </c>
      <c r="G460" s="11">
        <f>'Pairings NB'!$M$2039</f>
        <v/>
      </c>
      <c r="H460" s="11">
        <f>IFERROR(VLOOKUP('Pairings NB'!$M$2039,Instructores!$A:$D,4,FALSE),"")</f>
        <v/>
      </c>
      <c r="I460" s="11">
        <f>'Pairings NB'!$O$2039</f>
        <v/>
      </c>
      <c r="J460" s="11">
        <f>'Pairings NB'!J2041</f>
        <v/>
      </c>
      <c r="K460" s="11">
        <f>IFERROR(VLOOKUP('Pairings NB'!$M$2039,Instructores!$A:$D,3,FALSE),"")</f>
        <v/>
      </c>
      <c r="L460" s="11">
        <f>IF('Pairings NB'!J2041=320,4,3)</f>
        <v/>
      </c>
      <c r="M460" s="11">
        <f>'Pairings NB'!$N$2039</f>
        <v/>
      </c>
    </row>
    <row r="461">
      <c r="A461" s="11">
        <f>'Pairings NB'!B2046</f>
        <v/>
      </c>
      <c r="B461" s="11">
        <f>'Pairings NB'!C2046</f>
        <v/>
      </c>
      <c r="C461" s="11">
        <f>'Pairings NB'!D2046</f>
        <v/>
      </c>
      <c r="D461" s="11">
        <f>'Pairings NB'!E2046&amp;"/"&amp;'Pairings NB'!E2047</f>
        <v/>
      </c>
      <c r="E461" s="11">
        <f>'Pairings NB'!F2046&amp;"-"&amp;'Pairings NB'!G2046&amp;"-"&amp;'Pairings NB'!F2046</f>
        <v/>
      </c>
      <c r="F461" s="11">
        <f>IFERROR(VLOOKUP('Pairings NB'!$M$2046,Instructores!$A:$D,2,FALSE),"")</f>
        <v/>
      </c>
      <c r="G461" s="11">
        <f>'Pairings NB'!$M$2046</f>
        <v/>
      </c>
      <c r="H461" s="11">
        <f>IFERROR(VLOOKUP('Pairings NB'!$M$2046,Instructores!$A:$D,4,FALSE),"")</f>
        <v/>
      </c>
      <c r="I461" s="11">
        <f>'Pairings NB'!$O$2046</f>
        <v/>
      </c>
      <c r="J461" s="11">
        <f>'Pairings NB'!J2046</f>
        <v/>
      </c>
      <c r="K461" s="11">
        <f>IFERROR(VLOOKUP('Pairings NB'!$M$2046,Instructores!$A:$D,3,FALSE),"")</f>
        <v/>
      </c>
      <c r="L461" s="11">
        <f>IF('Pairings NB'!J2046=320,4,3)</f>
        <v/>
      </c>
      <c r="M461" s="11">
        <f>'Pairings NB'!$N$2046</f>
        <v/>
      </c>
    </row>
    <row r="462">
      <c r="A462" s="11">
        <f>'Pairings NB'!B2048</f>
        <v/>
      </c>
      <c r="B462" s="11">
        <f>'Pairings NB'!C2048</f>
        <v/>
      </c>
      <c r="C462" s="11">
        <f>'Pairings NB'!D2048</f>
        <v/>
      </c>
      <c r="D462" s="11">
        <f>'Pairings NB'!E2048&amp;"/"&amp;'Pairings NB'!E2049</f>
        <v/>
      </c>
      <c r="E462" s="11">
        <f>'Pairings NB'!F2048&amp;"-"&amp;'Pairings NB'!G2048&amp;"-"&amp;'Pairings NB'!F2048</f>
        <v/>
      </c>
      <c r="F462" s="11">
        <f>IFERROR(VLOOKUP('Pairings NB'!$M$2046,Instructores!$A:$D,2,FALSE),"")</f>
        <v/>
      </c>
      <c r="G462" s="11">
        <f>'Pairings NB'!$M$2046</f>
        <v/>
      </c>
      <c r="H462" s="11">
        <f>IFERROR(VLOOKUP('Pairings NB'!$M$2046,Instructores!$A:$D,4,FALSE),"")</f>
        <v/>
      </c>
      <c r="I462" s="11">
        <f>'Pairings NB'!$O$2046</f>
        <v/>
      </c>
      <c r="J462" s="11">
        <f>'Pairings NB'!J2048</f>
        <v/>
      </c>
      <c r="K462" s="11">
        <f>IFERROR(VLOOKUP('Pairings NB'!$M$2046,Instructores!$A:$D,3,FALSE),"")</f>
        <v/>
      </c>
      <c r="L462" s="11">
        <f>IF('Pairings NB'!J2048=320,4,3)</f>
        <v/>
      </c>
      <c r="M462" s="11">
        <f>'Pairings NB'!$N$2046</f>
        <v/>
      </c>
    </row>
    <row r="463">
      <c r="A463" s="11">
        <f>'Pairings NB'!B2053</f>
        <v/>
      </c>
      <c r="B463" s="11">
        <f>'Pairings NB'!C2053</f>
        <v/>
      </c>
      <c r="C463" s="11">
        <f>'Pairings NB'!D2053</f>
        <v/>
      </c>
      <c r="D463" s="11">
        <f>'Pairings NB'!E2053&amp;"/"&amp;'Pairings NB'!E2054</f>
        <v/>
      </c>
      <c r="E463" s="11">
        <f>'Pairings NB'!F2053&amp;"-"&amp;'Pairings NB'!G2053&amp;"-"&amp;'Pairings NB'!F2053</f>
        <v/>
      </c>
      <c r="F463" s="11">
        <f>IFERROR(VLOOKUP('Pairings NB'!$M$2053,Instructores!$A:$D,2,FALSE),"")</f>
        <v/>
      </c>
      <c r="G463" s="11">
        <f>'Pairings NB'!$M$2053</f>
        <v/>
      </c>
      <c r="H463" s="11">
        <f>IFERROR(VLOOKUP('Pairings NB'!$M$2053,Instructores!$A:$D,4,FALSE),"")</f>
        <v/>
      </c>
      <c r="I463" s="11">
        <f>'Pairings NB'!$O$2053</f>
        <v/>
      </c>
      <c r="J463" s="11">
        <f>'Pairings NB'!J2053</f>
        <v/>
      </c>
      <c r="K463" s="11">
        <f>IFERROR(VLOOKUP('Pairings NB'!$M$2053,Instructores!$A:$D,3,FALSE),"")</f>
        <v/>
      </c>
      <c r="L463" s="11">
        <f>IF('Pairings NB'!J2053=320,4,3)</f>
        <v/>
      </c>
      <c r="M463" s="11">
        <f>'Pairings NB'!$N$2053</f>
        <v/>
      </c>
    </row>
    <row r="464">
      <c r="A464" s="11">
        <f>'Pairings NB'!B2055</f>
        <v/>
      </c>
      <c r="B464" s="11">
        <f>'Pairings NB'!C2055</f>
        <v/>
      </c>
      <c r="C464" s="11">
        <f>'Pairings NB'!D2055</f>
        <v/>
      </c>
      <c r="D464" s="11">
        <f>'Pairings NB'!E2055&amp;"/"&amp;'Pairings NB'!E2056</f>
        <v/>
      </c>
      <c r="E464" s="11">
        <f>'Pairings NB'!F2055&amp;"-"&amp;'Pairings NB'!G2055&amp;"-"&amp;'Pairings NB'!F2055</f>
        <v/>
      </c>
      <c r="F464" s="11">
        <f>IFERROR(VLOOKUP('Pairings NB'!$M$2053,Instructores!$A:$D,2,FALSE),"")</f>
        <v/>
      </c>
      <c r="G464" s="11">
        <f>'Pairings NB'!$M$2053</f>
        <v/>
      </c>
      <c r="H464" s="11">
        <f>IFERROR(VLOOKUP('Pairings NB'!$M$2053,Instructores!$A:$D,4,FALSE),"")</f>
        <v/>
      </c>
      <c r="I464" s="11">
        <f>'Pairings NB'!$O$2053</f>
        <v/>
      </c>
      <c r="J464" s="11">
        <f>'Pairings NB'!J2055</f>
        <v/>
      </c>
      <c r="K464" s="11">
        <f>IFERROR(VLOOKUP('Pairings NB'!$M$2053,Instructores!$A:$D,3,FALSE),"")</f>
        <v/>
      </c>
      <c r="L464" s="11">
        <f>IF('Pairings NB'!J2055=320,4,3)</f>
        <v/>
      </c>
      <c r="M464" s="11">
        <f>'Pairings NB'!$N$2053</f>
        <v/>
      </c>
    </row>
    <row r="465">
      <c r="A465" s="11">
        <f>'Pairings NB'!B2060</f>
        <v/>
      </c>
      <c r="B465" s="11">
        <f>'Pairings NB'!C2060</f>
        <v/>
      </c>
      <c r="C465" s="11">
        <f>'Pairings NB'!D2060</f>
        <v/>
      </c>
      <c r="D465" s="11">
        <f>'Pairings NB'!E2060&amp;"/"&amp;'Pairings NB'!E2061</f>
        <v/>
      </c>
      <c r="E465" s="11">
        <f>'Pairings NB'!F2060&amp;"-"&amp;'Pairings NB'!G2060&amp;"-"&amp;'Pairings NB'!F2060</f>
        <v/>
      </c>
      <c r="F465" s="11">
        <f>IFERROR(VLOOKUP('Pairings NB'!$M$2060,Instructores!$A:$D,2,FALSE),"")</f>
        <v/>
      </c>
      <c r="G465" s="11">
        <f>'Pairings NB'!$M$2060</f>
        <v/>
      </c>
      <c r="H465" s="11">
        <f>IFERROR(VLOOKUP('Pairings NB'!$M$2060,Instructores!$A:$D,4,FALSE),"")</f>
        <v/>
      </c>
      <c r="I465" s="11">
        <f>'Pairings NB'!$O$2060</f>
        <v/>
      </c>
      <c r="J465" s="11">
        <f>'Pairings NB'!J2060</f>
        <v/>
      </c>
      <c r="K465" s="11">
        <f>IFERROR(VLOOKUP('Pairings NB'!$M$2060,Instructores!$A:$D,3,FALSE),"")</f>
        <v/>
      </c>
      <c r="L465" s="11">
        <f>IF('Pairings NB'!J2060=320,4,3)</f>
        <v/>
      </c>
      <c r="M465" s="11">
        <f>'Pairings NB'!$N$2060</f>
        <v/>
      </c>
    </row>
    <row r="466">
      <c r="A466" s="11">
        <f>'Pairings NB'!B2065</f>
        <v/>
      </c>
      <c r="B466" s="11">
        <f>'Pairings NB'!C2065</f>
        <v/>
      </c>
      <c r="C466" s="11">
        <f>'Pairings NB'!D2065</f>
        <v/>
      </c>
      <c r="D466" s="11">
        <f>'Pairings NB'!E2065&amp;"/"&amp;'Pairings NB'!E2066</f>
        <v/>
      </c>
      <c r="E466" s="11">
        <f>'Pairings NB'!F2065&amp;"-"&amp;'Pairings NB'!G2065&amp;"-"&amp;'Pairings NB'!F2065</f>
        <v/>
      </c>
      <c r="F466" s="11">
        <f>IFERROR(VLOOKUP('Pairings NB'!$M$2065,Instructores!$A:$D,2,FALSE),"")</f>
        <v/>
      </c>
      <c r="G466" s="11">
        <f>'Pairings NB'!$M$2065</f>
        <v/>
      </c>
      <c r="H466" s="11">
        <f>IFERROR(VLOOKUP('Pairings NB'!$M$2065,Instructores!$A:$D,4,FALSE),"")</f>
        <v/>
      </c>
      <c r="I466" s="11">
        <f>'Pairings NB'!$O$2065</f>
        <v/>
      </c>
      <c r="J466" s="11">
        <f>'Pairings NB'!J2065</f>
        <v/>
      </c>
      <c r="K466" s="11">
        <f>IFERROR(VLOOKUP('Pairings NB'!$M$2065,Instructores!$A:$D,3,FALSE),"")</f>
        <v/>
      </c>
      <c r="L466" s="11">
        <f>IF('Pairings NB'!J2065=320,4,3)</f>
        <v/>
      </c>
      <c r="M466" s="11">
        <f>'Pairings NB'!$N$2065</f>
        <v/>
      </c>
    </row>
    <row r="467">
      <c r="A467" s="11">
        <f>'Pairings NB'!B2067</f>
        <v/>
      </c>
      <c r="B467" s="11">
        <f>'Pairings NB'!C2067</f>
        <v/>
      </c>
      <c r="C467" s="11">
        <f>'Pairings NB'!D2067</f>
        <v/>
      </c>
      <c r="D467" s="11">
        <f>'Pairings NB'!E2067&amp;"/"&amp;'Pairings NB'!E2068</f>
        <v/>
      </c>
      <c r="E467" s="11">
        <f>'Pairings NB'!F2067&amp;"-"&amp;'Pairings NB'!G2067&amp;"-"&amp;'Pairings NB'!F2067</f>
        <v/>
      </c>
      <c r="F467" s="11">
        <f>IFERROR(VLOOKUP('Pairings NB'!$M$2065,Instructores!$A:$D,2,FALSE),"")</f>
        <v/>
      </c>
      <c r="G467" s="11">
        <f>'Pairings NB'!$M$2065</f>
        <v/>
      </c>
      <c r="H467" s="11">
        <f>IFERROR(VLOOKUP('Pairings NB'!$M$2065,Instructores!$A:$D,4,FALSE),"")</f>
        <v/>
      </c>
      <c r="I467" s="11">
        <f>'Pairings NB'!$O$2065</f>
        <v/>
      </c>
      <c r="J467" s="11">
        <f>'Pairings NB'!J2067</f>
        <v/>
      </c>
      <c r="K467" s="11">
        <f>IFERROR(VLOOKUP('Pairings NB'!$M$2065,Instructores!$A:$D,3,FALSE),"")</f>
        <v/>
      </c>
      <c r="L467" s="11">
        <f>IF('Pairings NB'!J2067=320,4,3)</f>
        <v/>
      </c>
      <c r="M467" s="11">
        <f>'Pairings NB'!$N$2065</f>
        <v/>
      </c>
    </row>
    <row r="468">
      <c r="A468" s="11">
        <f>'Pairings NB'!B2072</f>
        <v/>
      </c>
      <c r="B468" s="11">
        <f>'Pairings NB'!C2072</f>
        <v/>
      </c>
      <c r="C468" s="11">
        <f>'Pairings NB'!D2072</f>
        <v/>
      </c>
      <c r="D468" s="11">
        <f>'Pairings NB'!E2072&amp;"/"&amp;'Pairings NB'!E2073</f>
        <v/>
      </c>
      <c r="E468" s="11">
        <f>'Pairings NB'!F2072&amp;"-"&amp;'Pairings NB'!G2072&amp;"-"&amp;'Pairings NB'!F2072</f>
        <v/>
      </c>
      <c r="F468" s="11">
        <f>IFERROR(VLOOKUP('Pairings NB'!$M$2072,Instructores!$A:$D,2,FALSE),"")</f>
        <v/>
      </c>
      <c r="G468" s="11">
        <f>'Pairings NB'!$M$2072</f>
        <v/>
      </c>
      <c r="H468" s="11">
        <f>IFERROR(VLOOKUP('Pairings NB'!$M$2072,Instructores!$A:$D,4,FALSE),"")</f>
        <v/>
      </c>
      <c r="I468" s="11">
        <f>'Pairings NB'!$O$2072</f>
        <v/>
      </c>
      <c r="J468" s="11">
        <f>'Pairings NB'!J2072</f>
        <v/>
      </c>
      <c r="K468" s="11">
        <f>IFERROR(VLOOKUP('Pairings NB'!$M$2072,Instructores!$A:$D,3,FALSE),"")</f>
        <v/>
      </c>
      <c r="L468" s="11">
        <f>IF('Pairings NB'!J2072=320,4,3)</f>
        <v/>
      </c>
      <c r="M468" s="11">
        <f>'Pairings NB'!$N$2072</f>
        <v/>
      </c>
    </row>
    <row r="469">
      <c r="A469" s="11">
        <f>'Pairings NB'!B2074</f>
        <v/>
      </c>
      <c r="B469" s="11">
        <f>'Pairings NB'!C2074</f>
        <v/>
      </c>
      <c r="C469" s="11">
        <f>'Pairings NB'!D2074</f>
        <v/>
      </c>
      <c r="D469" s="11">
        <f>'Pairings NB'!E2074&amp;"/"&amp;'Pairings NB'!E2075</f>
        <v/>
      </c>
      <c r="E469" s="11">
        <f>'Pairings NB'!F2074&amp;"-"&amp;'Pairings NB'!G2074&amp;"-"&amp;'Pairings NB'!F2074</f>
        <v/>
      </c>
      <c r="F469" s="11">
        <f>IFERROR(VLOOKUP('Pairings NB'!$M$2072,Instructores!$A:$D,2,FALSE),"")</f>
        <v/>
      </c>
      <c r="G469" s="11">
        <f>'Pairings NB'!$M$2072</f>
        <v/>
      </c>
      <c r="H469" s="11">
        <f>IFERROR(VLOOKUP('Pairings NB'!$M$2072,Instructores!$A:$D,4,FALSE),"")</f>
        <v/>
      </c>
      <c r="I469" s="11">
        <f>'Pairings NB'!$O$2072</f>
        <v/>
      </c>
      <c r="J469" s="11">
        <f>'Pairings NB'!J2074</f>
        <v/>
      </c>
      <c r="K469" s="11">
        <f>IFERROR(VLOOKUP('Pairings NB'!$M$2072,Instructores!$A:$D,3,FALSE),"")</f>
        <v/>
      </c>
      <c r="L469" s="11">
        <f>IF('Pairings NB'!J2074=320,4,3)</f>
        <v/>
      </c>
      <c r="M469" s="11">
        <f>'Pairings NB'!$N$2072</f>
        <v/>
      </c>
    </row>
    <row r="470">
      <c r="A470" s="11">
        <f>'Pairings NB'!B2079</f>
        <v/>
      </c>
      <c r="B470" s="11">
        <f>'Pairings NB'!C2079</f>
        <v/>
      </c>
      <c r="C470" s="11">
        <f>'Pairings NB'!D2079</f>
        <v/>
      </c>
      <c r="D470" s="11">
        <f>'Pairings NB'!E2079&amp;"/"&amp;'Pairings NB'!E2080</f>
        <v/>
      </c>
      <c r="E470" s="11">
        <f>'Pairings NB'!F2079&amp;"-"&amp;'Pairings NB'!G2079&amp;"-"&amp;'Pairings NB'!F2079</f>
        <v/>
      </c>
      <c r="F470" s="11">
        <f>IFERROR(VLOOKUP('Pairings NB'!$M$2079,Instructores!$A:$D,2,FALSE),"")</f>
        <v/>
      </c>
      <c r="G470" s="11">
        <f>'Pairings NB'!$M$2079</f>
        <v/>
      </c>
      <c r="H470" s="11">
        <f>IFERROR(VLOOKUP('Pairings NB'!$M$2079,Instructores!$A:$D,4,FALSE),"")</f>
        <v/>
      </c>
      <c r="I470" s="11">
        <f>'Pairings NB'!$O$2079</f>
        <v/>
      </c>
      <c r="J470" s="11">
        <f>'Pairings NB'!J2079</f>
        <v/>
      </c>
      <c r="K470" s="11">
        <f>IFERROR(VLOOKUP('Pairings NB'!$M$2079,Instructores!$A:$D,3,FALSE),"")</f>
        <v/>
      </c>
      <c r="L470" s="11">
        <f>IF('Pairings NB'!J2079=320,4,3)</f>
        <v/>
      </c>
      <c r="M470" s="11">
        <f>'Pairings NB'!$N$2079</f>
        <v/>
      </c>
    </row>
    <row r="471">
      <c r="A471" s="11">
        <f>'Pairings NB'!B2081</f>
        <v/>
      </c>
      <c r="B471" s="11">
        <f>'Pairings NB'!C2081</f>
        <v/>
      </c>
      <c r="C471" s="11">
        <f>'Pairings NB'!D2081</f>
        <v/>
      </c>
      <c r="D471" s="11">
        <f>'Pairings NB'!E2081&amp;"/"&amp;'Pairings NB'!E2082</f>
        <v/>
      </c>
      <c r="E471" s="11">
        <f>'Pairings NB'!F2081&amp;"-"&amp;'Pairings NB'!G2081&amp;"-"&amp;'Pairings NB'!F2081</f>
        <v/>
      </c>
      <c r="F471" s="11">
        <f>IFERROR(VLOOKUP('Pairings NB'!$M$2079,Instructores!$A:$D,2,FALSE),"")</f>
        <v/>
      </c>
      <c r="G471" s="11">
        <f>'Pairings NB'!$M$2079</f>
        <v/>
      </c>
      <c r="H471" s="11">
        <f>IFERROR(VLOOKUP('Pairings NB'!$M$2079,Instructores!$A:$D,4,FALSE),"")</f>
        <v/>
      </c>
      <c r="I471" s="11">
        <f>'Pairings NB'!$O$2079</f>
        <v/>
      </c>
      <c r="J471" s="11">
        <f>'Pairings NB'!J2081</f>
        <v/>
      </c>
      <c r="K471" s="11">
        <f>IFERROR(VLOOKUP('Pairings NB'!$M$2079,Instructores!$A:$D,3,FALSE),"")</f>
        <v/>
      </c>
      <c r="L471" s="11">
        <f>IF('Pairings NB'!J2081=320,4,3)</f>
        <v/>
      </c>
      <c r="M471" s="11">
        <f>'Pairings NB'!$N$2079</f>
        <v/>
      </c>
    </row>
    <row r="472">
      <c r="A472" s="11">
        <f>'Pairings NB'!B2086</f>
        <v/>
      </c>
      <c r="B472" s="11">
        <f>'Pairings NB'!C2086</f>
        <v/>
      </c>
      <c r="C472" s="11">
        <f>'Pairings NB'!D2086</f>
        <v/>
      </c>
      <c r="D472" s="11">
        <f>'Pairings NB'!E2086&amp;"/"&amp;'Pairings NB'!E2087</f>
        <v/>
      </c>
      <c r="E472" s="11">
        <f>'Pairings NB'!F2086&amp;"-"&amp;'Pairings NB'!G2086&amp;"-"&amp;'Pairings NB'!F2086</f>
        <v/>
      </c>
      <c r="F472" s="11">
        <f>IFERROR(VLOOKUP('Pairings NB'!$M$2086,Instructores!$A:$D,2,FALSE),"")</f>
        <v/>
      </c>
      <c r="G472" s="11">
        <f>'Pairings NB'!$M$2086</f>
        <v/>
      </c>
      <c r="H472" s="11">
        <f>IFERROR(VLOOKUP('Pairings NB'!$M$2086,Instructores!$A:$D,4,FALSE),"")</f>
        <v/>
      </c>
      <c r="I472" s="11">
        <f>'Pairings NB'!$O$2086</f>
        <v/>
      </c>
      <c r="J472" s="11">
        <f>'Pairings NB'!J2086</f>
        <v/>
      </c>
      <c r="K472" s="11">
        <f>IFERROR(VLOOKUP('Pairings NB'!$M$2086,Instructores!$A:$D,3,FALSE),"")</f>
        <v/>
      </c>
      <c r="L472" s="11">
        <f>IF('Pairings NB'!J2086=320,4,3)</f>
        <v/>
      </c>
      <c r="M472" s="11">
        <f>'Pairings NB'!$N$2086</f>
        <v/>
      </c>
    </row>
    <row r="473">
      <c r="A473" s="11">
        <f>'Pairings NB'!B2091</f>
        <v/>
      </c>
      <c r="B473" s="11">
        <f>'Pairings NB'!C2091</f>
        <v/>
      </c>
      <c r="C473" s="11">
        <f>'Pairings NB'!D2091</f>
        <v/>
      </c>
      <c r="D473" s="11">
        <f>'Pairings NB'!E2091&amp;"/"&amp;'Pairings NB'!E2092</f>
        <v/>
      </c>
      <c r="E473" s="11">
        <f>'Pairings NB'!F2091&amp;"-"&amp;'Pairings NB'!G2091&amp;"-"&amp;'Pairings NB'!F2091</f>
        <v/>
      </c>
      <c r="F473" s="11">
        <f>IFERROR(VLOOKUP('Pairings NB'!$M$2091,Instructores!$A:$D,2,FALSE),"")</f>
        <v/>
      </c>
      <c r="G473" s="11">
        <f>'Pairings NB'!$M$2091</f>
        <v/>
      </c>
      <c r="H473" s="11">
        <f>IFERROR(VLOOKUP('Pairings NB'!$M$2091,Instructores!$A:$D,4,FALSE),"")</f>
        <v/>
      </c>
      <c r="I473" s="11">
        <f>'Pairings NB'!$O$2091</f>
        <v/>
      </c>
      <c r="J473" s="11">
        <f>'Pairings NB'!J2091</f>
        <v/>
      </c>
      <c r="K473" s="11">
        <f>IFERROR(VLOOKUP('Pairings NB'!$M$2091,Instructores!$A:$D,3,FALSE),"")</f>
        <v/>
      </c>
      <c r="L473" s="11">
        <f>IF('Pairings NB'!J2091=320,4,3)</f>
        <v/>
      </c>
      <c r="M473" s="11">
        <f>'Pairings NB'!$N$2091</f>
        <v/>
      </c>
    </row>
    <row r="474">
      <c r="A474" s="11">
        <f>'Pairings NB'!B2096</f>
        <v/>
      </c>
      <c r="B474" s="11">
        <f>'Pairings NB'!C2096</f>
        <v/>
      </c>
      <c r="C474" s="11">
        <f>'Pairings NB'!D2096</f>
        <v/>
      </c>
      <c r="D474" s="11">
        <f>'Pairings NB'!E2096&amp;"/"&amp;'Pairings NB'!E2097</f>
        <v/>
      </c>
      <c r="E474" s="11">
        <f>'Pairings NB'!F2096&amp;"-"&amp;'Pairings NB'!G2096&amp;"-"&amp;'Pairings NB'!F2096</f>
        <v/>
      </c>
      <c r="F474" s="11">
        <f>IFERROR(VLOOKUP('Pairings NB'!$M$2096,Instructores!$A:$D,2,FALSE),"")</f>
        <v/>
      </c>
      <c r="G474" s="11">
        <f>'Pairings NB'!$M$2096</f>
        <v/>
      </c>
      <c r="H474" s="11">
        <f>IFERROR(VLOOKUP('Pairings NB'!$M$2096,Instructores!$A:$D,4,FALSE),"")</f>
        <v/>
      </c>
      <c r="I474" s="11">
        <f>'Pairings NB'!$O$2096</f>
        <v/>
      </c>
      <c r="J474" s="11">
        <f>'Pairings NB'!J2096</f>
        <v/>
      </c>
      <c r="K474" s="11">
        <f>IFERROR(VLOOKUP('Pairings NB'!$M$2096,Instructores!$A:$D,3,FALSE),"")</f>
        <v/>
      </c>
      <c r="L474" s="11">
        <f>IF('Pairings NB'!J2096=320,4,3)</f>
        <v/>
      </c>
      <c r="M474" s="11">
        <f>'Pairings NB'!$N$2096</f>
        <v/>
      </c>
    </row>
    <row r="475">
      <c r="A475" s="11">
        <f>'Pairings NB'!B2098</f>
        <v/>
      </c>
      <c r="B475" s="11">
        <f>'Pairings NB'!C2098</f>
        <v/>
      </c>
      <c r="C475" s="11">
        <f>'Pairings NB'!D2098</f>
        <v/>
      </c>
      <c r="D475" s="11">
        <f>'Pairings NB'!E2098&amp;"/"&amp;'Pairings NB'!E2099</f>
        <v/>
      </c>
      <c r="E475" s="11">
        <f>'Pairings NB'!F2098&amp;"-"&amp;'Pairings NB'!G2098&amp;"-"&amp;'Pairings NB'!F2098</f>
        <v/>
      </c>
      <c r="F475" s="11">
        <f>IFERROR(VLOOKUP('Pairings NB'!$M$2096,Instructores!$A:$D,2,FALSE),"")</f>
        <v/>
      </c>
      <c r="G475" s="11">
        <f>'Pairings NB'!$M$2096</f>
        <v/>
      </c>
      <c r="H475" s="11">
        <f>IFERROR(VLOOKUP('Pairings NB'!$M$2096,Instructores!$A:$D,4,FALSE),"")</f>
        <v/>
      </c>
      <c r="I475" s="11">
        <f>'Pairings NB'!$O$2096</f>
        <v/>
      </c>
      <c r="J475" s="11">
        <f>'Pairings NB'!J2098</f>
        <v/>
      </c>
      <c r="K475" s="11">
        <f>IFERROR(VLOOKUP('Pairings NB'!$M$2096,Instructores!$A:$D,3,FALSE),"")</f>
        <v/>
      </c>
      <c r="L475" s="11">
        <f>IF('Pairings NB'!J2098=320,4,3)</f>
        <v/>
      </c>
      <c r="M475" s="11">
        <f>'Pairings NB'!$N$2096</f>
        <v/>
      </c>
    </row>
    <row r="476">
      <c r="A476" s="11">
        <f>'Pairings NB'!B2103</f>
        <v/>
      </c>
      <c r="B476" s="11">
        <f>'Pairings NB'!C2103</f>
        <v/>
      </c>
      <c r="C476" s="11">
        <f>'Pairings NB'!D2103</f>
        <v/>
      </c>
      <c r="D476" s="11">
        <f>'Pairings NB'!E2103&amp;"/"&amp;'Pairings NB'!E2104</f>
        <v/>
      </c>
      <c r="E476" s="11">
        <f>'Pairings NB'!F2103&amp;"-"&amp;'Pairings NB'!G2103&amp;"-"&amp;'Pairings NB'!F2103</f>
        <v/>
      </c>
      <c r="F476" s="11">
        <f>IFERROR(VLOOKUP('Pairings NB'!$M$2103,Instructores!$A:$D,2,FALSE),"")</f>
        <v/>
      </c>
      <c r="G476" s="11">
        <f>'Pairings NB'!$M$2103</f>
        <v/>
      </c>
      <c r="H476" s="11">
        <f>IFERROR(VLOOKUP('Pairings NB'!$M$2103,Instructores!$A:$D,4,FALSE),"")</f>
        <v/>
      </c>
      <c r="I476" s="11">
        <f>'Pairings NB'!$O$2103</f>
        <v/>
      </c>
      <c r="J476" s="11">
        <f>'Pairings NB'!J2103</f>
        <v/>
      </c>
      <c r="K476" s="11">
        <f>IFERROR(VLOOKUP('Pairings NB'!$M$2103,Instructores!$A:$D,3,FALSE),"")</f>
        <v/>
      </c>
      <c r="L476" s="11">
        <f>IF('Pairings NB'!J2103=320,4,3)</f>
        <v/>
      </c>
      <c r="M476" s="11">
        <f>'Pairings NB'!$N$2103</f>
        <v/>
      </c>
    </row>
    <row r="477">
      <c r="A477" s="11">
        <f>'Pairings NB'!B2108</f>
        <v/>
      </c>
      <c r="B477" s="11">
        <f>'Pairings NB'!C2108</f>
        <v/>
      </c>
      <c r="C477" s="11">
        <f>'Pairings NB'!D2108</f>
        <v/>
      </c>
      <c r="D477" s="11">
        <f>'Pairings NB'!E2108&amp;"/"&amp;'Pairings NB'!E2109</f>
        <v/>
      </c>
      <c r="E477" s="11">
        <f>'Pairings NB'!F2108&amp;"-"&amp;'Pairings NB'!G2108&amp;"-"&amp;'Pairings NB'!F2108</f>
        <v/>
      </c>
      <c r="F477" s="11">
        <f>IFERROR(VLOOKUP('Pairings NB'!$M$2108,Instructores!$A:$D,2,FALSE),"")</f>
        <v/>
      </c>
      <c r="G477" s="11">
        <f>'Pairings NB'!$M$2108</f>
        <v/>
      </c>
      <c r="H477" s="11">
        <f>IFERROR(VLOOKUP('Pairings NB'!$M$2108,Instructores!$A:$D,4,FALSE),"")</f>
        <v/>
      </c>
      <c r="I477" s="11">
        <f>'Pairings NB'!$O$2108</f>
        <v/>
      </c>
      <c r="J477" s="11">
        <f>'Pairings NB'!J2108</f>
        <v/>
      </c>
      <c r="K477" s="11">
        <f>IFERROR(VLOOKUP('Pairings NB'!$M$2108,Instructores!$A:$D,3,FALSE),"")</f>
        <v/>
      </c>
      <c r="L477" s="11">
        <f>IF('Pairings NB'!J2108=320,4,3)</f>
        <v/>
      </c>
      <c r="M477" s="11">
        <f>'Pairings NB'!$N$2108</f>
        <v/>
      </c>
    </row>
    <row r="478">
      <c r="A478" s="11">
        <f>'Pairings NB'!B2113</f>
        <v/>
      </c>
      <c r="B478" s="11">
        <f>'Pairings NB'!C2113</f>
        <v/>
      </c>
      <c r="C478" s="11">
        <f>'Pairings NB'!D2113</f>
        <v/>
      </c>
      <c r="D478" s="11">
        <f>'Pairings NB'!E2113&amp;"/"&amp;'Pairings NB'!E2114</f>
        <v/>
      </c>
      <c r="E478" s="11">
        <f>'Pairings NB'!F2113&amp;"-"&amp;'Pairings NB'!G2113&amp;"-"&amp;'Pairings NB'!F2113</f>
        <v/>
      </c>
      <c r="F478" s="11">
        <f>IFERROR(VLOOKUP('Pairings NB'!$M$2113,Instructores!$A:$D,2,FALSE),"")</f>
        <v/>
      </c>
      <c r="G478" s="11">
        <f>'Pairings NB'!$M$2113</f>
        <v/>
      </c>
      <c r="H478" s="11">
        <f>IFERROR(VLOOKUP('Pairings NB'!$M$2113,Instructores!$A:$D,4,FALSE),"")</f>
        <v/>
      </c>
      <c r="I478" s="11">
        <f>'Pairings NB'!$O$2113</f>
        <v/>
      </c>
      <c r="J478" s="11">
        <f>'Pairings NB'!J2113</f>
        <v/>
      </c>
      <c r="K478" s="11">
        <f>IFERROR(VLOOKUP('Pairings NB'!$M$2113,Instructores!$A:$D,3,FALSE),"")</f>
        <v/>
      </c>
      <c r="L478" s="11">
        <f>IF('Pairings NB'!J2113=320,4,3)</f>
        <v/>
      </c>
      <c r="M478" s="11">
        <f>'Pairings NB'!$N$2113</f>
        <v/>
      </c>
    </row>
    <row r="479">
      <c r="A479" s="11">
        <f>'Pairings NB'!B2118</f>
        <v/>
      </c>
      <c r="B479" s="11">
        <f>'Pairings NB'!C2118</f>
        <v/>
      </c>
      <c r="C479" s="11">
        <f>'Pairings NB'!D2118</f>
        <v/>
      </c>
      <c r="D479" s="11">
        <f>'Pairings NB'!E2118&amp;"/"&amp;'Pairings NB'!E2119</f>
        <v/>
      </c>
      <c r="E479" s="11">
        <f>'Pairings NB'!F2118&amp;"-"&amp;'Pairings NB'!G2118&amp;"-"&amp;'Pairings NB'!F2118</f>
        <v/>
      </c>
      <c r="F479" s="11">
        <f>IFERROR(VLOOKUP('Pairings NB'!$M$2118,Instructores!$A:$D,2,FALSE),"")</f>
        <v/>
      </c>
      <c r="G479" s="11">
        <f>'Pairings NB'!$M$2118</f>
        <v/>
      </c>
      <c r="H479" s="11">
        <f>IFERROR(VLOOKUP('Pairings NB'!$M$2118,Instructores!$A:$D,4,FALSE),"")</f>
        <v/>
      </c>
      <c r="I479" s="11">
        <f>'Pairings NB'!$O$2118</f>
        <v/>
      </c>
      <c r="J479" s="11">
        <f>'Pairings NB'!J2118</f>
        <v/>
      </c>
      <c r="K479" s="11">
        <f>IFERROR(VLOOKUP('Pairings NB'!$M$2118,Instructores!$A:$D,3,FALSE),"")</f>
        <v/>
      </c>
      <c r="L479" s="11">
        <f>IF('Pairings NB'!J2118=320,4,3)</f>
        <v/>
      </c>
      <c r="M479" s="11">
        <f>'Pairings NB'!$N$2118</f>
        <v/>
      </c>
    </row>
    <row r="480">
      <c r="A480" s="11">
        <f>'Pairings NB'!B2123</f>
        <v/>
      </c>
      <c r="B480" s="11">
        <f>'Pairings NB'!C2123</f>
        <v/>
      </c>
      <c r="C480" s="11">
        <f>'Pairings NB'!D2123</f>
        <v/>
      </c>
      <c r="D480" s="11">
        <f>'Pairings NB'!E2123&amp;"/"&amp;'Pairings NB'!E2124</f>
        <v/>
      </c>
      <c r="E480" s="11">
        <f>'Pairings NB'!F2123&amp;"-"&amp;'Pairings NB'!G2123&amp;"-"&amp;'Pairings NB'!F2123</f>
        <v/>
      </c>
      <c r="F480" s="11">
        <f>IFERROR(VLOOKUP('Pairings NB'!$M$2123,Instructores!$A:$D,2,FALSE),"")</f>
        <v/>
      </c>
      <c r="G480" s="11">
        <f>'Pairings NB'!$M$2123</f>
        <v/>
      </c>
      <c r="H480" s="11">
        <f>IFERROR(VLOOKUP('Pairings NB'!$M$2123,Instructores!$A:$D,4,FALSE),"")</f>
        <v/>
      </c>
      <c r="I480" s="11">
        <f>'Pairings NB'!$O$2123</f>
        <v/>
      </c>
      <c r="J480" s="11">
        <f>'Pairings NB'!J2123</f>
        <v/>
      </c>
      <c r="K480" s="11">
        <f>IFERROR(VLOOKUP('Pairings NB'!$M$2123,Instructores!$A:$D,3,FALSE),"")</f>
        <v/>
      </c>
      <c r="L480" s="11">
        <f>IF('Pairings NB'!J2123=320,4,3)</f>
        <v/>
      </c>
      <c r="M480" s="11">
        <f>'Pairings NB'!$N$2123</f>
        <v/>
      </c>
    </row>
    <row r="481">
      <c r="A481" s="11">
        <f>'Pairings NB'!B2128</f>
        <v/>
      </c>
      <c r="B481" s="11">
        <f>'Pairings NB'!C2128</f>
        <v/>
      </c>
      <c r="C481" s="11">
        <f>'Pairings NB'!D2128</f>
        <v/>
      </c>
      <c r="D481" s="11">
        <f>'Pairings NB'!E2128&amp;"/"&amp;'Pairings NB'!E2129</f>
        <v/>
      </c>
      <c r="E481" s="11">
        <f>'Pairings NB'!F2128&amp;"-"&amp;'Pairings NB'!G2128&amp;"-"&amp;'Pairings NB'!F2128</f>
        <v/>
      </c>
      <c r="F481" s="11">
        <f>IFERROR(VLOOKUP('Pairings NB'!$M$2128,Instructores!$A:$D,2,FALSE),"")</f>
        <v/>
      </c>
      <c r="G481" s="11">
        <f>'Pairings NB'!$M$2128</f>
        <v/>
      </c>
      <c r="H481" s="11">
        <f>IFERROR(VLOOKUP('Pairings NB'!$M$2128,Instructores!$A:$D,4,FALSE),"")</f>
        <v/>
      </c>
      <c r="I481" s="11">
        <f>'Pairings NB'!$O$2128</f>
        <v/>
      </c>
      <c r="J481" s="11">
        <f>'Pairings NB'!J2128</f>
        <v/>
      </c>
      <c r="K481" s="11">
        <f>IFERROR(VLOOKUP('Pairings NB'!$M$2128,Instructores!$A:$D,3,FALSE),"")</f>
        <v/>
      </c>
      <c r="L481" s="11">
        <f>IF('Pairings NB'!J2128=320,4,3)</f>
        <v/>
      </c>
      <c r="M481" s="11">
        <f>'Pairings NB'!$N$2128</f>
        <v/>
      </c>
    </row>
    <row r="482">
      <c r="A482" s="11">
        <f>'Pairings NB'!B2133</f>
        <v/>
      </c>
      <c r="B482" s="11">
        <f>'Pairings NB'!C2133</f>
        <v/>
      </c>
      <c r="C482" s="11">
        <f>'Pairings NB'!D2133</f>
        <v/>
      </c>
      <c r="D482" s="11">
        <f>'Pairings NB'!E2133&amp;"/"&amp;'Pairings NB'!E2134</f>
        <v/>
      </c>
      <c r="E482" s="11">
        <f>'Pairings NB'!F2133&amp;"-"&amp;'Pairings NB'!G2133&amp;"-"&amp;'Pairings NB'!F2133</f>
        <v/>
      </c>
      <c r="F482" s="11">
        <f>IFERROR(VLOOKUP('Pairings NB'!$M$2133,Instructores!$A:$D,2,FALSE),"")</f>
        <v/>
      </c>
      <c r="G482" s="11">
        <f>'Pairings NB'!$M$2133</f>
        <v/>
      </c>
      <c r="H482" s="11">
        <f>IFERROR(VLOOKUP('Pairings NB'!$M$2133,Instructores!$A:$D,4,FALSE),"")</f>
        <v/>
      </c>
      <c r="I482" s="11">
        <f>'Pairings NB'!$O$2133</f>
        <v/>
      </c>
      <c r="J482" s="11">
        <f>'Pairings NB'!J2133</f>
        <v/>
      </c>
      <c r="K482" s="11">
        <f>IFERROR(VLOOKUP('Pairings NB'!$M$2133,Instructores!$A:$D,3,FALSE),"")</f>
        <v/>
      </c>
      <c r="L482" s="11">
        <f>IF('Pairings NB'!J2133=320,4,3)</f>
        <v/>
      </c>
      <c r="M482" s="11">
        <f>'Pairings NB'!$N$2133</f>
        <v/>
      </c>
    </row>
    <row r="483">
      <c r="A483" s="11">
        <f>'Pairings NB'!B2138</f>
        <v/>
      </c>
      <c r="B483" s="11">
        <f>'Pairings NB'!C2138</f>
        <v/>
      </c>
      <c r="C483" s="11">
        <f>'Pairings NB'!D2138</f>
        <v/>
      </c>
      <c r="D483" s="11">
        <f>'Pairings NB'!E2138&amp;"/"&amp;'Pairings NB'!E2139</f>
        <v/>
      </c>
      <c r="E483" s="11">
        <f>'Pairings NB'!F2138&amp;"-"&amp;'Pairings NB'!G2138&amp;"-"&amp;'Pairings NB'!F2138</f>
        <v/>
      </c>
      <c r="F483" s="11">
        <f>IFERROR(VLOOKUP('Pairings NB'!$M$2138,Instructores!$A:$D,2,FALSE),"")</f>
        <v/>
      </c>
      <c r="G483" s="11">
        <f>'Pairings NB'!$M$2138</f>
        <v/>
      </c>
      <c r="H483" s="11">
        <f>IFERROR(VLOOKUP('Pairings NB'!$M$2138,Instructores!$A:$D,4,FALSE),"")</f>
        <v/>
      </c>
      <c r="I483" s="11">
        <f>'Pairings NB'!$O$2138</f>
        <v/>
      </c>
      <c r="J483" s="11">
        <f>'Pairings NB'!J2138</f>
        <v/>
      </c>
      <c r="K483" s="11">
        <f>IFERROR(VLOOKUP('Pairings NB'!$M$2138,Instructores!$A:$D,3,FALSE),"")</f>
        <v/>
      </c>
      <c r="L483" s="11">
        <f>IF('Pairings NB'!J2138=320,4,3)</f>
        <v/>
      </c>
      <c r="M483" s="11">
        <f>'Pairings NB'!$N$2138</f>
        <v/>
      </c>
    </row>
    <row r="484">
      <c r="A484" s="11">
        <f>'Pairings NB'!B2140</f>
        <v/>
      </c>
      <c r="B484" s="11">
        <f>'Pairings NB'!C2140</f>
        <v/>
      </c>
      <c r="C484" s="11">
        <f>'Pairings NB'!D2140</f>
        <v/>
      </c>
      <c r="D484" s="11">
        <f>'Pairings NB'!E2140&amp;"/"&amp;'Pairings NB'!E2141</f>
        <v/>
      </c>
      <c r="E484" s="11">
        <f>'Pairings NB'!F2140&amp;"-"&amp;'Pairings NB'!G2140&amp;"-"&amp;'Pairings NB'!F2140</f>
        <v/>
      </c>
      <c r="F484" s="11">
        <f>IFERROR(VLOOKUP('Pairings NB'!$M$2138,Instructores!$A:$D,2,FALSE),"")</f>
        <v/>
      </c>
      <c r="G484" s="11">
        <f>'Pairings NB'!$M$2138</f>
        <v/>
      </c>
      <c r="H484" s="11">
        <f>IFERROR(VLOOKUP('Pairings NB'!$M$2138,Instructores!$A:$D,4,FALSE),"")</f>
        <v/>
      </c>
      <c r="I484" s="11">
        <f>'Pairings NB'!$O$2138</f>
        <v/>
      </c>
      <c r="J484" s="11">
        <f>'Pairings NB'!J2140</f>
        <v/>
      </c>
      <c r="K484" s="11">
        <f>IFERROR(VLOOKUP('Pairings NB'!$M$2138,Instructores!$A:$D,3,FALSE),"")</f>
        <v/>
      </c>
      <c r="L484" s="11">
        <f>IF('Pairings NB'!J2140=320,4,3)</f>
        <v/>
      </c>
      <c r="M484" s="11">
        <f>'Pairings NB'!$N$2138</f>
        <v/>
      </c>
    </row>
    <row r="485">
      <c r="A485" s="11">
        <f>'Pairings NB'!B2145</f>
        <v/>
      </c>
      <c r="B485" s="11">
        <f>'Pairings NB'!C2145</f>
        <v/>
      </c>
      <c r="C485" s="11">
        <f>'Pairings NB'!D2145</f>
        <v/>
      </c>
      <c r="D485" s="11">
        <f>'Pairings NB'!E2145&amp;"/"&amp;'Pairings NB'!E2146</f>
        <v/>
      </c>
      <c r="E485" s="11">
        <f>'Pairings NB'!F2145&amp;"-"&amp;'Pairings NB'!G2145&amp;"-"&amp;'Pairings NB'!F2145</f>
        <v/>
      </c>
      <c r="F485" s="11">
        <f>IFERROR(VLOOKUP('Pairings NB'!$M$2145,Instructores!$A:$D,2,FALSE),"")</f>
        <v/>
      </c>
      <c r="G485" s="11">
        <f>'Pairings NB'!$M$2145</f>
        <v/>
      </c>
      <c r="H485" s="11">
        <f>IFERROR(VLOOKUP('Pairings NB'!$M$2145,Instructores!$A:$D,4,FALSE),"")</f>
        <v/>
      </c>
      <c r="I485" s="11">
        <f>'Pairings NB'!$O$2145</f>
        <v/>
      </c>
      <c r="J485" s="11">
        <f>'Pairings NB'!J2145</f>
        <v/>
      </c>
      <c r="K485" s="11">
        <f>IFERROR(VLOOKUP('Pairings NB'!$M$2145,Instructores!$A:$D,3,FALSE),"")</f>
        <v/>
      </c>
      <c r="L485" s="11">
        <f>IF('Pairings NB'!J2145=320,4,3)</f>
        <v/>
      </c>
      <c r="M485" s="11">
        <f>'Pairings NB'!$N$2145</f>
        <v/>
      </c>
    </row>
    <row r="486">
      <c r="A486" s="11">
        <f>'Pairings NB'!B2150</f>
        <v/>
      </c>
      <c r="B486" s="11">
        <f>'Pairings NB'!C2150</f>
        <v/>
      </c>
      <c r="C486" s="11">
        <f>'Pairings NB'!D2150</f>
        <v/>
      </c>
      <c r="D486" s="11">
        <f>'Pairings NB'!E2150&amp;"/"&amp;'Pairings NB'!E2151</f>
        <v/>
      </c>
      <c r="E486" s="11">
        <f>'Pairings NB'!F2150&amp;"-"&amp;'Pairings NB'!G2150&amp;"-"&amp;'Pairings NB'!F2150</f>
        <v/>
      </c>
      <c r="F486" s="11">
        <f>IFERROR(VLOOKUP('Pairings NB'!$M$2150,Instructores!$A:$D,2,FALSE),"")</f>
        <v/>
      </c>
      <c r="G486" s="11">
        <f>'Pairings NB'!$M$2150</f>
        <v/>
      </c>
      <c r="H486" s="11">
        <f>IFERROR(VLOOKUP('Pairings NB'!$M$2150,Instructores!$A:$D,4,FALSE),"")</f>
        <v/>
      </c>
      <c r="I486" s="11">
        <f>'Pairings NB'!$O$2150</f>
        <v/>
      </c>
      <c r="J486" s="11">
        <f>'Pairings NB'!J2150</f>
        <v/>
      </c>
      <c r="K486" s="11">
        <f>IFERROR(VLOOKUP('Pairings NB'!$M$2150,Instructores!$A:$D,3,FALSE),"")</f>
        <v/>
      </c>
      <c r="L486" s="11">
        <f>IF('Pairings NB'!J2150=320,4,3)</f>
        <v/>
      </c>
      <c r="M486" s="11">
        <f>'Pairings NB'!$N$2150</f>
        <v/>
      </c>
    </row>
    <row r="487">
      <c r="A487" s="11">
        <f>'Pairings NB'!B2152</f>
        <v/>
      </c>
      <c r="B487" s="11">
        <f>'Pairings NB'!C2152</f>
        <v/>
      </c>
      <c r="C487" s="11">
        <f>'Pairings NB'!D2152</f>
        <v/>
      </c>
      <c r="D487" s="11">
        <f>'Pairings NB'!E2152&amp;"/"&amp;'Pairings NB'!E2153</f>
        <v/>
      </c>
      <c r="E487" s="11">
        <f>'Pairings NB'!F2152&amp;"-"&amp;'Pairings NB'!G2152&amp;"-"&amp;'Pairings NB'!F2152</f>
        <v/>
      </c>
      <c r="F487" s="11">
        <f>IFERROR(VLOOKUP('Pairings NB'!$M$2150,Instructores!$A:$D,2,FALSE),"")</f>
        <v/>
      </c>
      <c r="G487" s="11">
        <f>'Pairings NB'!$M$2150</f>
        <v/>
      </c>
      <c r="H487" s="11">
        <f>IFERROR(VLOOKUP('Pairings NB'!$M$2150,Instructores!$A:$D,4,FALSE),"")</f>
        <v/>
      </c>
      <c r="I487" s="11">
        <f>'Pairings NB'!$O$2150</f>
        <v/>
      </c>
      <c r="J487" s="11">
        <f>'Pairings NB'!J2152</f>
        <v/>
      </c>
      <c r="K487" s="11">
        <f>IFERROR(VLOOKUP('Pairings NB'!$M$2150,Instructores!$A:$D,3,FALSE),"")</f>
        <v/>
      </c>
      <c r="L487" s="11">
        <f>IF('Pairings NB'!J2152=320,4,3)</f>
        <v/>
      </c>
      <c r="M487" s="11">
        <f>'Pairings NB'!$N$2150</f>
        <v/>
      </c>
    </row>
    <row r="488">
      <c r="A488" s="11">
        <f>'Pairings NB'!B2157</f>
        <v/>
      </c>
      <c r="B488" s="11">
        <f>'Pairings NB'!C2157</f>
        <v/>
      </c>
      <c r="C488" s="11">
        <f>'Pairings NB'!D2157</f>
        <v/>
      </c>
      <c r="D488" s="11">
        <f>'Pairings NB'!E2157&amp;"/"&amp;'Pairings NB'!E2158</f>
        <v/>
      </c>
      <c r="E488" s="11">
        <f>'Pairings NB'!F2157&amp;"-"&amp;'Pairings NB'!G2157&amp;"-"&amp;'Pairings NB'!F2157</f>
        <v/>
      </c>
      <c r="F488" s="11">
        <f>IFERROR(VLOOKUP('Pairings NB'!$M$2157,Instructores!$A:$D,2,FALSE),"")</f>
        <v/>
      </c>
      <c r="G488" s="11">
        <f>'Pairings NB'!$M$2157</f>
        <v/>
      </c>
      <c r="H488" s="11">
        <f>IFERROR(VLOOKUP('Pairings NB'!$M$2157,Instructores!$A:$D,4,FALSE),"")</f>
        <v/>
      </c>
      <c r="I488" s="11">
        <f>'Pairings NB'!$O$2157</f>
        <v/>
      </c>
      <c r="J488" s="11">
        <f>'Pairings NB'!J2157</f>
        <v/>
      </c>
      <c r="K488" s="11">
        <f>IFERROR(VLOOKUP('Pairings NB'!$M$2157,Instructores!$A:$D,3,FALSE),"")</f>
        <v/>
      </c>
      <c r="L488" s="11">
        <f>IF('Pairings NB'!J2157=320,4,3)</f>
        <v/>
      </c>
      <c r="M488" s="11">
        <f>'Pairings NB'!$N$2157</f>
        <v/>
      </c>
    </row>
    <row r="489">
      <c r="A489" s="11">
        <f>'Pairings NB'!B2159</f>
        <v/>
      </c>
      <c r="B489" s="11">
        <f>'Pairings NB'!C2159</f>
        <v/>
      </c>
      <c r="C489" s="11">
        <f>'Pairings NB'!D2159</f>
        <v/>
      </c>
      <c r="D489" s="11">
        <f>'Pairings NB'!E2159&amp;"/"&amp;'Pairings NB'!E2160</f>
        <v/>
      </c>
      <c r="E489" s="11">
        <f>'Pairings NB'!F2159&amp;"-"&amp;'Pairings NB'!G2159&amp;"-"&amp;'Pairings NB'!F2159</f>
        <v/>
      </c>
      <c r="F489" s="11">
        <f>IFERROR(VLOOKUP('Pairings NB'!$M$2157,Instructores!$A:$D,2,FALSE),"")</f>
        <v/>
      </c>
      <c r="G489" s="11">
        <f>'Pairings NB'!$M$2157</f>
        <v/>
      </c>
      <c r="H489" s="11">
        <f>IFERROR(VLOOKUP('Pairings NB'!$M$2157,Instructores!$A:$D,4,FALSE),"")</f>
        <v/>
      </c>
      <c r="I489" s="11">
        <f>'Pairings NB'!$O$2157</f>
        <v/>
      </c>
      <c r="J489" s="11">
        <f>'Pairings NB'!J2159</f>
        <v/>
      </c>
      <c r="K489" s="11">
        <f>IFERROR(VLOOKUP('Pairings NB'!$M$2157,Instructores!$A:$D,3,FALSE),"")</f>
        <v/>
      </c>
      <c r="L489" s="11">
        <f>IF('Pairings NB'!J2159=320,4,3)</f>
        <v/>
      </c>
      <c r="M489" s="11">
        <f>'Pairings NB'!$N$2157</f>
        <v/>
      </c>
    </row>
    <row r="490">
      <c r="A490" s="11">
        <f>'Pairings NB'!B2164</f>
        <v/>
      </c>
      <c r="B490" s="11">
        <f>'Pairings NB'!C2164</f>
        <v/>
      </c>
      <c r="C490" s="11">
        <f>'Pairings NB'!D2164</f>
        <v/>
      </c>
      <c r="D490" s="11">
        <f>'Pairings NB'!E2164&amp;"/"&amp;'Pairings NB'!E2165</f>
        <v/>
      </c>
      <c r="E490" s="11">
        <f>'Pairings NB'!F2164&amp;"-"&amp;'Pairings NB'!G2164&amp;"-"&amp;'Pairings NB'!F2164</f>
        <v/>
      </c>
      <c r="F490" s="11">
        <f>IFERROR(VLOOKUP('Pairings NB'!$M$2164,Instructores!$A:$D,2,FALSE),"")</f>
        <v/>
      </c>
      <c r="G490" s="11">
        <f>'Pairings NB'!$M$2164</f>
        <v/>
      </c>
      <c r="H490" s="11">
        <f>IFERROR(VLOOKUP('Pairings NB'!$M$2164,Instructores!$A:$D,4,FALSE),"")</f>
        <v/>
      </c>
      <c r="I490" s="11">
        <f>'Pairings NB'!$O$2164</f>
        <v/>
      </c>
      <c r="J490" s="11">
        <f>'Pairings NB'!J2164</f>
        <v/>
      </c>
      <c r="K490" s="11">
        <f>IFERROR(VLOOKUP('Pairings NB'!$M$2164,Instructores!$A:$D,3,FALSE),"")</f>
        <v/>
      </c>
      <c r="L490" s="11">
        <f>IF('Pairings NB'!J2164=320,4,3)</f>
        <v/>
      </c>
      <c r="M490" s="11">
        <f>'Pairings NB'!$N$2164</f>
        <v/>
      </c>
    </row>
    <row r="491">
      <c r="A491" s="11">
        <f>'Pairings NB'!B2169</f>
        <v/>
      </c>
      <c r="B491" s="11">
        <f>'Pairings NB'!C2169</f>
        <v/>
      </c>
      <c r="C491" s="11">
        <f>'Pairings NB'!D2169</f>
        <v/>
      </c>
      <c r="D491" s="11">
        <f>'Pairings NB'!E2169&amp;"/"&amp;'Pairings NB'!E2170</f>
        <v/>
      </c>
      <c r="E491" s="11">
        <f>'Pairings NB'!F2169&amp;"-"&amp;'Pairings NB'!G2169&amp;"-"&amp;'Pairings NB'!F2169</f>
        <v/>
      </c>
      <c r="F491" s="11">
        <f>IFERROR(VLOOKUP('Pairings NB'!$M$2169,Instructores!$A:$D,2,FALSE),"")</f>
        <v/>
      </c>
      <c r="G491" s="11">
        <f>'Pairings NB'!$M$2169</f>
        <v/>
      </c>
      <c r="H491" s="11">
        <f>IFERROR(VLOOKUP('Pairings NB'!$M$2169,Instructores!$A:$D,4,FALSE),"")</f>
        <v/>
      </c>
      <c r="I491" s="11">
        <f>'Pairings NB'!$O$2169</f>
        <v/>
      </c>
      <c r="J491" s="11">
        <f>'Pairings NB'!J2169</f>
        <v/>
      </c>
      <c r="K491" s="11">
        <f>IFERROR(VLOOKUP('Pairings NB'!$M$2169,Instructores!$A:$D,3,FALSE),"")</f>
        <v/>
      </c>
      <c r="L491" s="11">
        <f>IF('Pairings NB'!J2169=320,4,3)</f>
        <v/>
      </c>
      <c r="M491" s="11">
        <f>'Pairings NB'!$N$2169</f>
        <v/>
      </c>
    </row>
    <row r="492">
      <c r="A492" s="11">
        <f>'Pairings NB'!B2174</f>
        <v/>
      </c>
      <c r="B492" s="11">
        <f>'Pairings NB'!C2174</f>
        <v/>
      </c>
      <c r="C492" s="11">
        <f>'Pairings NB'!D2174</f>
        <v/>
      </c>
      <c r="D492" s="11">
        <f>'Pairings NB'!E2174&amp;"/"&amp;'Pairings NB'!E2175</f>
        <v/>
      </c>
      <c r="E492" s="11">
        <f>'Pairings NB'!F2174&amp;"-"&amp;'Pairings NB'!G2174&amp;"-"&amp;'Pairings NB'!F2174</f>
        <v/>
      </c>
      <c r="F492" s="11">
        <f>IFERROR(VLOOKUP('Pairings NB'!$M$2174,Instructores!$A:$D,2,FALSE),"")</f>
        <v/>
      </c>
      <c r="G492" s="11">
        <f>'Pairings NB'!$M$2174</f>
        <v/>
      </c>
      <c r="H492" s="11">
        <f>IFERROR(VLOOKUP('Pairings NB'!$M$2174,Instructores!$A:$D,4,FALSE),"")</f>
        <v/>
      </c>
      <c r="I492" s="11">
        <f>'Pairings NB'!$O$2174</f>
        <v/>
      </c>
      <c r="J492" s="11">
        <f>'Pairings NB'!J2174</f>
        <v/>
      </c>
      <c r="K492" s="11">
        <f>IFERROR(VLOOKUP('Pairings NB'!$M$2174,Instructores!$A:$D,3,FALSE),"")</f>
        <v/>
      </c>
      <c r="L492" s="11">
        <f>IF('Pairings NB'!J2174=320,4,3)</f>
        <v/>
      </c>
      <c r="M492" s="11">
        <f>'Pairings NB'!$N$2174</f>
        <v/>
      </c>
    </row>
    <row r="493">
      <c r="A493" s="11">
        <f>'Pairings NB'!B2179</f>
        <v/>
      </c>
      <c r="B493" s="11">
        <f>'Pairings NB'!C2179</f>
        <v/>
      </c>
      <c r="C493" s="11">
        <f>'Pairings NB'!D2179</f>
        <v/>
      </c>
      <c r="D493" s="11">
        <f>'Pairings NB'!E2179&amp;"/"&amp;'Pairings NB'!E2180</f>
        <v/>
      </c>
      <c r="E493" s="11">
        <f>'Pairings NB'!F2179&amp;"-"&amp;'Pairings NB'!G2179&amp;"-"&amp;'Pairings NB'!F2179</f>
        <v/>
      </c>
      <c r="F493" s="11">
        <f>IFERROR(VLOOKUP('Pairings NB'!$M$2179,Instructores!$A:$D,2,FALSE),"")</f>
        <v/>
      </c>
      <c r="G493" s="11">
        <f>'Pairings NB'!$M$2179</f>
        <v/>
      </c>
      <c r="H493" s="11">
        <f>IFERROR(VLOOKUP('Pairings NB'!$M$2179,Instructores!$A:$D,4,FALSE),"")</f>
        <v/>
      </c>
      <c r="I493" s="11">
        <f>'Pairings NB'!$O$2179</f>
        <v/>
      </c>
      <c r="J493" s="11">
        <f>'Pairings NB'!J2179</f>
        <v/>
      </c>
      <c r="K493" s="11">
        <f>IFERROR(VLOOKUP('Pairings NB'!$M$2179,Instructores!$A:$D,3,FALSE),"")</f>
        <v/>
      </c>
      <c r="L493" s="11">
        <f>IF('Pairings NB'!J2179=320,4,3)</f>
        <v/>
      </c>
      <c r="M493" s="11">
        <f>'Pairings NB'!$N$2179</f>
        <v/>
      </c>
    </row>
    <row r="494">
      <c r="A494" s="11">
        <f>'Pairings NB'!B2184</f>
        <v/>
      </c>
      <c r="B494" s="11">
        <f>'Pairings NB'!C2184</f>
        <v/>
      </c>
      <c r="C494" s="11">
        <f>'Pairings NB'!D2184</f>
        <v/>
      </c>
      <c r="D494" s="11">
        <f>'Pairings NB'!E2184&amp;"/"&amp;'Pairings NB'!E2185</f>
        <v/>
      </c>
      <c r="E494" s="11">
        <f>'Pairings NB'!F2184&amp;"-"&amp;'Pairings NB'!G2184&amp;"-"&amp;'Pairings NB'!F2184</f>
        <v/>
      </c>
      <c r="F494" s="11">
        <f>IFERROR(VLOOKUP('Pairings NB'!$M$2184,Instructores!$A:$D,2,FALSE),"")</f>
        <v/>
      </c>
      <c r="G494" s="11">
        <f>'Pairings NB'!$M$2184</f>
        <v/>
      </c>
      <c r="H494" s="11">
        <f>IFERROR(VLOOKUP('Pairings NB'!$M$2184,Instructores!$A:$D,4,FALSE),"")</f>
        <v/>
      </c>
      <c r="I494" s="11">
        <f>'Pairings NB'!$O$2184</f>
        <v/>
      </c>
      <c r="J494" s="11">
        <f>'Pairings NB'!J2184</f>
        <v/>
      </c>
      <c r="K494" s="11">
        <f>IFERROR(VLOOKUP('Pairings NB'!$M$2184,Instructores!$A:$D,3,FALSE),"")</f>
        <v/>
      </c>
      <c r="L494" s="11">
        <f>IF('Pairings NB'!J2184=320,4,3)</f>
        <v/>
      </c>
      <c r="M494" s="11">
        <f>'Pairings NB'!$N$2184</f>
        <v/>
      </c>
    </row>
    <row r="495">
      <c r="A495" s="11">
        <f>'Pairings NB'!B2189</f>
        <v/>
      </c>
      <c r="B495" s="11">
        <f>'Pairings NB'!C2189</f>
        <v/>
      </c>
      <c r="C495" s="11">
        <f>'Pairings NB'!D2189</f>
        <v/>
      </c>
      <c r="D495" s="11">
        <f>'Pairings NB'!E2189&amp;"/"&amp;'Pairings NB'!E2190</f>
        <v/>
      </c>
      <c r="E495" s="11">
        <f>'Pairings NB'!F2189&amp;"-"&amp;'Pairings NB'!G2189&amp;"-"&amp;'Pairings NB'!F2189</f>
        <v/>
      </c>
      <c r="F495" s="11">
        <f>IFERROR(VLOOKUP('Pairings NB'!$M$2189,Instructores!$A:$D,2,FALSE),"")</f>
        <v/>
      </c>
      <c r="G495" s="11">
        <f>'Pairings NB'!$M$2189</f>
        <v/>
      </c>
      <c r="H495" s="11">
        <f>IFERROR(VLOOKUP('Pairings NB'!$M$2189,Instructores!$A:$D,4,FALSE),"")</f>
        <v/>
      </c>
      <c r="I495" s="11">
        <f>'Pairings NB'!$O$2189</f>
        <v/>
      </c>
      <c r="J495" s="11">
        <f>'Pairings NB'!J2189</f>
        <v/>
      </c>
      <c r="K495" s="11">
        <f>IFERROR(VLOOKUP('Pairings NB'!$M$2189,Instructores!$A:$D,3,FALSE),"")</f>
        <v/>
      </c>
      <c r="L495" s="11">
        <f>IF('Pairings NB'!J2189=320,4,3)</f>
        <v/>
      </c>
      <c r="M495" s="11">
        <f>'Pairings NB'!$N$2189</f>
        <v/>
      </c>
    </row>
    <row r="496">
      <c r="A496" s="11">
        <f>'Pairings NB'!B2194</f>
        <v/>
      </c>
      <c r="B496" s="11">
        <f>'Pairings NB'!C2194</f>
        <v/>
      </c>
      <c r="C496" s="11">
        <f>'Pairings NB'!D2194</f>
        <v/>
      </c>
      <c r="D496" s="11">
        <f>'Pairings NB'!E2194&amp;"/"&amp;'Pairings NB'!E2195</f>
        <v/>
      </c>
      <c r="E496" s="11">
        <f>'Pairings NB'!F2194&amp;"-"&amp;'Pairings NB'!G2194&amp;"-"&amp;'Pairings NB'!F2194</f>
        <v/>
      </c>
      <c r="F496" s="11">
        <f>IFERROR(VLOOKUP('Pairings NB'!$M$2194,Instructores!$A:$D,2,FALSE),"")</f>
        <v/>
      </c>
      <c r="G496" s="11">
        <f>'Pairings NB'!$M$2194</f>
        <v/>
      </c>
      <c r="H496" s="11">
        <f>IFERROR(VLOOKUP('Pairings NB'!$M$2194,Instructores!$A:$D,4,FALSE),"")</f>
        <v/>
      </c>
      <c r="I496" s="11">
        <f>'Pairings NB'!$O$2194</f>
        <v/>
      </c>
      <c r="J496" s="11">
        <f>'Pairings NB'!J2194</f>
        <v/>
      </c>
      <c r="K496" s="11">
        <f>IFERROR(VLOOKUP('Pairings NB'!$M$2194,Instructores!$A:$D,3,FALSE),"")</f>
        <v/>
      </c>
      <c r="L496" s="11">
        <f>IF('Pairings NB'!J2194=320,4,3)</f>
        <v/>
      </c>
      <c r="M496" s="11">
        <f>'Pairings NB'!$N$2194</f>
        <v/>
      </c>
    </row>
    <row r="497">
      <c r="A497" s="11">
        <f>'Pairings NB'!B2199</f>
        <v/>
      </c>
      <c r="B497" s="11">
        <f>'Pairings NB'!C2199</f>
        <v/>
      </c>
      <c r="C497" s="11">
        <f>'Pairings NB'!D2199</f>
        <v/>
      </c>
      <c r="D497" s="11">
        <f>'Pairings NB'!E2199&amp;"/"&amp;'Pairings NB'!E2200</f>
        <v/>
      </c>
      <c r="E497" s="11">
        <f>'Pairings NB'!F2199&amp;"-"&amp;'Pairings NB'!G2199&amp;"-"&amp;'Pairings NB'!F2199</f>
        <v/>
      </c>
      <c r="F497" s="11">
        <f>IFERROR(VLOOKUP('Pairings NB'!$M$2199,Instructores!$A:$D,2,FALSE),"")</f>
        <v/>
      </c>
      <c r="G497" s="11">
        <f>'Pairings NB'!$M$2199</f>
        <v/>
      </c>
      <c r="H497" s="11">
        <f>IFERROR(VLOOKUP('Pairings NB'!$M$2199,Instructores!$A:$D,4,FALSE),"")</f>
        <v/>
      </c>
      <c r="I497" s="11">
        <f>'Pairings NB'!$O$2199</f>
        <v/>
      </c>
      <c r="J497" s="11">
        <f>'Pairings NB'!J2199</f>
        <v/>
      </c>
      <c r="K497" s="11">
        <f>IFERROR(VLOOKUP('Pairings NB'!$M$2199,Instructores!$A:$D,3,FALSE),"")</f>
        <v/>
      </c>
      <c r="L497" s="11">
        <f>IF('Pairings NB'!J2199=320,4,3)</f>
        <v/>
      </c>
      <c r="M497" s="11">
        <f>'Pairings NB'!$N$2199</f>
        <v/>
      </c>
    </row>
    <row r="498">
      <c r="A498" s="11">
        <f>'Pairings NB'!B2204</f>
        <v/>
      </c>
      <c r="B498" s="11">
        <f>'Pairings NB'!C2204</f>
        <v/>
      </c>
      <c r="C498" s="11">
        <f>'Pairings NB'!D2204</f>
        <v/>
      </c>
      <c r="D498" s="11">
        <f>'Pairings NB'!E2204&amp;"/"&amp;'Pairings NB'!E2205</f>
        <v/>
      </c>
      <c r="E498" s="11">
        <f>'Pairings NB'!F2204&amp;"-"&amp;'Pairings NB'!G2204&amp;"-"&amp;'Pairings NB'!F2204</f>
        <v/>
      </c>
      <c r="F498" s="11">
        <f>IFERROR(VLOOKUP('Pairings NB'!$M$2204,Instructores!$A:$D,2,FALSE),"")</f>
        <v/>
      </c>
      <c r="G498" s="11">
        <f>'Pairings NB'!$M$2204</f>
        <v/>
      </c>
      <c r="H498" s="11">
        <f>IFERROR(VLOOKUP('Pairings NB'!$M$2204,Instructores!$A:$D,4,FALSE),"")</f>
        <v/>
      </c>
      <c r="I498" s="11">
        <f>'Pairings NB'!$O$2204</f>
        <v/>
      </c>
      <c r="J498" s="11">
        <f>'Pairings NB'!J2204</f>
        <v/>
      </c>
      <c r="K498" s="11">
        <f>IFERROR(VLOOKUP('Pairings NB'!$M$2204,Instructores!$A:$D,3,FALSE),"")</f>
        <v/>
      </c>
      <c r="L498" s="11">
        <f>IF('Pairings NB'!J2204=320,4,3)</f>
        <v/>
      </c>
      <c r="M498" s="11">
        <f>'Pairings NB'!$N$2204</f>
        <v/>
      </c>
    </row>
    <row r="499">
      <c r="A499" s="11">
        <f>'Pairings NB'!B2209</f>
        <v/>
      </c>
      <c r="B499" s="11">
        <f>'Pairings NB'!C2209</f>
        <v/>
      </c>
      <c r="C499" s="11">
        <f>'Pairings NB'!D2209</f>
        <v/>
      </c>
      <c r="D499" s="11">
        <f>'Pairings NB'!E2209&amp;"/"&amp;'Pairings NB'!E2210</f>
        <v/>
      </c>
      <c r="E499" s="11">
        <f>'Pairings NB'!F2209&amp;"-"&amp;'Pairings NB'!G2209&amp;"-"&amp;'Pairings NB'!F2209</f>
        <v/>
      </c>
      <c r="F499" s="11">
        <f>IFERROR(VLOOKUP('Pairings NB'!$M$2209,Instructores!$A:$D,2,FALSE),"")</f>
        <v/>
      </c>
      <c r="G499" s="11">
        <f>'Pairings NB'!$M$2209</f>
        <v/>
      </c>
      <c r="H499" s="11">
        <f>IFERROR(VLOOKUP('Pairings NB'!$M$2209,Instructores!$A:$D,4,FALSE),"")</f>
        <v/>
      </c>
      <c r="I499" s="11">
        <f>'Pairings NB'!$O$2209</f>
        <v/>
      </c>
      <c r="J499" s="11">
        <f>'Pairings NB'!J2209</f>
        <v/>
      </c>
      <c r="K499" s="11">
        <f>IFERROR(VLOOKUP('Pairings NB'!$M$2209,Instructores!$A:$D,3,FALSE),"")</f>
        <v/>
      </c>
      <c r="L499" s="11">
        <f>IF('Pairings NB'!J2209=320,4,3)</f>
        <v/>
      </c>
      <c r="M499" s="11">
        <f>'Pairings NB'!$N$2209</f>
        <v/>
      </c>
    </row>
    <row r="500">
      <c r="A500" s="11">
        <f>'Pairings NB'!B2214</f>
        <v/>
      </c>
      <c r="B500" s="11">
        <f>'Pairings NB'!C2214</f>
        <v/>
      </c>
      <c r="C500" s="11">
        <f>'Pairings NB'!D2214</f>
        <v/>
      </c>
      <c r="D500" s="11">
        <f>'Pairings NB'!E2214&amp;"/"&amp;'Pairings NB'!E2215</f>
        <v/>
      </c>
      <c r="E500" s="11">
        <f>'Pairings NB'!F2214&amp;"-"&amp;'Pairings NB'!G2214&amp;"-"&amp;'Pairings NB'!F2214</f>
        <v/>
      </c>
      <c r="F500" s="11">
        <f>IFERROR(VLOOKUP('Pairings NB'!$M$2214,Instructores!$A:$D,2,FALSE),"")</f>
        <v/>
      </c>
      <c r="G500" s="11">
        <f>'Pairings NB'!$M$2214</f>
        <v/>
      </c>
      <c r="H500" s="11">
        <f>IFERROR(VLOOKUP('Pairings NB'!$M$2214,Instructores!$A:$D,4,FALSE),"")</f>
        <v/>
      </c>
      <c r="I500" s="11">
        <f>'Pairings NB'!$O$2214</f>
        <v/>
      </c>
      <c r="J500" s="11">
        <f>'Pairings NB'!J2214</f>
        <v/>
      </c>
      <c r="K500" s="11">
        <f>IFERROR(VLOOKUP('Pairings NB'!$M$2214,Instructores!$A:$D,3,FALSE),"")</f>
        <v/>
      </c>
      <c r="L500" s="11">
        <f>IF('Pairings NB'!J2214=320,4,3)</f>
        <v/>
      </c>
      <c r="M500" s="11">
        <f>'Pairings NB'!$N$2214</f>
        <v/>
      </c>
    </row>
    <row r="501">
      <c r="A501" s="11">
        <f>'Pairings NB'!B2219</f>
        <v/>
      </c>
      <c r="B501" s="11">
        <f>'Pairings NB'!C2219</f>
        <v/>
      </c>
      <c r="C501" s="11">
        <f>'Pairings NB'!D2219</f>
        <v/>
      </c>
      <c r="D501" s="11">
        <f>'Pairings NB'!E2219&amp;"/"&amp;'Pairings NB'!E2220</f>
        <v/>
      </c>
      <c r="E501" s="11">
        <f>'Pairings NB'!F2219&amp;"-"&amp;'Pairings NB'!G2219&amp;"-"&amp;'Pairings NB'!F2219</f>
        <v/>
      </c>
      <c r="F501" s="11">
        <f>IFERROR(VLOOKUP('Pairings NB'!$M$2219,Instructores!$A:$D,2,FALSE),"")</f>
        <v/>
      </c>
      <c r="G501" s="11">
        <f>'Pairings NB'!$M$2219</f>
        <v/>
      </c>
      <c r="H501" s="11">
        <f>IFERROR(VLOOKUP('Pairings NB'!$M$2219,Instructores!$A:$D,4,FALSE),"")</f>
        <v/>
      </c>
      <c r="I501" s="11">
        <f>'Pairings NB'!$O$2219</f>
        <v/>
      </c>
      <c r="J501" s="11">
        <f>'Pairings NB'!J2219</f>
        <v/>
      </c>
      <c r="K501" s="11">
        <f>IFERROR(VLOOKUP('Pairings NB'!$M$2219,Instructores!$A:$D,3,FALSE),"")</f>
        <v/>
      </c>
      <c r="L501" s="11">
        <f>IF('Pairings NB'!J2219=320,4,3)</f>
        <v/>
      </c>
      <c r="M501" s="11">
        <f>'Pairings NB'!$N$2219</f>
        <v/>
      </c>
    </row>
    <row r="502">
      <c r="A502" s="11">
        <f>'Pairings NB'!B2221</f>
        <v/>
      </c>
      <c r="B502" s="11">
        <f>'Pairings NB'!C2221</f>
        <v/>
      </c>
      <c r="C502" s="11">
        <f>'Pairings NB'!D2221</f>
        <v/>
      </c>
      <c r="D502" s="11">
        <f>'Pairings NB'!E2221&amp;"/"&amp;'Pairings NB'!E2222</f>
        <v/>
      </c>
      <c r="E502" s="11">
        <f>'Pairings NB'!F2221&amp;"-"&amp;'Pairings NB'!G2221&amp;"-"&amp;'Pairings NB'!F2221</f>
        <v/>
      </c>
      <c r="F502" s="11">
        <f>IFERROR(VLOOKUP('Pairings NB'!$M$2219,Instructores!$A:$D,2,FALSE),"")</f>
        <v/>
      </c>
      <c r="G502" s="11">
        <f>'Pairings NB'!$M$2219</f>
        <v/>
      </c>
      <c r="H502" s="11">
        <f>IFERROR(VLOOKUP('Pairings NB'!$M$2219,Instructores!$A:$D,4,FALSE),"")</f>
        <v/>
      </c>
      <c r="I502" s="11">
        <f>'Pairings NB'!$O$2219</f>
        <v/>
      </c>
      <c r="J502" s="11">
        <f>'Pairings NB'!J2221</f>
        <v/>
      </c>
      <c r="K502" s="11">
        <f>IFERROR(VLOOKUP('Pairings NB'!$M$2219,Instructores!$A:$D,3,FALSE),"")</f>
        <v/>
      </c>
      <c r="L502" s="11">
        <f>IF('Pairings NB'!J2221=320,4,3)</f>
        <v/>
      </c>
      <c r="M502" s="11">
        <f>'Pairings NB'!$N$2219</f>
        <v/>
      </c>
    </row>
    <row r="503">
      <c r="A503" s="11">
        <f>'Pairings NB'!B2226</f>
        <v/>
      </c>
      <c r="B503" s="11">
        <f>'Pairings NB'!C2226</f>
        <v/>
      </c>
      <c r="C503" s="11">
        <f>'Pairings NB'!D2226</f>
        <v/>
      </c>
      <c r="D503" s="11">
        <f>'Pairings NB'!E2226&amp;"/"&amp;'Pairings NB'!E2227</f>
        <v/>
      </c>
      <c r="E503" s="11">
        <f>'Pairings NB'!F2226&amp;"-"&amp;'Pairings NB'!G2226&amp;"-"&amp;'Pairings NB'!F2226</f>
        <v/>
      </c>
      <c r="F503" s="11">
        <f>IFERROR(VLOOKUP('Pairings NB'!$M$2226,Instructores!$A:$D,2,FALSE),"")</f>
        <v/>
      </c>
      <c r="G503" s="11">
        <f>'Pairings NB'!$M$2226</f>
        <v/>
      </c>
      <c r="H503" s="11">
        <f>IFERROR(VLOOKUP('Pairings NB'!$M$2226,Instructores!$A:$D,4,FALSE),"")</f>
        <v/>
      </c>
      <c r="I503" s="11">
        <f>'Pairings NB'!$O$2226</f>
        <v/>
      </c>
      <c r="J503" s="11">
        <f>'Pairings NB'!J2226</f>
        <v/>
      </c>
      <c r="K503" s="11">
        <f>IFERROR(VLOOKUP('Pairings NB'!$M$2226,Instructores!$A:$D,3,FALSE),"")</f>
        <v/>
      </c>
      <c r="L503" s="11">
        <f>IF('Pairings NB'!J2226=320,4,3)</f>
        <v/>
      </c>
      <c r="M503" s="11">
        <f>'Pairings NB'!$N$2226</f>
        <v/>
      </c>
    </row>
    <row r="504">
      <c r="A504" s="11">
        <f>'Pairings NB'!B2231</f>
        <v/>
      </c>
      <c r="B504" s="11">
        <f>'Pairings NB'!C2231</f>
        <v/>
      </c>
      <c r="C504" s="11">
        <f>'Pairings NB'!D2231</f>
        <v/>
      </c>
      <c r="D504" s="11">
        <f>'Pairings NB'!E2231&amp;"/"&amp;'Pairings NB'!E2232</f>
        <v/>
      </c>
      <c r="E504" s="11">
        <f>'Pairings NB'!F2231&amp;"-"&amp;'Pairings NB'!G2231&amp;"-"&amp;'Pairings NB'!F2231</f>
        <v/>
      </c>
      <c r="F504" s="11">
        <f>IFERROR(VLOOKUP('Pairings NB'!$M$2231,Instructores!$A:$D,2,FALSE),"")</f>
        <v/>
      </c>
      <c r="G504" s="11">
        <f>'Pairings NB'!$M$2231</f>
        <v/>
      </c>
      <c r="H504" s="11">
        <f>IFERROR(VLOOKUP('Pairings NB'!$M$2231,Instructores!$A:$D,4,FALSE),"")</f>
        <v/>
      </c>
      <c r="I504" s="11">
        <f>'Pairings NB'!$O$2231</f>
        <v/>
      </c>
      <c r="J504" s="11">
        <f>'Pairings NB'!J2231</f>
        <v/>
      </c>
      <c r="K504" s="11">
        <f>IFERROR(VLOOKUP('Pairings NB'!$M$2231,Instructores!$A:$D,3,FALSE),"")</f>
        <v/>
      </c>
      <c r="L504" s="11">
        <f>IF('Pairings NB'!J2231=320,4,3)</f>
        <v/>
      </c>
      <c r="M504" s="11">
        <f>'Pairings NB'!$N$2231</f>
        <v/>
      </c>
    </row>
    <row r="505">
      <c r="A505" s="11">
        <f>'Pairings NB'!B2233</f>
        <v/>
      </c>
      <c r="B505" s="11">
        <f>'Pairings NB'!C2233</f>
        <v/>
      </c>
      <c r="C505" s="11">
        <f>'Pairings NB'!D2233</f>
        <v/>
      </c>
      <c r="D505" s="11">
        <f>'Pairings NB'!E2233&amp;"/"&amp;'Pairings NB'!E2234</f>
        <v/>
      </c>
      <c r="E505" s="11">
        <f>'Pairings NB'!F2233&amp;"-"&amp;'Pairings NB'!G2233&amp;"-"&amp;'Pairings NB'!F2233</f>
        <v/>
      </c>
      <c r="F505" s="11">
        <f>IFERROR(VLOOKUP('Pairings NB'!$M$2231,Instructores!$A:$D,2,FALSE),"")</f>
        <v/>
      </c>
      <c r="G505" s="11">
        <f>'Pairings NB'!$M$2231</f>
        <v/>
      </c>
      <c r="H505" s="11">
        <f>IFERROR(VLOOKUP('Pairings NB'!$M$2231,Instructores!$A:$D,4,FALSE),"")</f>
        <v/>
      </c>
      <c r="I505" s="11">
        <f>'Pairings NB'!$O$2231</f>
        <v/>
      </c>
      <c r="J505" s="11">
        <f>'Pairings NB'!J2233</f>
        <v/>
      </c>
      <c r="K505" s="11">
        <f>IFERROR(VLOOKUP('Pairings NB'!$M$2231,Instructores!$A:$D,3,FALSE),"")</f>
        <v/>
      </c>
      <c r="L505" s="11">
        <f>IF('Pairings NB'!J2233=320,4,3)</f>
        <v/>
      </c>
      <c r="M505" s="11">
        <f>'Pairings NB'!$N$2231</f>
        <v/>
      </c>
    </row>
    <row r="506">
      <c r="A506" s="11">
        <f>'Pairings NB'!B2238</f>
        <v/>
      </c>
      <c r="B506" s="11">
        <f>'Pairings NB'!C2238</f>
        <v/>
      </c>
      <c r="C506" s="11">
        <f>'Pairings NB'!D2238</f>
        <v/>
      </c>
      <c r="D506" s="11">
        <f>'Pairings NB'!E2238&amp;"/"&amp;'Pairings NB'!E2239</f>
        <v/>
      </c>
      <c r="E506" s="11">
        <f>'Pairings NB'!F2238&amp;"-"&amp;'Pairings NB'!G2238&amp;"-"&amp;'Pairings NB'!F2238</f>
        <v/>
      </c>
      <c r="F506" s="11">
        <f>IFERROR(VLOOKUP('Pairings NB'!$M$2238,Instructores!$A:$D,2,FALSE),"")</f>
        <v/>
      </c>
      <c r="G506" s="11">
        <f>'Pairings NB'!$M$2238</f>
        <v/>
      </c>
      <c r="H506" s="11">
        <f>IFERROR(VLOOKUP('Pairings NB'!$M$2238,Instructores!$A:$D,4,FALSE),"")</f>
        <v/>
      </c>
      <c r="I506" s="11">
        <f>'Pairings NB'!$O$2238</f>
        <v/>
      </c>
      <c r="J506" s="11">
        <f>'Pairings NB'!J2238</f>
        <v/>
      </c>
      <c r="K506" s="11">
        <f>IFERROR(VLOOKUP('Pairings NB'!$M$2238,Instructores!$A:$D,3,FALSE),"")</f>
        <v/>
      </c>
      <c r="L506" s="11">
        <f>IF('Pairings NB'!J2238=320,4,3)</f>
        <v/>
      </c>
      <c r="M506" s="11">
        <f>'Pairings NB'!$N$2238</f>
        <v/>
      </c>
    </row>
    <row r="507">
      <c r="A507" s="11">
        <f>'Pairings NB'!B2240</f>
        <v/>
      </c>
      <c r="B507" s="11">
        <f>'Pairings NB'!C2240</f>
        <v/>
      </c>
      <c r="C507" s="11">
        <f>'Pairings NB'!D2240</f>
        <v/>
      </c>
      <c r="D507" s="11">
        <f>'Pairings NB'!E2240&amp;"/"&amp;'Pairings NB'!E2241</f>
        <v/>
      </c>
      <c r="E507" s="11">
        <f>'Pairings NB'!F2240&amp;"-"&amp;'Pairings NB'!G2240&amp;"-"&amp;'Pairings NB'!F2240</f>
        <v/>
      </c>
      <c r="F507" s="11">
        <f>IFERROR(VLOOKUP('Pairings NB'!$M$2238,Instructores!$A:$D,2,FALSE),"")</f>
        <v/>
      </c>
      <c r="G507" s="11">
        <f>'Pairings NB'!$M$2238</f>
        <v/>
      </c>
      <c r="H507" s="11">
        <f>IFERROR(VLOOKUP('Pairings NB'!$M$2238,Instructores!$A:$D,4,FALSE),"")</f>
        <v/>
      </c>
      <c r="I507" s="11">
        <f>'Pairings NB'!$O$2238</f>
        <v/>
      </c>
      <c r="J507" s="11">
        <f>'Pairings NB'!J2240</f>
        <v/>
      </c>
      <c r="K507" s="11">
        <f>IFERROR(VLOOKUP('Pairings NB'!$M$2238,Instructores!$A:$D,3,FALSE),"")</f>
        <v/>
      </c>
      <c r="L507" s="11">
        <f>IF('Pairings NB'!J2240=320,4,3)</f>
        <v/>
      </c>
      <c r="M507" s="11">
        <f>'Pairings NB'!$N$2238</f>
        <v/>
      </c>
    </row>
    <row r="508">
      <c r="A508" s="11">
        <f>'Pairings NB'!B2245</f>
        <v/>
      </c>
      <c r="B508" s="11">
        <f>'Pairings NB'!C2245</f>
        <v/>
      </c>
      <c r="C508" s="11">
        <f>'Pairings NB'!D2245</f>
        <v/>
      </c>
      <c r="D508" s="11">
        <f>'Pairings NB'!E2245&amp;"/"&amp;'Pairings NB'!E2246</f>
        <v/>
      </c>
      <c r="E508" s="11">
        <f>'Pairings NB'!F2245&amp;"-"&amp;'Pairings NB'!G2245&amp;"-"&amp;'Pairings NB'!F2245</f>
        <v/>
      </c>
      <c r="F508" s="11">
        <f>IFERROR(VLOOKUP('Pairings NB'!$M$2245,Instructores!$A:$D,2,FALSE),"")</f>
        <v/>
      </c>
      <c r="G508" s="11">
        <f>'Pairings NB'!$M$2245</f>
        <v/>
      </c>
      <c r="H508" s="11">
        <f>IFERROR(VLOOKUP('Pairings NB'!$M$2245,Instructores!$A:$D,4,FALSE),"")</f>
        <v/>
      </c>
      <c r="I508" s="11">
        <f>'Pairings NB'!$O$2245</f>
        <v/>
      </c>
      <c r="J508" s="11">
        <f>'Pairings NB'!J2245</f>
        <v/>
      </c>
      <c r="K508" s="11">
        <f>IFERROR(VLOOKUP('Pairings NB'!$M$2245,Instructores!$A:$D,3,FALSE),"")</f>
        <v/>
      </c>
      <c r="L508" s="11">
        <f>IF('Pairings NB'!J2245=320,4,3)</f>
        <v/>
      </c>
      <c r="M508" s="11">
        <f>'Pairings NB'!$N$2245</f>
        <v/>
      </c>
    </row>
    <row r="509">
      <c r="A509" s="11">
        <f>'Pairings NB'!B2250</f>
        <v/>
      </c>
      <c r="B509" s="11">
        <f>'Pairings NB'!C2250</f>
        <v/>
      </c>
      <c r="C509" s="11">
        <f>'Pairings NB'!D2250</f>
        <v/>
      </c>
      <c r="D509" s="11">
        <f>'Pairings NB'!E2250&amp;"/"&amp;'Pairings NB'!E2251</f>
        <v/>
      </c>
      <c r="E509" s="11">
        <f>'Pairings NB'!F2250&amp;"-"&amp;'Pairings NB'!G2250&amp;"-"&amp;'Pairings NB'!F2250</f>
        <v/>
      </c>
      <c r="F509" s="11">
        <f>IFERROR(VLOOKUP('Pairings NB'!$M$2250,Instructores!$A:$D,2,FALSE),"")</f>
        <v/>
      </c>
      <c r="G509" s="11">
        <f>'Pairings NB'!$M$2250</f>
        <v/>
      </c>
      <c r="H509" s="11">
        <f>IFERROR(VLOOKUP('Pairings NB'!$M$2250,Instructores!$A:$D,4,FALSE),"")</f>
        <v/>
      </c>
      <c r="I509" s="11">
        <f>'Pairings NB'!$O$2250</f>
        <v/>
      </c>
      <c r="J509" s="11">
        <f>'Pairings NB'!J2250</f>
        <v/>
      </c>
      <c r="K509" s="11">
        <f>IFERROR(VLOOKUP('Pairings NB'!$M$2250,Instructores!$A:$D,3,FALSE),"")</f>
        <v/>
      </c>
      <c r="L509" s="11">
        <f>IF('Pairings NB'!J2250=320,4,3)</f>
        <v/>
      </c>
      <c r="M509" s="11">
        <f>'Pairings NB'!$N$2250</f>
        <v/>
      </c>
    </row>
    <row r="510">
      <c r="A510" s="11">
        <f>'Pairings NB'!B2255</f>
        <v/>
      </c>
      <c r="B510" s="11">
        <f>'Pairings NB'!C2255</f>
        <v/>
      </c>
      <c r="C510" s="11">
        <f>'Pairings NB'!D2255</f>
        <v/>
      </c>
      <c r="D510" s="11">
        <f>'Pairings NB'!E2255&amp;"/"&amp;'Pairings NB'!E2256</f>
        <v/>
      </c>
      <c r="E510" s="11">
        <f>'Pairings NB'!F2255&amp;"-"&amp;'Pairings NB'!G2255&amp;"-"&amp;'Pairings NB'!F2255</f>
        <v/>
      </c>
      <c r="F510" s="11">
        <f>IFERROR(VLOOKUP('Pairings NB'!$M$2255,Instructores!$A:$D,2,FALSE),"")</f>
        <v/>
      </c>
      <c r="G510" s="11">
        <f>'Pairings NB'!$M$2255</f>
        <v/>
      </c>
      <c r="H510" s="11">
        <f>IFERROR(VLOOKUP('Pairings NB'!$M$2255,Instructores!$A:$D,4,FALSE),"")</f>
        <v/>
      </c>
      <c r="I510" s="11">
        <f>'Pairings NB'!$O$2255</f>
        <v/>
      </c>
      <c r="J510" s="11">
        <f>'Pairings NB'!J2255</f>
        <v/>
      </c>
      <c r="K510" s="11">
        <f>IFERROR(VLOOKUP('Pairings NB'!$M$2255,Instructores!$A:$D,3,FALSE),"")</f>
        <v/>
      </c>
      <c r="L510" s="11">
        <f>IF('Pairings NB'!J2255=320,4,3)</f>
        <v/>
      </c>
      <c r="M510" s="11">
        <f>'Pairings NB'!$N$2255</f>
        <v/>
      </c>
    </row>
    <row r="511">
      <c r="A511" s="11">
        <f>'Pairings NB'!B2257</f>
        <v/>
      </c>
      <c r="B511" s="11">
        <f>'Pairings NB'!C2257</f>
        <v/>
      </c>
      <c r="C511" s="11">
        <f>'Pairings NB'!D2257</f>
        <v/>
      </c>
      <c r="D511" s="11">
        <f>'Pairings NB'!E2257&amp;"/"&amp;'Pairings NB'!E2258</f>
        <v/>
      </c>
      <c r="E511" s="11">
        <f>'Pairings NB'!F2257&amp;"-"&amp;'Pairings NB'!G2257&amp;"-"&amp;'Pairings NB'!F2257</f>
        <v/>
      </c>
      <c r="F511" s="11">
        <f>IFERROR(VLOOKUP('Pairings NB'!$M$2255,Instructores!$A:$D,2,FALSE),"")</f>
        <v/>
      </c>
      <c r="G511" s="11">
        <f>'Pairings NB'!$M$2255</f>
        <v/>
      </c>
      <c r="H511" s="11">
        <f>IFERROR(VLOOKUP('Pairings NB'!$M$2255,Instructores!$A:$D,4,FALSE),"")</f>
        <v/>
      </c>
      <c r="I511" s="11">
        <f>'Pairings NB'!$O$2255</f>
        <v/>
      </c>
      <c r="J511" s="11">
        <f>'Pairings NB'!J2257</f>
        <v/>
      </c>
      <c r="K511" s="11">
        <f>IFERROR(VLOOKUP('Pairings NB'!$M$2255,Instructores!$A:$D,3,FALSE),"")</f>
        <v/>
      </c>
      <c r="L511" s="11">
        <f>IF('Pairings NB'!J2257=320,4,3)</f>
        <v/>
      </c>
      <c r="M511" s="11">
        <f>'Pairings NB'!$N$2255</f>
        <v/>
      </c>
    </row>
    <row r="512">
      <c r="A512" s="11">
        <f>'Pairings NB'!B2262</f>
        <v/>
      </c>
      <c r="B512" s="11">
        <f>'Pairings NB'!C2262</f>
        <v/>
      </c>
      <c r="C512" s="11">
        <f>'Pairings NB'!D2262</f>
        <v/>
      </c>
      <c r="D512" s="11">
        <f>'Pairings NB'!E2262&amp;"/"&amp;'Pairings NB'!E2263</f>
        <v/>
      </c>
      <c r="E512" s="11">
        <f>'Pairings NB'!F2262&amp;"-"&amp;'Pairings NB'!G2262&amp;"-"&amp;'Pairings NB'!F2262</f>
        <v/>
      </c>
      <c r="F512" s="11">
        <f>IFERROR(VLOOKUP('Pairings NB'!$M$2262,Instructores!$A:$D,2,FALSE),"")</f>
        <v/>
      </c>
      <c r="G512" s="11">
        <f>'Pairings NB'!$M$2262</f>
        <v/>
      </c>
      <c r="H512" s="11">
        <f>IFERROR(VLOOKUP('Pairings NB'!$M$2262,Instructores!$A:$D,4,FALSE),"")</f>
        <v/>
      </c>
      <c r="I512" s="11">
        <f>'Pairings NB'!$O$2262</f>
        <v/>
      </c>
      <c r="J512" s="11">
        <f>'Pairings NB'!J2262</f>
        <v/>
      </c>
      <c r="K512" s="11">
        <f>IFERROR(VLOOKUP('Pairings NB'!$M$2262,Instructores!$A:$D,3,FALSE),"")</f>
        <v/>
      </c>
      <c r="L512" s="11">
        <f>IF('Pairings NB'!J2262=320,4,3)</f>
        <v/>
      </c>
      <c r="M512" s="11">
        <f>'Pairings NB'!$N$2262</f>
        <v/>
      </c>
    </row>
    <row r="513">
      <c r="A513" s="11">
        <f>'Pairings NB'!B2267</f>
        <v/>
      </c>
      <c r="B513" s="11">
        <f>'Pairings NB'!C2267</f>
        <v/>
      </c>
      <c r="C513" s="11">
        <f>'Pairings NB'!D2267</f>
        <v/>
      </c>
      <c r="D513" s="11">
        <f>'Pairings NB'!E2267&amp;"/"&amp;'Pairings NB'!E2268</f>
        <v/>
      </c>
      <c r="E513" s="11">
        <f>'Pairings NB'!F2267&amp;"-"&amp;'Pairings NB'!G2267&amp;"-"&amp;'Pairings NB'!F2267</f>
        <v/>
      </c>
      <c r="F513" s="11">
        <f>IFERROR(VLOOKUP('Pairings NB'!$M$2267,Instructores!$A:$D,2,FALSE),"")</f>
        <v/>
      </c>
      <c r="G513" s="11">
        <f>'Pairings NB'!$M$2267</f>
        <v/>
      </c>
      <c r="H513" s="11">
        <f>IFERROR(VLOOKUP('Pairings NB'!$M$2267,Instructores!$A:$D,4,FALSE),"")</f>
        <v/>
      </c>
      <c r="I513" s="11">
        <f>'Pairings NB'!$O$2267</f>
        <v/>
      </c>
      <c r="J513" s="11">
        <f>'Pairings NB'!J2267</f>
        <v/>
      </c>
      <c r="K513" s="11">
        <f>IFERROR(VLOOKUP('Pairings NB'!$M$2267,Instructores!$A:$D,3,FALSE),"")</f>
        <v/>
      </c>
      <c r="L513" s="11">
        <f>IF('Pairings NB'!J2267=320,4,3)</f>
        <v/>
      </c>
      <c r="M513" s="11">
        <f>'Pairings NB'!$N$2267</f>
        <v/>
      </c>
    </row>
    <row r="514">
      <c r="A514" s="11">
        <f>'Pairings NB'!B2272</f>
        <v/>
      </c>
      <c r="B514" s="11">
        <f>'Pairings NB'!C2272</f>
        <v/>
      </c>
      <c r="C514" s="11">
        <f>'Pairings NB'!D2272</f>
        <v/>
      </c>
      <c r="D514" s="11">
        <f>'Pairings NB'!E2272&amp;"/"&amp;'Pairings NB'!E2273</f>
        <v/>
      </c>
      <c r="E514" s="11">
        <f>'Pairings NB'!F2272&amp;"-"&amp;'Pairings NB'!G2272&amp;"-"&amp;'Pairings NB'!F2272</f>
        <v/>
      </c>
      <c r="F514" s="11">
        <f>IFERROR(VLOOKUP('Pairings NB'!$M$2272,Instructores!$A:$D,2,FALSE),"")</f>
        <v/>
      </c>
      <c r="G514" s="11">
        <f>'Pairings NB'!$M$2272</f>
        <v/>
      </c>
      <c r="H514" s="11">
        <f>IFERROR(VLOOKUP('Pairings NB'!$M$2272,Instructores!$A:$D,4,FALSE),"")</f>
        <v/>
      </c>
      <c r="I514" s="11">
        <f>'Pairings NB'!$O$2272</f>
        <v/>
      </c>
      <c r="J514" s="11">
        <f>'Pairings NB'!J2272</f>
        <v/>
      </c>
      <c r="K514" s="11">
        <f>IFERROR(VLOOKUP('Pairings NB'!$M$2272,Instructores!$A:$D,3,FALSE),"")</f>
        <v/>
      </c>
      <c r="L514" s="11">
        <f>IF('Pairings NB'!J2272=320,4,3)</f>
        <v/>
      </c>
      <c r="M514" s="11">
        <f>'Pairings NB'!$N$2272</f>
        <v/>
      </c>
    </row>
    <row r="515">
      <c r="A515" s="11">
        <f>'Pairings NB'!B2277</f>
        <v/>
      </c>
      <c r="B515" s="11">
        <f>'Pairings NB'!C2277</f>
        <v/>
      </c>
      <c r="C515" s="11">
        <f>'Pairings NB'!D2277</f>
        <v/>
      </c>
      <c r="D515" s="11">
        <f>'Pairings NB'!E2277&amp;"/"&amp;'Pairings NB'!E2278</f>
        <v/>
      </c>
      <c r="E515" s="11">
        <f>'Pairings NB'!F2277&amp;"-"&amp;'Pairings NB'!G2277&amp;"-"&amp;'Pairings NB'!F2277</f>
        <v/>
      </c>
      <c r="F515" s="11">
        <f>IFERROR(VLOOKUP('Pairings NB'!$M$2277,Instructores!$A:$D,2,FALSE),"")</f>
        <v/>
      </c>
      <c r="G515" s="11">
        <f>'Pairings NB'!$M$2277</f>
        <v/>
      </c>
      <c r="H515" s="11">
        <f>IFERROR(VLOOKUP('Pairings NB'!$M$2277,Instructores!$A:$D,4,FALSE),"")</f>
        <v/>
      </c>
      <c r="I515" s="11">
        <f>'Pairings NB'!$O$2277</f>
        <v/>
      </c>
      <c r="J515" s="11">
        <f>'Pairings NB'!J2277</f>
        <v/>
      </c>
      <c r="K515" s="11">
        <f>IFERROR(VLOOKUP('Pairings NB'!$M$2277,Instructores!$A:$D,3,FALSE),"")</f>
        <v/>
      </c>
      <c r="L515" s="11">
        <f>IF('Pairings NB'!J2277=320,4,3)</f>
        <v/>
      </c>
      <c r="M515" s="11">
        <f>'Pairings NB'!$N$2277</f>
        <v/>
      </c>
    </row>
    <row r="516">
      <c r="A516" s="11">
        <f>'Pairings NB'!B2282</f>
        <v/>
      </c>
      <c r="B516" s="11">
        <f>'Pairings NB'!C2282</f>
        <v/>
      </c>
      <c r="C516" s="11">
        <f>'Pairings NB'!D2282</f>
        <v/>
      </c>
      <c r="D516" s="11">
        <f>'Pairings NB'!E2282&amp;"/"&amp;'Pairings NB'!E2283</f>
        <v/>
      </c>
      <c r="E516" s="11">
        <f>'Pairings NB'!F2282&amp;"-"&amp;'Pairings NB'!G2282&amp;"-"&amp;'Pairings NB'!F2282</f>
        <v/>
      </c>
      <c r="F516" s="11">
        <f>IFERROR(VLOOKUP('Pairings NB'!$M$2282,Instructores!$A:$D,2,FALSE),"")</f>
        <v/>
      </c>
      <c r="G516" s="11">
        <f>'Pairings NB'!$M$2282</f>
        <v/>
      </c>
      <c r="H516" s="11">
        <f>IFERROR(VLOOKUP('Pairings NB'!$M$2282,Instructores!$A:$D,4,FALSE),"")</f>
        <v/>
      </c>
      <c r="I516" s="11">
        <f>'Pairings NB'!$O$2282</f>
        <v/>
      </c>
      <c r="J516" s="11">
        <f>'Pairings NB'!J2282</f>
        <v/>
      </c>
      <c r="K516" s="11">
        <f>IFERROR(VLOOKUP('Pairings NB'!$M$2282,Instructores!$A:$D,3,FALSE),"")</f>
        <v/>
      </c>
      <c r="L516" s="11">
        <f>IF('Pairings NB'!J2282=320,4,3)</f>
        <v/>
      </c>
      <c r="M516" s="11">
        <f>'Pairings NB'!$N$2282</f>
        <v/>
      </c>
    </row>
    <row r="517">
      <c r="A517" s="11">
        <f>'Pairings NB'!B2287</f>
        <v/>
      </c>
      <c r="B517" s="11">
        <f>'Pairings NB'!C2287</f>
        <v/>
      </c>
      <c r="C517" s="11">
        <f>'Pairings NB'!D2287</f>
        <v/>
      </c>
      <c r="D517" s="11">
        <f>'Pairings NB'!E2287&amp;"/"&amp;'Pairings NB'!E2288</f>
        <v/>
      </c>
      <c r="E517" s="11">
        <f>'Pairings NB'!F2287&amp;"-"&amp;'Pairings NB'!G2287&amp;"-"&amp;'Pairings NB'!F2287</f>
        <v/>
      </c>
      <c r="F517" s="11">
        <f>IFERROR(VLOOKUP('Pairings NB'!$M$2287,Instructores!$A:$D,2,FALSE),"")</f>
        <v/>
      </c>
      <c r="G517" s="11">
        <f>'Pairings NB'!$M$2287</f>
        <v/>
      </c>
      <c r="H517" s="11">
        <f>IFERROR(VLOOKUP('Pairings NB'!$M$2287,Instructores!$A:$D,4,FALSE),"")</f>
        <v/>
      </c>
      <c r="I517" s="11">
        <f>'Pairings NB'!$O$2287</f>
        <v/>
      </c>
      <c r="J517" s="11">
        <f>'Pairings NB'!J2287</f>
        <v/>
      </c>
      <c r="K517" s="11">
        <f>IFERROR(VLOOKUP('Pairings NB'!$M$2287,Instructores!$A:$D,3,FALSE),"")</f>
        <v/>
      </c>
      <c r="L517" s="11">
        <f>IF('Pairings NB'!J2287=320,4,3)</f>
        <v/>
      </c>
      <c r="M517" s="11">
        <f>'Pairings NB'!$N$2287</f>
        <v/>
      </c>
    </row>
    <row r="518">
      <c r="A518" s="11">
        <f>'Pairings NB'!B2292</f>
        <v/>
      </c>
      <c r="B518" s="11">
        <f>'Pairings NB'!C2292</f>
        <v/>
      </c>
      <c r="C518" s="11">
        <f>'Pairings NB'!D2292</f>
        <v/>
      </c>
      <c r="D518" s="11">
        <f>'Pairings NB'!E2292&amp;"/"&amp;'Pairings NB'!E2293</f>
        <v/>
      </c>
      <c r="E518" s="11">
        <f>'Pairings NB'!F2292&amp;"-"&amp;'Pairings NB'!G2292&amp;"-"&amp;'Pairings NB'!F2292</f>
        <v/>
      </c>
      <c r="F518" s="11">
        <f>IFERROR(VLOOKUP('Pairings NB'!$M$2292,Instructores!$A:$D,2,FALSE),"")</f>
        <v/>
      </c>
      <c r="G518" s="11">
        <f>'Pairings NB'!$M$2292</f>
        <v/>
      </c>
      <c r="H518" s="11">
        <f>IFERROR(VLOOKUP('Pairings NB'!$M$2292,Instructores!$A:$D,4,FALSE),"")</f>
        <v/>
      </c>
      <c r="I518" s="11">
        <f>'Pairings NB'!$O$2292</f>
        <v/>
      </c>
      <c r="J518" s="11">
        <f>'Pairings NB'!J2292</f>
        <v/>
      </c>
      <c r="K518" s="11">
        <f>IFERROR(VLOOKUP('Pairings NB'!$M$2292,Instructores!$A:$D,3,FALSE),"")</f>
        <v/>
      </c>
      <c r="L518" s="11">
        <f>IF('Pairings NB'!J2292=320,4,3)</f>
        <v/>
      </c>
      <c r="M518" s="11">
        <f>'Pairings NB'!$N$2292</f>
        <v/>
      </c>
    </row>
    <row r="519">
      <c r="A519" s="11">
        <f>'Pairings NB'!B2297</f>
        <v/>
      </c>
      <c r="B519" s="11">
        <f>'Pairings NB'!C2297</f>
        <v/>
      </c>
      <c r="C519" s="11">
        <f>'Pairings NB'!D2297</f>
        <v/>
      </c>
      <c r="D519" s="11">
        <f>'Pairings NB'!E2297&amp;"/"&amp;'Pairings NB'!E2298</f>
        <v/>
      </c>
      <c r="E519" s="11">
        <f>'Pairings NB'!F2297&amp;"-"&amp;'Pairings NB'!G2297&amp;"-"&amp;'Pairings NB'!F2297</f>
        <v/>
      </c>
      <c r="F519" s="11">
        <f>IFERROR(VLOOKUP('Pairings NB'!$M$2297,Instructores!$A:$D,2,FALSE),"")</f>
        <v/>
      </c>
      <c r="G519" s="11">
        <f>'Pairings NB'!$M$2297</f>
        <v/>
      </c>
      <c r="H519" s="11">
        <f>IFERROR(VLOOKUP('Pairings NB'!$M$2297,Instructores!$A:$D,4,FALSE),"")</f>
        <v/>
      </c>
      <c r="I519" s="11">
        <f>'Pairings NB'!$O$2297</f>
        <v/>
      </c>
      <c r="J519" s="11">
        <f>'Pairings NB'!J2297</f>
        <v/>
      </c>
      <c r="K519" s="11">
        <f>IFERROR(VLOOKUP('Pairings NB'!$M$2297,Instructores!$A:$D,3,FALSE),"")</f>
        <v/>
      </c>
      <c r="L519" s="11">
        <f>IF('Pairings NB'!J2297=320,4,3)</f>
        <v/>
      </c>
      <c r="M519" s="11">
        <f>'Pairings NB'!$N$2297</f>
        <v/>
      </c>
    </row>
    <row r="520">
      <c r="A520" s="11">
        <f>'Pairings NB'!B2302</f>
        <v/>
      </c>
      <c r="B520" s="11">
        <f>'Pairings NB'!C2302</f>
        <v/>
      </c>
      <c r="C520" s="11">
        <f>'Pairings NB'!D2302</f>
        <v/>
      </c>
      <c r="D520" s="11">
        <f>'Pairings NB'!E2302&amp;"/"&amp;'Pairings NB'!E2303</f>
        <v/>
      </c>
      <c r="E520" s="11">
        <f>'Pairings NB'!F2302&amp;"-"&amp;'Pairings NB'!G2302&amp;"-"&amp;'Pairings NB'!F2302</f>
        <v/>
      </c>
      <c r="F520" s="11">
        <f>IFERROR(VLOOKUP('Pairings NB'!$M$2302,Instructores!$A:$D,2,FALSE),"")</f>
        <v/>
      </c>
      <c r="G520" s="11">
        <f>'Pairings NB'!$M$2302</f>
        <v/>
      </c>
      <c r="H520" s="11">
        <f>IFERROR(VLOOKUP('Pairings NB'!$M$2302,Instructores!$A:$D,4,FALSE),"")</f>
        <v/>
      </c>
      <c r="I520" s="11">
        <f>'Pairings NB'!$O$2302</f>
        <v/>
      </c>
      <c r="J520" s="11">
        <f>'Pairings NB'!J2302</f>
        <v/>
      </c>
      <c r="K520" s="11">
        <f>IFERROR(VLOOKUP('Pairings NB'!$M$2302,Instructores!$A:$D,3,FALSE),"")</f>
        <v/>
      </c>
      <c r="L520" s="11">
        <f>IF('Pairings NB'!J2302=320,4,3)</f>
        <v/>
      </c>
      <c r="M520" s="11">
        <f>'Pairings NB'!$N$2302</f>
        <v/>
      </c>
    </row>
    <row r="521">
      <c r="A521" s="11">
        <f>'Pairings NB'!B2307</f>
        <v/>
      </c>
      <c r="B521" s="11">
        <f>'Pairings NB'!C2307</f>
        <v/>
      </c>
      <c r="C521" s="11">
        <f>'Pairings NB'!D2307</f>
        <v/>
      </c>
      <c r="D521" s="11">
        <f>'Pairings NB'!E2307&amp;"/"&amp;'Pairings NB'!E2308</f>
        <v/>
      </c>
      <c r="E521" s="11">
        <f>'Pairings NB'!F2307&amp;"-"&amp;'Pairings NB'!G2307&amp;"-"&amp;'Pairings NB'!F2307</f>
        <v/>
      </c>
      <c r="F521" s="11">
        <f>IFERROR(VLOOKUP('Pairings NB'!$M$2307,Instructores!$A:$D,2,FALSE),"")</f>
        <v/>
      </c>
      <c r="G521" s="11">
        <f>'Pairings NB'!$M$2307</f>
        <v/>
      </c>
      <c r="H521" s="11">
        <f>IFERROR(VLOOKUP('Pairings NB'!$M$2307,Instructores!$A:$D,4,FALSE),"")</f>
        <v/>
      </c>
      <c r="I521" s="11">
        <f>'Pairings NB'!$O$2307</f>
        <v/>
      </c>
      <c r="J521" s="11">
        <f>'Pairings NB'!J2307</f>
        <v/>
      </c>
      <c r="K521" s="11">
        <f>IFERROR(VLOOKUP('Pairings NB'!$M$2307,Instructores!$A:$D,3,FALSE),"")</f>
        <v/>
      </c>
      <c r="L521" s="11">
        <f>IF('Pairings NB'!J2307=320,4,3)</f>
        <v/>
      </c>
      <c r="M521" s="11">
        <f>'Pairings NB'!$N$2307</f>
        <v/>
      </c>
    </row>
    <row r="522">
      <c r="A522" s="11">
        <f>'Pairings NB'!B2312</f>
        <v/>
      </c>
      <c r="B522" s="11">
        <f>'Pairings NB'!C2312</f>
        <v/>
      </c>
      <c r="C522" s="11">
        <f>'Pairings NB'!D2312</f>
        <v/>
      </c>
      <c r="D522" s="11">
        <f>'Pairings NB'!E2312&amp;"/"&amp;'Pairings NB'!E2313</f>
        <v/>
      </c>
      <c r="E522" s="11">
        <f>'Pairings NB'!F2312&amp;"-"&amp;'Pairings NB'!G2312&amp;"-"&amp;'Pairings NB'!F2312</f>
        <v/>
      </c>
      <c r="F522" s="11">
        <f>IFERROR(VLOOKUP('Pairings NB'!$M$2312,Instructores!$A:$D,2,FALSE),"")</f>
        <v/>
      </c>
      <c r="G522" s="11">
        <f>'Pairings NB'!$M$2312</f>
        <v/>
      </c>
      <c r="H522" s="11">
        <f>IFERROR(VLOOKUP('Pairings NB'!$M$2312,Instructores!$A:$D,4,FALSE),"")</f>
        <v/>
      </c>
      <c r="I522" s="11">
        <f>'Pairings NB'!$O$2312</f>
        <v/>
      </c>
      <c r="J522" s="11">
        <f>'Pairings NB'!J2312</f>
        <v/>
      </c>
      <c r="K522" s="11">
        <f>IFERROR(VLOOKUP('Pairings NB'!$M$2312,Instructores!$A:$D,3,FALSE),"")</f>
        <v/>
      </c>
      <c r="L522" s="11">
        <f>IF('Pairings NB'!J2312=320,4,3)</f>
        <v/>
      </c>
      <c r="M522" s="11">
        <f>'Pairings NB'!$N$2312</f>
        <v/>
      </c>
    </row>
    <row r="523">
      <c r="A523" s="11">
        <f>'Pairings NB'!B2317</f>
        <v/>
      </c>
      <c r="B523" s="11">
        <f>'Pairings NB'!C2317</f>
        <v/>
      </c>
      <c r="C523" s="11">
        <f>'Pairings NB'!D2317</f>
        <v/>
      </c>
      <c r="D523" s="11">
        <f>'Pairings NB'!E2317&amp;"/"&amp;'Pairings NB'!E2318</f>
        <v/>
      </c>
      <c r="E523" s="11">
        <f>'Pairings NB'!F2317&amp;"-"&amp;'Pairings NB'!G2317&amp;"-"&amp;'Pairings NB'!F2317</f>
        <v/>
      </c>
      <c r="F523" s="11">
        <f>IFERROR(VLOOKUP('Pairings NB'!$M$2317,Instructores!$A:$D,2,FALSE),"")</f>
        <v/>
      </c>
      <c r="G523" s="11">
        <f>'Pairings NB'!$M$2317</f>
        <v/>
      </c>
      <c r="H523" s="11">
        <f>IFERROR(VLOOKUP('Pairings NB'!$M$2317,Instructores!$A:$D,4,FALSE),"")</f>
        <v/>
      </c>
      <c r="I523" s="11">
        <f>'Pairings NB'!$O$2317</f>
        <v/>
      </c>
      <c r="J523" s="11">
        <f>'Pairings NB'!J2317</f>
        <v/>
      </c>
      <c r="K523" s="11">
        <f>IFERROR(VLOOKUP('Pairings NB'!$M$2317,Instructores!$A:$D,3,FALSE),"")</f>
        <v/>
      </c>
      <c r="L523" s="11">
        <f>IF('Pairings NB'!J2317=320,4,3)</f>
        <v/>
      </c>
      <c r="M523" s="11">
        <f>'Pairings NB'!$N$2317</f>
        <v/>
      </c>
    </row>
    <row r="524">
      <c r="A524" s="11">
        <f>'Pairings NB'!B2319</f>
        <v/>
      </c>
      <c r="B524" s="11">
        <f>'Pairings NB'!C2319</f>
        <v/>
      </c>
      <c r="C524" s="11">
        <f>'Pairings NB'!D2319</f>
        <v/>
      </c>
      <c r="D524" s="11">
        <f>'Pairings NB'!E2319&amp;"/"&amp;'Pairings NB'!E2320</f>
        <v/>
      </c>
      <c r="E524" s="11">
        <f>'Pairings NB'!F2319&amp;"-"&amp;'Pairings NB'!G2319&amp;"-"&amp;'Pairings NB'!F2319</f>
        <v/>
      </c>
      <c r="F524" s="11">
        <f>IFERROR(VLOOKUP('Pairings NB'!$M$2317,Instructores!$A:$D,2,FALSE),"")</f>
        <v/>
      </c>
      <c r="G524" s="11">
        <f>'Pairings NB'!$M$2317</f>
        <v/>
      </c>
      <c r="H524" s="11">
        <f>IFERROR(VLOOKUP('Pairings NB'!$M$2317,Instructores!$A:$D,4,FALSE),"")</f>
        <v/>
      </c>
      <c r="I524" s="11">
        <f>'Pairings NB'!$O$2317</f>
        <v/>
      </c>
      <c r="J524" s="11">
        <f>'Pairings NB'!J2319</f>
        <v/>
      </c>
      <c r="K524" s="11">
        <f>IFERROR(VLOOKUP('Pairings NB'!$M$2317,Instructores!$A:$D,3,FALSE),"")</f>
        <v/>
      </c>
      <c r="L524" s="11">
        <f>IF('Pairings NB'!J2319=320,4,3)</f>
        <v/>
      </c>
      <c r="M524" s="11">
        <f>'Pairings NB'!$N$2317</f>
        <v/>
      </c>
    </row>
    <row r="525">
      <c r="A525" s="11">
        <f>'Pairings NB'!B2324</f>
        <v/>
      </c>
      <c r="B525" s="11">
        <f>'Pairings NB'!C2324</f>
        <v/>
      </c>
      <c r="C525" s="11">
        <f>'Pairings NB'!D2324</f>
        <v/>
      </c>
      <c r="D525" s="11">
        <f>'Pairings NB'!E2324&amp;"/"&amp;'Pairings NB'!E2325</f>
        <v/>
      </c>
      <c r="E525" s="11">
        <f>'Pairings NB'!F2324&amp;"-"&amp;'Pairings NB'!G2324&amp;"-"&amp;'Pairings NB'!F2324</f>
        <v/>
      </c>
      <c r="F525" s="11">
        <f>IFERROR(VLOOKUP('Pairings NB'!$M$2324,Instructores!$A:$D,2,FALSE),"")</f>
        <v/>
      </c>
      <c r="G525" s="11">
        <f>'Pairings NB'!$M$2324</f>
        <v/>
      </c>
      <c r="H525" s="11">
        <f>IFERROR(VLOOKUP('Pairings NB'!$M$2324,Instructores!$A:$D,4,FALSE),"")</f>
        <v/>
      </c>
      <c r="I525" s="11">
        <f>'Pairings NB'!$O$2324</f>
        <v/>
      </c>
      <c r="J525" s="11">
        <f>'Pairings NB'!J2324</f>
        <v/>
      </c>
      <c r="K525" s="11">
        <f>IFERROR(VLOOKUP('Pairings NB'!$M$2324,Instructores!$A:$D,3,FALSE),"")</f>
        <v/>
      </c>
      <c r="L525" s="11">
        <f>IF('Pairings NB'!J2324=320,4,3)</f>
        <v/>
      </c>
      <c r="M525" s="11">
        <f>'Pairings NB'!$N$2324</f>
        <v/>
      </c>
    </row>
    <row r="526">
      <c r="A526" s="11">
        <f>'Pairings NB'!B2326</f>
        <v/>
      </c>
      <c r="B526" s="11">
        <f>'Pairings NB'!C2326</f>
        <v/>
      </c>
      <c r="C526" s="11">
        <f>'Pairings NB'!D2326</f>
        <v/>
      </c>
      <c r="D526" s="11">
        <f>'Pairings NB'!E2326&amp;"/"&amp;'Pairings NB'!E2327</f>
        <v/>
      </c>
      <c r="E526" s="11">
        <f>'Pairings NB'!F2326&amp;"-"&amp;'Pairings NB'!G2326&amp;"-"&amp;'Pairings NB'!F2326</f>
        <v/>
      </c>
      <c r="F526" s="11">
        <f>IFERROR(VLOOKUP('Pairings NB'!$M$2324,Instructores!$A:$D,2,FALSE),"")</f>
        <v/>
      </c>
      <c r="G526" s="11">
        <f>'Pairings NB'!$M$2324</f>
        <v/>
      </c>
      <c r="H526" s="11">
        <f>IFERROR(VLOOKUP('Pairings NB'!$M$2324,Instructores!$A:$D,4,FALSE),"")</f>
        <v/>
      </c>
      <c r="I526" s="11">
        <f>'Pairings NB'!$O$2324</f>
        <v/>
      </c>
      <c r="J526" s="11">
        <f>'Pairings NB'!J2326</f>
        <v/>
      </c>
      <c r="K526" s="11">
        <f>IFERROR(VLOOKUP('Pairings NB'!$M$2324,Instructores!$A:$D,3,FALSE),"")</f>
        <v/>
      </c>
      <c r="L526" s="11">
        <f>IF('Pairings NB'!J2326=320,4,3)</f>
        <v/>
      </c>
      <c r="M526" s="11">
        <f>'Pairings NB'!$N$2324</f>
        <v/>
      </c>
    </row>
    <row r="527">
      <c r="A527" s="11">
        <f>'Pairings NB'!B2331</f>
        <v/>
      </c>
      <c r="B527" s="11">
        <f>'Pairings NB'!C2331</f>
        <v/>
      </c>
      <c r="C527" s="11">
        <f>'Pairings NB'!D2331</f>
        <v/>
      </c>
      <c r="D527" s="11">
        <f>'Pairings NB'!E2331&amp;"/"&amp;'Pairings NB'!E2332</f>
        <v/>
      </c>
      <c r="E527" s="11">
        <f>'Pairings NB'!F2331&amp;"-"&amp;'Pairings NB'!G2331&amp;"-"&amp;'Pairings NB'!F2331</f>
        <v/>
      </c>
      <c r="F527" s="11">
        <f>IFERROR(VLOOKUP('Pairings NB'!$M$2331,Instructores!$A:$D,2,FALSE),"")</f>
        <v/>
      </c>
      <c r="G527" s="11">
        <f>'Pairings NB'!$M$2331</f>
        <v/>
      </c>
      <c r="H527" s="11">
        <f>IFERROR(VLOOKUP('Pairings NB'!$M$2331,Instructores!$A:$D,4,FALSE),"")</f>
        <v/>
      </c>
      <c r="I527" s="11">
        <f>'Pairings NB'!$O$2331</f>
        <v/>
      </c>
      <c r="J527" s="11">
        <f>'Pairings NB'!J2331</f>
        <v/>
      </c>
      <c r="K527" s="11">
        <f>IFERROR(VLOOKUP('Pairings NB'!$M$2331,Instructores!$A:$D,3,FALSE),"")</f>
        <v/>
      </c>
      <c r="L527" s="11">
        <f>IF('Pairings NB'!J2331=320,4,3)</f>
        <v/>
      </c>
      <c r="M527" s="11">
        <f>'Pairings NB'!$N$2331</f>
        <v/>
      </c>
    </row>
    <row r="528">
      <c r="A528" s="11">
        <f>'Pairings NB'!B2336</f>
        <v/>
      </c>
      <c r="B528" s="11">
        <f>'Pairings NB'!C2336</f>
        <v/>
      </c>
      <c r="C528" s="11">
        <f>'Pairings NB'!D2336</f>
        <v/>
      </c>
      <c r="D528" s="11">
        <f>'Pairings NB'!E2336&amp;"/"&amp;'Pairings NB'!E2337</f>
        <v/>
      </c>
      <c r="E528" s="11">
        <f>'Pairings NB'!F2336&amp;"-"&amp;'Pairings NB'!G2336&amp;"-"&amp;'Pairings NB'!F2336</f>
        <v/>
      </c>
      <c r="F528" s="11">
        <f>IFERROR(VLOOKUP('Pairings NB'!$M$2336,Instructores!$A:$D,2,FALSE),"")</f>
        <v/>
      </c>
      <c r="G528" s="11">
        <f>'Pairings NB'!$M$2336</f>
        <v/>
      </c>
      <c r="H528" s="11">
        <f>IFERROR(VLOOKUP('Pairings NB'!$M$2336,Instructores!$A:$D,4,FALSE),"")</f>
        <v/>
      </c>
      <c r="I528" s="11">
        <f>'Pairings NB'!$O$2336</f>
        <v/>
      </c>
      <c r="J528" s="11">
        <f>'Pairings NB'!J2336</f>
        <v/>
      </c>
      <c r="K528" s="11">
        <f>IFERROR(VLOOKUP('Pairings NB'!$M$2336,Instructores!$A:$D,3,FALSE),"")</f>
        <v/>
      </c>
      <c r="L528" s="11">
        <f>IF('Pairings NB'!J2336=320,4,3)</f>
        <v/>
      </c>
      <c r="M528" s="11">
        <f>'Pairings NB'!$N$2336</f>
        <v/>
      </c>
    </row>
    <row r="529">
      <c r="A529" s="11">
        <f>'Pairings NB'!B2341</f>
        <v/>
      </c>
      <c r="B529" s="11">
        <f>'Pairings NB'!C2341</f>
        <v/>
      </c>
      <c r="C529" s="11">
        <f>'Pairings NB'!D2341</f>
        <v/>
      </c>
      <c r="D529" s="11">
        <f>'Pairings NB'!E2341&amp;"/"&amp;'Pairings NB'!E2342</f>
        <v/>
      </c>
      <c r="E529" s="11">
        <f>'Pairings NB'!F2341&amp;"-"&amp;'Pairings NB'!G2341&amp;"-"&amp;'Pairings NB'!F2341</f>
        <v/>
      </c>
      <c r="F529" s="11">
        <f>IFERROR(VLOOKUP('Pairings NB'!$M$2341,Instructores!$A:$D,2,FALSE),"")</f>
        <v/>
      </c>
      <c r="G529" s="11">
        <f>'Pairings NB'!$M$2341</f>
        <v/>
      </c>
      <c r="H529" s="11">
        <f>IFERROR(VLOOKUP('Pairings NB'!$M$2341,Instructores!$A:$D,4,FALSE),"")</f>
        <v/>
      </c>
      <c r="I529" s="11">
        <f>'Pairings NB'!$O$2341</f>
        <v/>
      </c>
      <c r="J529" s="11">
        <f>'Pairings NB'!J2341</f>
        <v/>
      </c>
      <c r="K529" s="11">
        <f>IFERROR(VLOOKUP('Pairings NB'!$M$2341,Instructores!$A:$D,3,FALSE),"")</f>
        <v/>
      </c>
      <c r="L529" s="11">
        <f>IF('Pairings NB'!J2341=320,4,3)</f>
        <v/>
      </c>
      <c r="M529" s="11">
        <f>'Pairings NB'!$N$2341</f>
        <v/>
      </c>
    </row>
    <row r="530">
      <c r="A530" s="11">
        <f>'Pairings NB'!B2343</f>
        <v/>
      </c>
      <c r="B530" s="11">
        <f>'Pairings NB'!C2343</f>
        <v/>
      </c>
      <c r="C530" s="11">
        <f>'Pairings NB'!D2343</f>
        <v/>
      </c>
      <c r="D530" s="11">
        <f>'Pairings NB'!E2343&amp;"/"&amp;'Pairings NB'!E2344</f>
        <v/>
      </c>
      <c r="E530" s="11">
        <f>'Pairings NB'!F2343&amp;"-"&amp;'Pairings NB'!G2343&amp;"-"&amp;'Pairings NB'!F2343</f>
        <v/>
      </c>
      <c r="F530" s="11">
        <f>IFERROR(VLOOKUP('Pairings NB'!$M$2341,Instructores!$A:$D,2,FALSE),"")</f>
        <v/>
      </c>
      <c r="G530" s="11">
        <f>'Pairings NB'!$M$2341</f>
        <v/>
      </c>
      <c r="H530" s="11">
        <f>IFERROR(VLOOKUP('Pairings NB'!$M$2341,Instructores!$A:$D,4,FALSE),"")</f>
        <v/>
      </c>
      <c r="I530" s="11">
        <f>'Pairings NB'!$O$2341</f>
        <v/>
      </c>
      <c r="J530" s="11">
        <f>'Pairings NB'!J2343</f>
        <v/>
      </c>
      <c r="K530" s="11">
        <f>IFERROR(VLOOKUP('Pairings NB'!$M$2341,Instructores!$A:$D,3,FALSE),"")</f>
        <v/>
      </c>
      <c r="L530" s="11">
        <f>IF('Pairings NB'!J2343=320,4,3)</f>
        <v/>
      </c>
      <c r="M530" s="11">
        <f>'Pairings NB'!$N$2341</f>
        <v/>
      </c>
    </row>
    <row r="531">
      <c r="A531" s="11">
        <f>'Pairings NB'!B2348</f>
        <v/>
      </c>
      <c r="B531" s="11">
        <f>'Pairings NB'!C2348</f>
        <v/>
      </c>
      <c r="C531" s="11">
        <f>'Pairings NB'!D2348</f>
        <v/>
      </c>
      <c r="D531" s="11">
        <f>'Pairings NB'!E2348&amp;"/"&amp;'Pairings NB'!E2349</f>
        <v/>
      </c>
      <c r="E531" s="11">
        <f>'Pairings NB'!F2348&amp;"-"&amp;'Pairings NB'!G2348&amp;"-"&amp;'Pairings NB'!F2348</f>
        <v/>
      </c>
      <c r="F531" s="11">
        <f>IFERROR(VLOOKUP('Pairings NB'!$M$2348,Instructores!$A:$D,2,FALSE),"")</f>
        <v/>
      </c>
      <c r="G531" s="11">
        <f>'Pairings NB'!$M$2348</f>
        <v/>
      </c>
      <c r="H531" s="11">
        <f>IFERROR(VLOOKUP('Pairings NB'!$M$2348,Instructores!$A:$D,4,FALSE),"")</f>
        <v/>
      </c>
      <c r="I531" s="11">
        <f>'Pairings NB'!$O$2348</f>
        <v/>
      </c>
      <c r="J531" s="11">
        <f>'Pairings NB'!J2348</f>
        <v/>
      </c>
      <c r="K531" s="11">
        <f>IFERROR(VLOOKUP('Pairings NB'!$M$2348,Instructores!$A:$D,3,FALSE),"")</f>
        <v/>
      </c>
      <c r="L531" s="11">
        <f>IF('Pairings NB'!J2348=320,4,3)</f>
        <v/>
      </c>
      <c r="M531" s="11">
        <f>'Pairings NB'!$N$2348</f>
        <v/>
      </c>
    </row>
    <row r="532">
      <c r="A532" s="11">
        <f>'Pairings NB'!B2353</f>
        <v/>
      </c>
      <c r="B532" s="11">
        <f>'Pairings NB'!C2353</f>
        <v/>
      </c>
      <c r="C532" s="11">
        <f>'Pairings NB'!D2353</f>
        <v/>
      </c>
      <c r="D532" s="11">
        <f>'Pairings NB'!E2353&amp;"/"&amp;'Pairings NB'!E2354</f>
        <v/>
      </c>
      <c r="E532" s="11">
        <f>'Pairings NB'!F2353&amp;"-"&amp;'Pairings NB'!G2353&amp;"-"&amp;'Pairings NB'!F2353</f>
        <v/>
      </c>
      <c r="F532" s="11">
        <f>IFERROR(VLOOKUP('Pairings NB'!$M$2353,Instructores!$A:$D,2,FALSE),"")</f>
        <v/>
      </c>
      <c r="G532" s="11">
        <f>'Pairings NB'!$M$2353</f>
        <v/>
      </c>
      <c r="H532" s="11">
        <f>IFERROR(VLOOKUP('Pairings NB'!$M$2353,Instructores!$A:$D,4,FALSE),"")</f>
        <v/>
      </c>
      <c r="I532" s="11">
        <f>'Pairings NB'!$O$2353</f>
        <v/>
      </c>
      <c r="J532" s="11">
        <f>'Pairings NB'!J2353</f>
        <v/>
      </c>
      <c r="K532" s="11">
        <f>IFERROR(VLOOKUP('Pairings NB'!$M$2353,Instructores!$A:$D,3,FALSE),"")</f>
        <v/>
      </c>
      <c r="L532" s="11">
        <f>IF('Pairings NB'!J2353=320,4,3)</f>
        <v/>
      </c>
      <c r="M532" s="11">
        <f>'Pairings NB'!$N$2353</f>
        <v/>
      </c>
    </row>
    <row r="533">
      <c r="A533" s="11">
        <f>'Pairings NB'!B2358</f>
        <v/>
      </c>
      <c r="B533" s="11">
        <f>'Pairings NB'!C2358</f>
        <v/>
      </c>
      <c r="C533" s="11">
        <f>'Pairings NB'!D2358</f>
        <v/>
      </c>
      <c r="D533" s="11">
        <f>'Pairings NB'!E2358&amp;"/"&amp;'Pairings NB'!E2359</f>
        <v/>
      </c>
      <c r="E533" s="11">
        <f>'Pairings NB'!F2358&amp;"-"&amp;'Pairings NB'!G2358&amp;"-"&amp;'Pairings NB'!F2358</f>
        <v/>
      </c>
      <c r="F533" s="11">
        <f>IFERROR(VLOOKUP('Pairings NB'!$M$2358,Instructores!$A:$D,2,FALSE),"")</f>
        <v/>
      </c>
      <c r="G533" s="11">
        <f>'Pairings NB'!$M$2358</f>
        <v/>
      </c>
      <c r="H533" s="11">
        <f>IFERROR(VLOOKUP('Pairings NB'!$M$2358,Instructores!$A:$D,4,FALSE),"")</f>
        <v/>
      </c>
      <c r="I533" s="11">
        <f>'Pairings NB'!$O$2358</f>
        <v/>
      </c>
      <c r="J533" s="11">
        <f>'Pairings NB'!J2358</f>
        <v/>
      </c>
      <c r="K533" s="11">
        <f>IFERROR(VLOOKUP('Pairings NB'!$M$2358,Instructores!$A:$D,3,FALSE),"")</f>
        <v/>
      </c>
      <c r="L533" s="11">
        <f>IF('Pairings NB'!J2358=320,4,3)</f>
        <v/>
      </c>
      <c r="M533" s="11">
        <f>'Pairings NB'!$N$2358</f>
        <v/>
      </c>
    </row>
    <row r="534">
      <c r="A534" s="11">
        <f>'Pairings NB'!B2363</f>
        <v/>
      </c>
      <c r="B534" s="11">
        <f>'Pairings NB'!C2363</f>
        <v/>
      </c>
      <c r="C534" s="11">
        <f>'Pairings NB'!D2363</f>
        <v/>
      </c>
      <c r="D534" s="11">
        <f>'Pairings NB'!E2363&amp;"/"&amp;'Pairings NB'!E2364</f>
        <v/>
      </c>
      <c r="E534" s="11">
        <f>'Pairings NB'!F2363&amp;"-"&amp;'Pairings NB'!G2363&amp;"-"&amp;'Pairings NB'!F2363</f>
        <v/>
      </c>
      <c r="F534" s="11">
        <f>IFERROR(VLOOKUP('Pairings NB'!$M$2363,Instructores!$A:$D,2,FALSE),"")</f>
        <v/>
      </c>
      <c r="G534" s="11">
        <f>'Pairings NB'!$M$2363</f>
        <v/>
      </c>
      <c r="H534" s="11">
        <f>IFERROR(VLOOKUP('Pairings NB'!$M$2363,Instructores!$A:$D,4,FALSE),"")</f>
        <v/>
      </c>
      <c r="I534" s="11">
        <f>'Pairings NB'!$O$2363</f>
        <v/>
      </c>
      <c r="J534" s="11">
        <f>'Pairings NB'!J2363</f>
        <v/>
      </c>
      <c r="K534" s="11">
        <f>IFERROR(VLOOKUP('Pairings NB'!$M$2363,Instructores!$A:$D,3,FALSE),"")</f>
        <v/>
      </c>
      <c r="L534" s="11">
        <f>IF('Pairings NB'!J2363=320,4,3)</f>
        <v/>
      </c>
      <c r="M534" s="11">
        <f>'Pairings NB'!$N$2363</f>
        <v/>
      </c>
    </row>
    <row r="535">
      <c r="A535" s="11">
        <f>'Pairings NB'!B2368</f>
        <v/>
      </c>
      <c r="B535" s="11">
        <f>'Pairings NB'!C2368</f>
        <v/>
      </c>
      <c r="C535" s="11">
        <f>'Pairings NB'!D2368</f>
        <v/>
      </c>
      <c r="D535" s="11">
        <f>'Pairings NB'!E2368&amp;"/"&amp;'Pairings NB'!E2369</f>
        <v/>
      </c>
      <c r="E535" s="11">
        <f>'Pairings NB'!F2368&amp;"-"&amp;'Pairings NB'!G2368&amp;"-"&amp;'Pairings NB'!F2368</f>
        <v/>
      </c>
      <c r="F535" s="11">
        <f>IFERROR(VLOOKUP('Pairings NB'!$M$2368,Instructores!$A:$D,2,FALSE),"")</f>
        <v/>
      </c>
      <c r="G535" s="11">
        <f>'Pairings NB'!$M$2368</f>
        <v/>
      </c>
      <c r="H535" s="11">
        <f>IFERROR(VLOOKUP('Pairings NB'!$M$2368,Instructores!$A:$D,4,FALSE),"")</f>
        <v/>
      </c>
      <c r="I535" s="11">
        <f>'Pairings NB'!$O$2368</f>
        <v/>
      </c>
      <c r="J535" s="11">
        <f>'Pairings NB'!J2368</f>
        <v/>
      </c>
      <c r="K535" s="11">
        <f>IFERROR(VLOOKUP('Pairings NB'!$M$2368,Instructores!$A:$D,3,FALSE),"")</f>
        <v/>
      </c>
      <c r="L535" s="11">
        <f>IF('Pairings NB'!J2368=320,4,3)</f>
        <v/>
      </c>
      <c r="M535" s="11">
        <f>'Pairings NB'!$N$2368</f>
        <v/>
      </c>
    </row>
    <row r="536">
      <c r="A536" s="11">
        <f>'Pairings NB'!B2373</f>
        <v/>
      </c>
      <c r="B536" s="11">
        <f>'Pairings NB'!C2373</f>
        <v/>
      </c>
      <c r="C536" s="11">
        <f>'Pairings NB'!D2373</f>
        <v/>
      </c>
      <c r="D536" s="11">
        <f>'Pairings NB'!E2373&amp;"/"&amp;'Pairings NB'!E2374</f>
        <v/>
      </c>
      <c r="E536" s="11">
        <f>'Pairings NB'!F2373&amp;"-"&amp;'Pairings NB'!G2373&amp;"-"&amp;'Pairings NB'!F2373</f>
        <v/>
      </c>
      <c r="F536" s="11">
        <f>IFERROR(VLOOKUP('Pairings NB'!$M$2373,Instructores!$A:$D,2,FALSE),"")</f>
        <v/>
      </c>
      <c r="G536" s="11">
        <f>'Pairings NB'!$M$2373</f>
        <v/>
      </c>
      <c r="H536" s="11">
        <f>IFERROR(VLOOKUP('Pairings NB'!$M$2373,Instructores!$A:$D,4,FALSE),"")</f>
        <v/>
      </c>
      <c r="I536" s="11">
        <f>'Pairings NB'!$O$2373</f>
        <v/>
      </c>
      <c r="J536" s="11">
        <f>'Pairings NB'!J2373</f>
        <v/>
      </c>
      <c r="K536" s="11">
        <f>IFERROR(VLOOKUP('Pairings NB'!$M$2373,Instructores!$A:$D,3,FALSE),"")</f>
        <v/>
      </c>
      <c r="L536" s="11">
        <f>IF('Pairings NB'!J2373=320,4,3)</f>
        <v/>
      </c>
      <c r="M536" s="11">
        <f>'Pairings NB'!$N$2373</f>
        <v/>
      </c>
    </row>
    <row r="537">
      <c r="A537" s="11">
        <f>'Pairings NB'!B2378</f>
        <v/>
      </c>
      <c r="B537" s="11">
        <f>'Pairings NB'!C2378</f>
        <v/>
      </c>
      <c r="C537" s="11">
        <f>'Pairings NB'!D2378</f>
        <v/>
      </c>
      <c r="D537" s="11">
        <f>'Pairings NB'!E2378&amp;"/"&amp;'Pairings NB'!E2379</f>
        <v/>
      </c>
      <c r="E537" s="11">
        <f>'Pairings NB'!F2378&amp;"-"&amp;'Pairings NB'!G2378&amp;"-"&amp;'Pairings NB'!F2378</f>
        <v/>
      </c>
      <c r="F537" s="11">
        <f>IFERROR(VLOOKUP('Pairings NB'!$M$2378,Instructores!$A:$D,2,FALSE),"")</f>
        <v/>
      </c>
      <c r="G537" s="11">
        <f>'Pairings NB'!$M$2378</f>
        <v/>
      </c>
      <c r="H537" s="11">
        <f>IFERROR(VLOOKUP('Pairings NB'!$M$2378,Instructores!$A:$D,4,FALSE),"")</f>
        <v/>
      </c>
      <c r="I537" s="11">
        <f>'Pairings NB'!$O$2378</f>
        <v/>
      </c>
      <c r="J537" s="11">
        <f>'Pairings NB'!J2378</f>
        <v/>
      </c>
      <c r="K537" s="11">
        <f>IFERROR(VLOOKUP('Pairings NB'!$M$2378,Instructores!$A:$D,3,FALSE),"")</f>
        <v/>
      </c>
      <c r="L537" s="11">
        <f>IF('Pairings NB'!J2378=320,4,3)</f>
        <v/>
      </c>
      <c r="M537" s="11">
        <f>'Pairings NB'!$N$2378</f>
        <v/>
      </c>
    </row>
    <row r="538">
      <c r="A538" s="11">
        <f>'Pairings NB'!B2383</f>
        <v/>
      </c>
      <c r="B538" s="11">
        <f>'Pairings NB'!C2383</f>
        <v/>
      </c>
      <c r="C538" s="11">
        <f>'Pairings NB'!D2383</f>
        <v/>
      </c>
      <c r="D538" s="11">
        <f>'Pairings NB'!E2383&amp;"/"&amp;'Pairings NB'!E2384</f>
        <v/>
      </c>
      <c r="E538" s="11">
        <f>'Pairings NB'!F2383&amp;"-"&amp;'Pairings NB'!G2383&amp;"-"&amp;'Pairings NB'!F2383</f>
        <v/>
      </c>
      <c r="F538" s="11">
        <f>IFERROR(VLOOKUP('Pairings NB'!$M$2383,Instructores!$A:$D,2,FALSE),"")</f>
        <v/>
      </c>
      <c r="G538" s="11">
        <f>'Pairings NB'!$M$2383</f>
        <v/>
      </c>
      <c r="H538" s="11">
        <f>IFERROR(VLOOKUP('Pairings NB'!$M$2383,Instructores!$A:$D,4,FALSE),"")</f>
        <v/>
      </c>
      <c r="I538" s="11">
        <f>'Pairings NB'!$O$2383</f>
        <v/>
      </c>
      <c r="J538" s="11">
        <f>'Pairings NB'!J2383</f>
        <v/>
      </c>
      <c r="K538" s="11">
        <f>IFERROR(VLOOKUP('Pairings NB'!$M$2383,Instructores!$A:$D,3,FALSE),"")</f>
        <v/>
      </c>
      <c r="L538" s="11">
        <f>IF('Pairings NB'!J2383=320,4,3)</f>
        <v/>
      </c>
      <c r="M538" s="11">
        <f>'Pairings NB'!$N$2383</f>
        <v/>
      </c>
    </row>
    <row r="539">
      <c r="A539" s="11">
        <f>'Pairings NB'!B2388</f>
        <v/>
      </c>
      <c r="B539" s="11">
        <f>'Pairings NB'!C2388</f>
        <v/>
      </c>
      <c r="C539" s="11">
        <f>'Pairings NB'!D2388</f>
        <v/>
      </c>
      <c r="D539" s="11">
        <f>'Pairings NB'!E2388&amp;"/"&amp;'Pairings NB'!E2389</f>
        <v/>
      </c>
      <c r="E539" s="11">
        <f>'Pairings NB'!F2388&amp;"-"&amp;'Pairings NB'!G2388&amp;"-"&amp;'Pairings NB'!F2388</f>
        <v/>
      </c>
      <c r="F539" s="11">
        <f>IFERROR(VLOOKUP('Pairings NB'!$M$2388,Instructores!$A:$D,2,FALSE),"")</f>
        <v/>
      </c>
      <c r="G539" s="11">
        <f>'Pairings NB'!$M$2388</f>
        <v/>
      </c>
      <c r="H539" s="11">
        <f>IFERROR(VLOOKUP('Pairings NB'!$M$2388,Instructores!$A:$D,4,FALSE),"")</f>
        <v/>
      </c>
      <c r="I539" s="11">
        <f>'Pairings NB'!$O$2388</f>
        <v/>
      </c>
      <c r="J539" s="11">
        <f>'Pairings NB'!J2388</f>
        <v/>
      </c>
      <c r="K539" s="11">
        <f>IFERROR(VLOOKUP('Pairings NB'!$M$2388,Instructores!$A:$D,3,FALSE),"")</f>
        <v/>
      </c>
      <c r="L539" s="11">
        <f>IF('Pairings NB'!J2388=320,4,3)</f>
        <v/>
      </c>
      <c r="M539" s="11">
        <f>'Pairings NB'!$N$2388</f>
        <v/>
      </c>
    </row>
    <row r="540">
      <c r="A540" s="11">
        <f>'Pairings NB'!B2390</f>
        <v/>
      </c>
      <c r="B540" s="11">
        <f>'Pairings NB'!C2390</f>
        <v/>
      </c>
      <c r="C540" s="11">
        <f>'Pairings NB'!D2390</f>
        <v/>
      </c>
      <c r="D540" s="11">
        <f>'Pairings NB'!E2390&amp;"/"&amp;'Pairings NB'!E2391</f>
        <v/>
      </c>
      <c r="E540" s="11">
        <f>'Pairings NB'!F2390&amp;"-"&amp;'Pairings NB'!G2390&amp;"-"&amp;'Pairings NB'!F2390</f>
        <v/>
      </c>
      <c r="F540" s="11">
        <f>IFERROR(VLOOKUP('Pairings NB'!$M$2388,Instructores!$A:$D,2,FALSE),"")</f>
        <v/>
      </c>
      <c r="G540" s="11">
        <f>'Pairings NB'!$M$2388</f>
        <v/>
      </c>
      <c r="H540" s="11">
        <f>IFERROR(VLOOKUP('Pairings NB'!$M$2388,Instructores!$A:$D,4,FALSE),"")</f>
        <v/>
      </c>
      <c r="I540" s="11">
        <f>'Pairings NB'!$O$2388</f>
        <v/>
      </c>
      <c r="J540" s="11">
        <f>'Pairings NB'!J2390</f>
        <v/>
      </c>
      <c r="K540" s="11">
        <f>IFERROR(VLOOKUP('Pairings NB'!$M$2388,Instructores!$A:$D,3,FALSE),"")</f>
        <v/>
      </c>
      <c r="L540" s="11">
        <f>IF('Pairings NB'!J2390=320,4,3)</f>
        <v/>
      </c>
      <c r="M540" s="11">
        <f>'Pairings NB'!$N$2388</f>
        <v/>
      </c>
    </row>
    <row r="541">
      <c r="A541" s="11">
        <f>'Pairings NB'!B2395</f>
        <v/>
      </c>
      <c r="B541" s="11">
        <f>'Pairings NB'!C2395</f>
        <v/>
      </c>
      <c r="C541" s="11">
        <f>'Pairings NB'!D2395</f>
        <v/>
      </c>
      <c r="D541" s="11">
        <f>'Pairings NB'!E2395&amp;"/"&amp;'Pairings NB'!E2396</f>
        <v/>
      </c>
      <c r="E541" s="11">
        <f>'Pairings NB'!F2395&amp;"-"&amp;'Pairings NB'!G2395&amp;"-"&amp;'Pairings NB'!F2395</f>
        <v/>
      </c>
      <c r="F541" s="11">
        <f>IFERROR(VLOOKUP('Pairings NB'!$M$2395,Instructores!$A:$D,2,FALSE),"")</f>
        <v/>
      </c>
      <c r="G541" s="11">
        <f>'Pairings NB'!$M$2395</f>
        <v/>
      </c>
      <c r="H541" s="11">
        <f>IFERROR(VLOOKUP('Pairings NB'!$M$2395,Instructores!$A:$D,4,FALSE),"")</f>
        <v/>
      </c>
      <c r="I541" s="11">
        <f>'Pairings NB'!$O$2395</f>
        <v/>
      </c>
      <c r="J541" s="11">
        <f>'Pairings NB'!J2395</f>
        <v/>
      </c>
      <c r="K541" s="11">
        <f>IFERROR(VLOOKUP('Pairings NB'!$M$2395,Instructores!$A:$D,3,FALSE),"")</f>
        <v/>
      </c>
      <c r="L541" s="11">
        <f>IF('Pairings NB'!J2395=320,4,3)</f>
        <v/>
      </c>
      <c r="M541" s="11">
        <f>'Pairings NB'!$N$2395</f>
        <v/>
      </c>
    </row>
    <row r="542">
      <c r="A542" s="11">
        <f>'Pairings NB'!B2397</f>
        <v/>
      </c>
      <c r="B542" s="11">
        <f>'Pairings NB'!C2397</f>
        <v/>
      </c>
      <c r="C542" s="11">
        <f>'Pairings NB'!D2397</f>
        <v/>
      </c>
      <c r="D542" s="11">
        <f>'Pairings NB'!E2397&amp;"/"&amp;'Pairings NB'!E2398</f>
        <v/>
      </c>
      <c r="E542" s="11">
        <f>'Pairings NB'!F2397&amp;"-"&amp;'Pairings NB'!G2397&amp;"-"&amp;'Pairings NB'!F2397</f>
        <v/>
      </c>
      <c r="F542" s="11">
        <f>IFERROR(VLOOKUP('Pairings NB'!$M$2395,Instructores!$A:$D,2,FALSE),"")</f>
        <v/>
      </c>
      <c r="G542" s="11">
        <f>'Pairings NB'!$M$2395</f>
        <v/>
      </c>
      <c r="H542" s="11">
        <f>IFERROR(VLOOKUP('Pairings NB'!$M$2395,Instructores!$A:$D,4,FALSE),"")</f>
        <v/>
      </c>
      <c r="I542" s="11">
        <f>'Pairings NB'!$O$2395</f>
        <v/>
      </c>
      <c r="J542" s="11">
        <f>'Pairings NB'!J2397</f>
        <v/>
      </c>
      <c r="K542" s="11">
        <f>IFERROR(VLOOKUP('Pairings NB'!$M$2395,Instructores!$A:$D,3,FALSE),"")</f>
        <v/>
      </c>
      <c r="L542" s="11">
        <f>IF('Pairings NB'!J2397=320,4,3)</f>
        <v/>
      </c>
      <c r="M542" s="11">
        <f>'Pairings NB'!$N$2395</f>
        <v/>
      </c>
    </row>
    <row r="543">
      <c r="A543" s="11">
        <f>'Pairings NB'!B2402</f>
        <v/>
      </c>
      <c r="B543" s="11">
        <f>'Pairings NB'!C2402</f>
        <v/>
      </c>
      <c r="C543" s="11">
        <f>'Pairings NB'!D2402</f>
        <v/>
      </c>
      <c r="D543" s="11">
        <f>'Pairings NB'!E2402&amp;"/"&amp;'Pairings NB'!E2403</f>
        <v/>
      </c>
      <c r="E543" s="11">
        <f>'Pairings NB'!F2402&amp;"-"&amp;'Pairings NB'!G2402&amp;"-"&amp;'Pairings NB'!F2402</f>
        <v/>
      </c>
      <c r="F543" s="11">
        <f>IFERROR(VLOOKUP('Pairings NB'!$M$2402,Instructores!$A:$D,2,FALSE),"")</f>
        <v/>
      </c>
      <c r="G543" s="11">
        <f>'Pairings NB'!$M$2402</f>
        <v/>
      </c>
      <c r="H543" s="11">
        <f>IFERROR(VLOOKUP('Pairings NB'!$M$2402,Instructores!$A:$D,4,FALSE),"")</f>
        <v/>
      </c>
      <c r="I543" s="11">
        <f>'Pairings NB'!$O$2402</f>
        <v/>
      </c>
      <c r="J543" s="11">
        <f>'Pairings NB'!J2402</f>
        <v/>
      </c>
      <c r="K543" s="11">
        <f>IFERROR(VLOOKUP('Pairings NB'!$M$2402,Instructores!$A:$D,3,FALSE),"")</f>
        <v/>
      </c>
      <c r="L543" s="11">
        <f>IF('Pairings NB'!J2402=320,4,3)</f>
        <v/>
      </c>
      <c r="M543" s="11">
        <f>'Pairings NB'!$N$2402</f>
        <v/>
      </c>
    </row>
    <row r="544">
      <c r="A544" s="11">
        <f>'Pairings NB'!B2404</f>
        <v/>
      </c>
      <c r="B544" s="11">
        <f>'Pairings NB'!C2404</f>
        <v/>
      </c>
      <c r="C544" s="11">
        <f>'Pairings NB'!D2404</f>
        <v/>
      </c>
      <c r="D544" s="11">
        <f>'Pairings NB'!E2404&amp;"/"&amp;'Pairings NB'!E2405</f>
        <v/>
      </c>
      <c r="E544" s="11">
        <f>'Pairings NB'!F2404&amp;"-"&amp;'Pairings NB'!G2404&amp;"-"&amp;'Pairings NB'!F2404</f>
        <v/>
      </c>
      <c r="F544" s="11">
        <f>IFERROR(VLOOKUP('Pairings NB'!$M$2402,Instructores!$A:$D,2,FALSE),"")</f>
        <v/>
      </c>
      <c r="G544" s="11">
        <f>'Pairings NB'!$M$2402</f>
        <v/>
      </c>
      <c r="H544" s="11">
        <f>IFERROR(VLOOKUP('Pairings NB'!$M$2402,Instructores!$A:$D,4,FALSE),"")</f>
        <v/>
      </c>
      <c r="I544" s="11">
        <f>'Pairings NB'!$O$2402</f>
        <v/>
      </c>
      <c r="J544" s="11">
        <f>'Pairings NB'!J2404</f>
        <v/>
      </c>
      <c r="K544" s="11">
        <f>IFERROR(VLOOKUP('Pairings NB'!$M$2402,Instructores!$A:$D,3,FALSE),"")</f>
        <v/>
      </c>
      <c r="L544" s="11">
        <f>IF('Pairings NB'!J2404=320,4,3)</f>
        <v/>
      </c>
      <c r="M544" s="11">
        <f>'Pairings NB'!$N$2402</f>
        <v/>
      </c>
    </row>
    <row r="545">
      <c r="A545" s="11">
        <f>'Pairings NB'!B2409</f>
        <v/>
      </c>
      <c r="B545" s="11">
        <f>'Pairings NB'!C2409</f>
        <v/>
      </c>
      <c r="C545" s="11">
        <f>'Pairings NB'!D2409</f>
        <v/>
      </c>
      <c r="D545" s="11">
        <f>'Pairings NB'!E2409&amp;"/"&amp;'Pairings NB'!E2410</f>
        <v/>
      </c>
      <c r="E545" s="11">
        <f>'Pairings NB'!F2409&amp;"-"&amp;'Pairings NB'!G2409&amp;"-"&amp;'Pairings NB'!F2409</f>
        <v/>
      </c>
      <c r="F545" s="11">
        <f>IFERROR(VLOOKUP('Pairings NB'!$M$2409,Instructores!$A:$D,2,FALSE),"")</f>
        <v/>
      </c>
      <c r="G545" s="11">
        <f>'Pairings NB'!$M$2409</f>
        <v/>
      </c>
      <c r="H545" s="11">
        <f>IFERROR(VLOOKUP('Pairings NB'!$M$2409,Instructores!$A:$D,4,FALSE),"")</f>
        <v/>
      </c>
      <c r="I545" s="11">
        <f>'Pairings NB'!$O$2409</f>
        <v/>
      </c>
      <c r="J545" s="11">
        <f>'Pairings NB'!J2409</f>
        <v/>
      </c>
      <c r="K545" s="11">
        <f>IFERROR(VLOOKUP('Pairings NB'!$M$2409,Instructores!$A:$D,3,FALSE),"")</f>
        <v/>
      </c>
      <c r="L545" s="11">
        <f>IF('Pairings NB'!J2409=320,4,3)</f>
        <v/>
      </c>
      <c r="M545" s="11">
        <f>'Pairings NB'!$N$2409</f>
        <v/>
      </c>
    </row>
    <row r="546">
      <c r="A546" s="11">
        <f>'Pairings NB'!B2411</f>
        <v/>
      </c>
      <c r="B546" s="11">
        <f>'Pairings NB'!C2411</f>
        <v/>
      </c>
      <c r="C546" s="11">
        <f>'Pairings NB'!D2411</f>
        <v/>
      </c>
      <c r="D546" s="11">
        <f>'Pairings NB'!E2411&amp;"/"&amp;'Pairings NB'!E2412</f>
        <v/>
      </c>
      <c r="E546" s="11">
        <f>'Pairings NB'!F2411&amp;"-"&amp;'Pairings NB'!G2411&amp;"-"&amp;'Pairings NB'!F2411</f>
        <v/>
      </c>
      <c r="F546" s="11">
        <f>IFERROR(VLOOKUP('Pairings NB'!$M$2409,Instructores!$A:$D,2,FALSE),"")</f>
        <v/>
      </c>
      <c r="G546" s="11">
        <f>'Pairings NB'!$M$2409</f>
        <v/>
      </c>
      <c r="H546" s="11">
        <f>IFERROR(VLOOKUP('Pairings NB'!$M$2409,Instructores!$A:$D,4,FALSE),"")</f>
        <v/>
      </c>
      <c r="I546" s="11">
        <f>'Pairings NB'!$O$2409</f>
        <v/>
      </c>
      <c r="J546" s="11">
        <f>'Pairings NB'!J2411</f>
        <v/>
      </c>
      <c r="K546" s="11">
        <f>IFERROR(VLOOKUP('Pairings NB'!$M$2409,Instructores!$A:$D,3,FALSE),"")</f>
        <v/>
      </c>
      <c r="L546" s="11">
        <f>IF('Pairings NB'!J2411=320,4,3)</f>
        <v/>
      </c>
      <c r="M546" s="11">
        <f>'Pairings NB'!$N$2409</f>
        <v/>
      </c>
    </row>
    <row r="547">
      <c r="A547" s="11">
        <f>'Pairings NB'!B2416</f>
        <v/>
      </c>
      <c r="B547" s="11">
        <f>'Pairings NB'!C2416</f>
        <v/>
      </c>
      <c r="C547" s="11">
        <f>'Pairings NB'!D2416</f>
        <v/>
      </c>
      <c r="D547" s="11">
        <f>'Pairings NB'!E2416&amp;"/"&amp;'Pairings NB'!E2417</f>
        <v/>
      </c>
      <c r="E547" s="11">
        <f>'Pairings NB'!F2416&amp;"-"&amp;'Pairings NB'!G2416&amp;"-"&amp;'Pairings NB'!F2416</f>
        <v/>
      </c>
      <c r="F547" s="11">
        <f>IFERROR(VLOOKUP('Pairings NB'!$M$2416,Instructores!$A:$D,2,FALSE),"")</f>
        <v/>
      </c>
      <c r="G547" s="11">
        <f>'Pairings NB'!$M$2416</f>
        <v/>
      </c>
      <c r="H547" s="11">
        <f>IFERROR(VLOOKUP('Pairings NB'!$M$2416,Instructores!$A:$D,4,FALSE),"")</f>
        <v/>
      </c>
      <c r="I547" s="11">
        <f>'Pairings NB'!$O$2416</f>
        <v/>
      </c>
      <c r="J547" s="11">
        <f>'Pairings NB'!J2416</f>
        <v/>
      </c>
      <c r="K547" s="11">
        <f>IFERROR(VLOOKUP('Pairings NB'!$M$2416,Instructores!$A:$D,3,FALSE),"")</f>
        <v/>
      </c>
      <c r="L547" s="11">
        <f>IF('Pairings NB'!J2416=320,4,3)</f>
        <v/>
      </c>
      <c r="M547" s="11">
        <f>'Pairings NB'!$N$2416</f>
        <v/>
      </c>
    </row>
    <row r="548">
      <c r="A548" s="11">
        <f>'Pairings NB'!B2421</f>
        <v/>
      </c>
      <c r="B548" s="11">
        <f>'Pairings NB'!C2421</f>
        <v/>
      </c>
      <c r="C548" s="11">
        <f>'Pairings NB'!D2421</f>
        <v/>
      </c>
      <c r="D548" s="11">
        <f>'Pairings NB'!E2421&amp;"/"&amp;'Pairings NB'!E2422</f>
        <v/>
      </c>
      <c r="E548" s="11">
        <f>'Pairings NB'!F2421&amp;"-"&amp;'Pairings NB'!G2421&amp;"-"&amp;'Pairings NB'!F2421</f>
        <v/>
      </c>
      <c r="F548" s="11">
        <f>IFERROR(VLOOKUP('Pairings NB'!$M$2421,Instructores!$A:$D,2,FALSE),"")</f>
        <v/>
      </c>
      <c r="G548" s="11">
        <f>'Pairings NB'!$M$2421</f>
        <v/>
      </c>
      <c r="H548" s="11">
        <f>IFERROR(VLOOKUP('Pairings NB'!$M$2421,Instructores!$A:$D,4,FALSE),"")</f>
        <v/>
      </c>
      <c r="I548" s="11">
        <f>'Pairings NB'!$O$2421</f>
        <v/>
      </c>
      <c r="J548" s="11">
        <f>'Pairings NB'!J2421</f>
        <v/>
      </c>
      <c r="K548" s="11">
        <f>IFERROR(VLOOKUP('Pairings NB'!$M$2421,Instructores!$A:$D,3,FALSE),"")</f>
        <v/>
      </c>
      <c r="L548" s="11">
        <f>IF('Pairings NB'!J2421=320,4,3)</f>
        <v/>
      </c>
      <c r="M548" s="11">
        <f>'Pairings NB'!$N$2421</f>
        <v/>
      </c>
    </row>
    <row r="549">
      <c r="A549" s="11">
        <f>'Pairings NB'!B2426</f>
        <v/>
      </c>
      <c r="B549" s="11">
        <f>'Pairings NB'!C2426</f>
        <v/>
      </c>
      <c r="C549" s="11">
        <f>'Pairings NB'!D2426</f>
        <v/>
      </c>
      <c r="D549" s="11">
        <f>'Pairings NB'!E2426&amp;"/"&amp;'Pairings NB'!E2427</f>
        <v/>
      </c>
      <c r="E549" s="11">
        <f>'Pairings NB'!F2426&amp;"-"&amp;'Pairings NB'!G2426&amp;"-"&amp;'Pairings NB'!F2426</f>
        <v/>
      </c>
      <c r="F549" s="11">
        <f>IFERROR(VLOOKUP('Pairings NB'!$M$2426,Instructores!$A:$D,2,FALSE),"")</f>
        <v/>
      </c>
      <c r="G549" s="11">
        <f>'Pairings NB'!$M$2426</f>
        <v/>
      </c>
      <c r="H549" s="11">
        <f>IFERROR(VLOOKUP('Pairings NB'!$M$2426,Instructores!$A:$D,4,FALSE),"")</f>
        <v/>
      </c>
      <c r="I549" s="11">
        <f>'Pairings NB'!$O$2426</f>
        <v/>
      </c>
      <c r="J549" s="11">
        <f>'Pairings NB'!J2426</f>
        <v/>
      </c>
      <c r="K549" s="11">
        <f>IFERROR(VLOOKUP('Pairings NB'!$M$2426,Instructores!$A:$D,3,FALSE),"")</f>
        <v/>
      </c>
      <c r="L549" s="11">
        <f>IF('Pairings NB'!J2426=320,4,3)</f>
        <v/>
      </c>
      <c r="M549" s="11">
        <f>'Pairings NB'!$N$2426</f>
        <v/>
      </c>
    </row>
    <row r="550">
      <c r="A550" s="11">
        <f>'Pairings NB'!B2431</f>
        <v/>
      </c>
      <c r="B550" s="11">
        <f>'Pairings NB'!C2431</f>
        <v/>
      </c>
      <c r="C550" s="11">
        <f>'Pairings NB'!D2431</f>
        <v/>
      </c>
      <c r="D550" s="11">
        <f>'Pairings NB'!E2431&amp;"/"&amp;'Pairings NB'!E2432</f>
        <v/>
      </c>
      <c r="E550" s="11">
        <f>'Pairings NB'!F2431&amp;"-"&amp;'Pairings NB'!G2431&amp;"-"&amp;'Pairings NB'!F2431</f>
        <v/>
      </c>
      <c r="F550" s="11">
        <f>IFERROR(VLOOKUP('Pairings NB'!$M$2431,Instructores!$A:$D,2,FALSE),"")</f>
        <v/>
      </c>
      <c r="G550" s="11">
        <f>'Pairings NB'!$M$2431</f>
        <v/>
      </c>
      <c r="H550" s="11">
        <f>IFERROR(VLOOKUP('Pairings NB'!$M$2431,Instructores!$A:$D,4,FALSE),"")</f>
        <v/>
      </c>
      <c r="I550" s="11">
        <f>'Pairings NB'!$O$2431</f>
        <v/>
      </c>
      <c r="J550" s="11">
        <f>'Pairings NB'!J2431</f>
        <v/>
      </c>
      <c r="K550" s="11">
        <f>IFERROR(VLOOKUP('Pairings NB'!$M$2431,Instructores!$A:$D,3,FALSE),"")</f>
        <v/>
      </c>
      <c r="L550" s="11">
        <f>IF('Pairings NB'!J2431=320,4,3)</f>
        <v/>
      </c>
      <c r="M550" s="11">
        <f>'Pairings NB'!$N$2431</f>
        <v/>
      </c>
    </row>
    <row r="551">
      <c r="A551" s="11">
        <f>'Pairings NB'!B2436</f>
        <v/>
      </c>
      <c r="B551" s="11">
        <f>'Pairings NB'!C2436</f>
        <v/>
      </c>
      <c r="C551" s="11">
        <f>'Pairings NB'!D2436</f>
        <v/>
      </c>
      <c r="D551" s="11">
        <f>'Pairings NB'!E2436&amp;"/"&amp;'Pairings NB'!E2437</f>
        <v/>
      </c>
      <c r="E551" s="11">
        <f>'Pairings NB'!F2436&amp;"-"&amp;'Pairings NB'!G2436&amp;"-"&amp;'Pairings NB'!F2436</f>
        <v/>
      </c>
      <c r="F551" s="11">
        <f>IFERROR(VLOOKUP('Pairings NB'!$M$2436,Instructores!$A:$D,2,FALSE),"")</f>
        <v/>
      </c>
      <c r="G551" s="11">
        <f>'Pairings NB'!$M$2436</f>
        <v/>
      </c>
      <c r="H551" s="11">
        <f>IFERROR(VLOOKUP('Pairings NB'!$M$2436,Instructores!$A:$D,4,FALSE),"")</f>
        <v/>
      </c>
      <c r="I551" s="11">
        <f>'Pairings NB'!$O$2436</f>
        <v/>
      </c>
      <c r="J551" s="11">
        <f>'Pairings NB'!J2436</f>
        <v/>
      </c>
      <c r="K551" s="11">
        <f>IFERROR(VLOOKUP('Pairings NB'!$M$2436,Instructores!$A:$D,3,FALSE),"")</f>
        <v/>
      </c>
      <c r="L551" s="11">
        <f>IF('Pairings NB'!J2436=320,4,3)</f>
        <v/>
      </c>
      <c r="M551" s="11">
        <f>'Pairings NB'!$N$2436</f>
        <v/>
      </c>
    </row>
    <row r="552">
      <c r="A552" s="11">
        <f>'Pairings NB'!B2441</f>
        <v/>
      </c>
      <c r="B552" s="11">
        <f>'Pairings NB'!C2441</f>
        <v/>
      </c>
      <c r="C552" s="11">
        <f>'Pairings NB'!D2441</f>
        <v/>
      </c>
      <c r="D552" s="11">
        <f>'Pairings NB'!E2441&amp;"/"&amp;'Pairings NB'!E2442</f>
        <v/>
      </c>
      <c r="E552" s="11">
        <f>'Pairings NB'!F2441&amp;"-"&amp;'Pairings NB'!G2441&amp;"-"&amp;'Pairings NB'!F2441</f>
        <v/>
      </c>
      <c r="F552" s="11">
        <f>IFERROR(VLOOKUP('Pairings NB'!$M$2441,Instructores!$A:$D,2,FALSE),"")</f>
        <v/>
      </c>
      <c r="G552" s="11">
        <f>'Pairings NB'!$M$2441</f>
        <v/>
      </c>
      <c r="H552" s="11">
        <f>IFERROR(VLOOKUP('Pairings NB'!$M$2441,Instructores!$A:$D,4,FALSE),"")</f>
        <v/>
      </c>
      <c r="I552" s="11">
        <f>'Pairings NB'!$O$2441</f>
        <v/>
      </c>
      <c r="J552" s="11">
        <f>'Pairings NB'!J2441</f>
        <v/>
      </c>
      <c r="K552" s="11">
        <f>IFERROR(VLOOKUP('Pairings NB'!$M$2441,Instructores!$A:$D,3,FALSE),"")</f>
        <v/>
      </c>
      <c r="L552" s="11">
        <f>IF('Pairings NB'!J2441=320,4,3)</f>
        <v/>
      </c>
      <c r="M552" s="11">
        <f>'Pairings NB'!$N$2441</f>
        <v/>
      </c>
    </row>
    <row r="553">
      <c r="A553" s="11">
        <f>'Pairings NB'!B2446</f>
        <v/>
      </c>
      <c r="B553" s="11">
        <f>'Pairings NB'!C2446</f>
        <v/>
      </c>
      <c r="C553" s="11">
        <f>'Pairings NB'!D2446</f>
        <v/>
      </c>
      <c r="D553" s="11">
        <f>'Pairings NB'!E2446&amp;"/"&amp;'Pairings NB'!E2447</f>
        <v/>
      </c>
      <c r="E553" s="11">
        <f>'Pairings NB'!F2446&amp;"-"&amp;'Pairings NB'!G2446&amp;"-"&amp;'Pairings NB'!F2446</f>
        <v/>
      </c>
      <c r="F553" s="11">
        <f>IFERROR(VLOOKUP('Pairings NB'!$M$2446,Instructores!$A:$D,2,FALSE),"")</f>
        <v/>
      </c>
      <c r="G553" s="11">
        <f>'Pairings NB'!$M$2446</f>
        <v/>
      </c>
      <c r="H553" s="11">
        <f>IFERROR(VLOOKUP('Pairings NB'!$M$2446,Instructores!$A:$D,4,FALSE),"")</f>
        <v/>
      </c>
      <c r="I553" s="11">
        <f>'Pairings NB'!$O$2446</f>
        <v/>
      </c>
      <c r="J553" s="11">
        <f>'Pairings NB'!J2446</f>
        <v/>
      </c>
      <c r="K553" s="11">
        <f>IFERROR(VLOOKUP('Pairings NB'!$M$2446,Instructores!$A:$D,3,FALSE),"")</f>
        <v/>
      </c>
      <c r="L553" s="11">
        <f>IF('Pairings NB'!J2446=320,4,3)</f>
        <v/>
      </c>
      <c r="M553" s="11">
        <f>'Pairings NB'!$N$2446</f>
        <v/>
      </c>
    </row>
    <row r="554">
      <c r="A554" s="11">
        <f>'Pairings NB'!B2451</f>
        <v/>
      </c>
      <c r="B554" s="11">
        <f>'Pairings NB'!C2451</f>
        <v/>
      </c>
      <c r="C554" s="11">
        <f>'Pairings NB'!D2451</f>
        <v/>
      </c>
      <c r="D554" s="11">
        <f>'Pairings NB'!E2451&amp;"/"&amp;'Pairings NB'!E2452</f>
        <v/>
      </c>
      <c r="E554" s="11">
        <f>'Pairings NB'!F2451&amp;"-"&amp;'Pairings NB'!G2451&amp;"-"&amp;'Pairings NB'!F2451</f>
        <v/>
      </c>
      <c r="F554" s="11">
        <f>IFERROR(VLOOKUP('Pairings NB'!$M$2451,Instructores!$A:$D,2,FALSE),"")</f>
        <v/>
      </c>
      <c r="G554" s="11">
        <f>'Pairings NB'!$M$2451</f>
        <v/>
      </c>
      <c r="H554" s="11">
        <f>IFERROR(VLOOKUP('Pairings NB'!$M$2451,Instructores!$A:$D,4,FALSE),"")</f>
        <v/>
      </c>
      <c r="I554" s="11">
        <f>'Pairings NB'!$O$2451</f>
        <v/>
      </c>
      <c r="J554" s="11">
        <f>'Pairings NB'!J2451</f>
        <v/>
      </c>
      <c r="K554" s="11">
        <f>IFERROR(VLOOKUP('Pairings NB'!$M$2451,Instructores!$A:$D,3,FALSE),"")</f>
        <v/>
      </c>
      <c r="L554" s="11">
        <f>IF('Pairings NB'!J2451=320,4,3)</f>
        <v/>
      </c>
      <c r="M554" s="11">
        <f>'Pairings NB'!$N$2451</f>
        <v/>
      </c>
    </row>
    <row r="555">
      <c r="A555" s="11">
        <f>'Pairings NB'!B2456</f>
        <v/>
      </c>
      <c r="B555" s="11">
        <f>'Pairings NB'!C2456</f>
        <v/>
      </c>
      <c r="C555" s="11">
        <f>'Pairings NB'!D2456</f>
        <v/>
      </c>
      <c r="D555" s="11">
        <f>'Pairings NB'!E2456&amp;"/"&amp;'Pairings NB'!E2457</f>
        <v/>
      </c>
      <c r="E555" s="11">
        <f>'Pairings NB'!F2456&amp;"-"&amp;'Pairings NB'!G2456&amp;"-"&amp;'Pairings NB'!F2456</f>
        <v/>
      </c>
      <c r="F555" s="11">
        <f>IFERROR(VLOOKUP('Pairings NB'!$M$2456,Instructores!$A:$D,2,FALSE),"")</f>
        <v/>
      </c>
      <c r="G555" s="11">
        <f>'Pairings NB'!$M$2456</f>
        <v/>
      </c>
      <c r="H555" s="11">
        <f>IFERROR(VLOOKUP('Pairings NB'!$M$2456,Instructores!$A:$D,4,FALSE),"")</f>
        <v/>
      </c>
      <c r="I555" s="11">
        <f>'Pairings NB'!$O$2456</f>
        <v/>
      </c>
      <c r="J555" s="11">
        <f>'Pairings NB'!J2456</f>
        <v/>
      </c>
      <c r="K555" s="11">
        <f>IFERROR(VLOOKUP('Pairings NB'!$M$2456,Instructores!$A:$D,3,FALSE),"")</f>
        <v/>
      </c>
      <c r="L555" s="11">
        <f>IF('Pairings NB'!J2456=320,4,3)</f>
        <v/>
      </c>
      <c r="M555" s="11">
        <f>'Pairings NB'!$N$2456</f>
        <v/>
      </c>
    </row>
    <row r="556">
      <c r="A556" s="11">
        <f>'Pairings NB'!B2461</f>
        <v/>
      </c>
      <c r="B556" s="11">
        <f>'Pairings NB'!C2461</f>
        <v/>
      </c>
      <c r="C556" s="11">
        <f>'Pairings NB'!D2461</f>
        <v/>
      </c>
      <c r="D556" s="11">
        <f>'Pairings NB'!E2461&amp;"/"&amp;'Pairings NB'!E2462</f>
        <v/>
      </c>
      <c r="E556" s="11">
        <f>'Pairings NB'!F2461&amp;"-"&amp;'Pairings NB'!G2461&amp;"-"&amp;'Pairings NB'!F2461</f>
        <v/>
      </c>
      <c r="F556" s="11">
        <f>IFERROR(VLOOKUP('Pairings NB'!$M$2461,Instructores!$A:$D,2,FALSE),"")</f>
        <v/>
      </c>
      <c r="G556" s="11">
        <f>'Pairings NB'!$M$2461</f>
        <v/>
      </c>
      <c r="H556" s="11">
        <f>IFERROR(VLOOKUP('Pairings NB'!$M$2461,Instructores!$A:$D,4,FALSE),"")</f>
        <v/>
      </c>
      <c r="I556" s="11">
        <f>'Pairings NB'!$O$2461</f>
        <v/>
      </c>
      <c r="J556" s="11">
        <f>'Pairings NB'!J2461</f>
        <v/>
      </c>
      <c r="K556" s="11">
        <f>IFERROR(VLOOKUP('Pairings NB'!$M$2461,Instructores!$A:$D,3,FALSE),"")</f>
        <v/>
      </c>
      <c r="L556" s="11">
        <f>IF('Pairings NB'!J2461=320,4,3)</f>
        <v/>
      </c>
      <c r="M556" s="11">
        <f>'Pairings NB'!$N$2461</f>
        <v/>
      </c>
    </row>
    <row r="557">
      <c r="A557" s="11">
        <f>'Pairings NB'!B2466</f>
        <v/>
      </c>
      <c r="B557" s="11">
        <f>'Pairings NB'!C2466</f>
        <v/>
      </c>
      <c r="C557" s="11">
        <f>'Pairings NB'!D2466</f>
        <v/>
      </c>
      <c r="D557" s="11">
        <f>'Pairings NB'!E2466&amp;"/"&amp;'Pairings NB'!E2467</f>
        <v/>
      </c>
      <c r="E557" s="11">
        <f>'Pairings NB'!F2466&amp;"-"&amp;'Pairings NB'!G2466&amp;"-"&amp;'Pairings NB'!F2466</f>
        <v/>
      </c>
      <c r="F557" s="11">
        <f>IFERROR(VLOOKUP('Pairings NB'!$M$2466,Instructores!$A:$D,2,FALSE),"")</f>
        <v/>
      </c>
      <c r="G557" s="11">
        <f>'Pairings NB'!$M$2466</f>
        <v/>
      </c>
      <c r="H557" s="11">
        <f>IFERROR(VLOOKUP('Pairings NB'!$M$2466,Instructores!$A:$D,4,FALSE),"")</f>
        <v/>
      </c>
      <c r="I557" s="11">
        <f>'Pairings NB'!$O$2466</f>
        <v/>
      </c>
      <c r="J557" s="11">
        <f>'Pairings NB'!J2466</f>
        <v/>
      </c>
      <c r="K557" s="11">
        <f>IFERROR(VLOOKUP('Pairings NB'!$M$2466,Instructores!$A:$D,3,FALSE),"")</f>
        <v/>
      </c>
      <c r="L557" s="11">
        <f>IF('Pairings NB'!J2466=320,4,3)</f>
        <v/>
      </c>
      <c r="M557" s="11">
        <f>'Pairings NB'!$N$2466</f>
        <v/>
      </c>
    </row>
    <row r="558">
      <c r="A558" s="11">
        <f>'Pairings NB'!B2471</f>
        <v/>
      </c>
      <c r="B558" s="11">
        <f>'Pairings NB'!C2471</f>
        <v/>
      </c>
      <c r="C558" s="11">
        <f>'Pairings NB'!D2471</f>
        <v/>
      </c>
      <c r="D558" s="11">
        <f>'Pairings NB'!E2471&amp;"/"&amp;'Pairings NB'!E2472</f>
        <v/>
      </c>
      <c r="E558" s="11">
        <f>'Pairings NB'!F2471&amp;"-"&amp;'Pairings NB'!G2471&amp;"-"&amp;'Pairings NB'!F2471</f>
        <v/>
      </c>
      <c r="F558" s="11">
        <f>IFERROR(VLOOKUP('Pairings NB'!$M$2471,Instructores!$A:$D,2,FALSE),"")</f>
        <v/>
      </c>
      <c r="G558" s="11">
        <f>'Pairings NB'!$M$2471</f>
        <v/>
      </c>
      <c r="H558" s="11">
        <f>IFERROR(VLOOKUP('Pairings NB'!$M$2471,Instructores!$A:$D,4,FALSE),"")</f>
        <v/>
      </c>
      <c r="I558" s="11">
        <f>'Pairings NB'!$O$2471</f>
        <v/>
      </c>
      <c r="J558" s="11">
        <f>'Pairings NB'!J2471</f>
        <v/>
      </c>
      <c r="K558" s="11">
        <f>IFERROR(VLOOKUP('Pairings NB'!$M$2471,Instructores!$A:$D,3,FALSE),"")</f>
        <v/>
      </c>
      <c r="L558" s="11">
        <f>IF('Pairings NB'!J2471=320,4,3)</f>
        <v/>
      </c>
      <c r="M558" s="11">
        <f>'Pairings NB'!$N$2471</f>
        <v/>
      </c>
    </row>
    <row r="559">
      <c r="A559" s="11">
        <f>'Pairings NB'!B2476</f>
        <v/>
      </c>
      <c r="B559" s="11">
        <f>'Pairings NB'!C2476</f>
        <v/>
      </c>
      <c r="C559" s="11">
        <f>'Pairings NB'!D2476</f>
        <v/>
      </c>
      <c r="D559" s="11">
        <f>'Pairings NB'!E2476&amp;"/"&amp;'Pairings NB'!E2477</f>
        <v/>
      </c>
      <c r="E559" s="11">
        <f>'Pairings NB'!F2476&amp;"-"&amp;'Pairings NB'!G2476&amp;"-"&amp;'Pairings NB'!F2476</f>
        <v/>
      </c>
      <c r="F559" s="11">
        <f>IFERROR(VLOOKUP('Pairings NB'!$M$2476,Instructores!$A:$D,2,FALSE),"")</f>
        <v/>
      </c>
      <c r="G559" s="11">
        <f>'Pairings NB'!$M$2476</f>
        <v/>
      </c>
      <c r="H559" s="11">
        <f>IFERROR(VLOOKUP('Pairings NB'!$M$2476,Instructores!$A:$D,4,FALSE),"")</f>
        <v/>
      </c>
      <c r="I559" s="11">
        <f>'Pairings NB'!$O$2476</f>
        <v/>
      </c>
      <c r="J559" s="11">
        <f>'Pairings NB'!J2476</f>
        <v/>
      </c>
      <c r="K559" s="11">
        <f>IFERROR(VLOOKUP('Pairings NB'!$M$2476,Instructores!$A:$D,3,FALSE),"")</f>
        <v/>
      </c>
      <c r="L559" s="11">
        <f>IF('Pairings NB'!J2476=320,4,3)</f>
        <v/>
      </c>
      <c r="M559" s="11">
        <f>'Pairings NB'!$N$2476</f>
        <v/>
      </c>
    </row>
    <row r="560">
      <c r="A560" s="11">
        <f>'Pairings NB'!B2481</f>
        <v/>
      </c>
      <c r="B560" s="11">
        <f>'Pairings NB'!C2481</f>
        <v/>
      </c>
      <c r="C560" s="11">
        <f>'Pairings NB'!D2481</f>
        <v/>
      </c>
      <c r="D560" s="11">
        <f>'Pairings NB'!E2481&amp;"/"&amp;'Pairings NB'!E2482</f>
        <v/>
      </c>
      <c r="E560" s="11">
        <f>'Pairings NB'!F2481&amp;"-"&amp;'Pairings NB'!G2481&amp;"-"&amp;'Pairings NB'!F2481</f>
        <v/>
      </c>
      <c r="F560" s="11">
        <f>IFERROR(VLOOKUP('Pairings NB'!$M$2481,Instructores!$A:$D,2,FALSE),"")</f>
        <v/>
      </c>
      <c r="G560" s="11">
        <f>'Pairings NB'!$M$2481</f>
        <v/>
      </c>
      <c r="H560" s="11">
        <f>IFERROR(VLOOKUP('Pairings NB'!$M$2481,Instructores!$A:$D,4,FALSE),"")</f>
        <v/>
      </c>
      <c r="I560" s="11">
        <f>'Pairings NB'!$O$2481</f>
        <v/>
      </c>
      <c r="J560" s="11">
        <f>'Pairings NB'!J2481</f>
        <v/>
      </c>
      <c r="K560" s="11">
        <f>IFERROR(VLOOKUP('Pairings NB'!$M$2481,Instructores!$A:$D,3,FALSE),"")</f>
        <v/>
      </c>
      <c r="L560" s="11">
        <f>IF('Pairings NB'!J2481=320,4,3)</f>
        <v/>
      </c>
      <c r="M560" s="11">
        <f>'Pairings NB'!$N$2481</f>
        <v/>
      </c>
    </row>
    <row r="561">
      <c r="A561" s="11">
        <f>'Pairings NB'!B2486</f>
        <v/>
      </c>
      <c r="B561" s="11">
        <f>'Pairings NB'!C2486</f>
        <v/>
      </c>
      <c r="C561" s="11">
        <f>'Pairings NB'!D2486</f>
        <v/>
      </c>
      <c r="D561" s="11">
        <f>'Pairings NB'!E2486&amp;"/"&amp;'Pairings NB'!E2487</f>
        <v/>
      </c>
      <c r="E561" s="11">
        <f>'Pairings NB'!F2486&amp;"-"&amp;'Pairings NB'!G2486&amp;"-"&amp;'Pairings NB'!F2486</f>
        <v/>
      </c>
      <c r="F561" s="11">
        <f>IFERROR(VLOOKUP('Pairings NB'!$M$2486,Instructores!$A:$D,2,FALSE),"")</f>
        <v/>
      </c>
      <c r="G561" s="11">
        <f>'Pairings NB'!$M$2486</f>
        <v/>
      </c>
      <c r="H561" s="11">
        <f>IFERROR(VLOOKUP('Pairings NB'!$M$2486,Instructores!$A:$D,4,FALSE),"")</f>
        <v/>
      </c>
      <c r="I561" s="11">
        <f>'Pairings NB'!$O$2486</f>
        <v/>
      </c>
      <c r="J561" s="11">
        <f>'Pairings NB'!J2486</f>
        <v/>
      </c>
      <c r="K561" s="11">
        <f>IFERROR(VLOOKUP('Pairings NB'!$M$2486,Instructores!$A:$D,3,FALSE),"")</f>
        <v/>
      </c>
      <c r="L561" s="11">
        <f>IF('Pairings NB'!J2486=320,4,3)</f>
        <v/>
      </c>
      <c r="M561" s="11">
        <f>'Pairings NB'!$N$2486</f>
        <v/>
      </c>
    </row>
    <row r="562">
      <c r="A562" s="11">
        <f>'Pairings NB'!B2491</f>
        <v/>
      </c>
      <c r="B562" s="11">
        <f>'Pairings NB'!C2491</f>
        <v/>
      </c>
      <c r="C562" s="11">
        <f>'Pairings NB'!D2491</f>
        <v/>
      </c>
      <c r="D562" s="11">
        <f>'Pairings NB'!E2491&amp;"/"&amp;'Pairings NB'!E2492</f>
        <v/>
      </c>
      <c r="E562" s="11">
        <f>'Pairings NB'!F2491&amp;"-"&amp;'Pairings NB'!G2491&amp;"-"&amp;'Pairings NB'!F2491</f>
        <v/>
      </c>
      <c r="F562" s="11">
        <f>IFERROR(VLOOKUP('Pairings NB'!$M$2491,Instructores!$A:$D,2,FALSE),"")</f>
        <v/>
      </c>
      <c r="G562" s="11">
        <f>'Pairings NB'!$M$2491</f>
        <v/>
      </c>
      <c r="H562" s="11">
        <f>IFERROR(VLOOKUP('Pairings NB'!$M$2491,Instructores!$A:$D,4,FALSE),"")</f>
        <v/>
      </c>
      <c r="I562" s="11">
        <f>'Pairings NB'!$O$2491</f>
        <v/>
      </c>
      <c r="J562" s="11">
        <f>'Pairings NB'!J2491</f>
        <v/>
      </c>
      <c r="K562" s="11">
        <f>IFERROR(VLOOKUP('Pairings NB'!$M$2491,Instructores!$A:$D,3,FALSE),"")</f>
        <v/>
      </c>
      <c r="L562" s="11">
        <f>IF('Pairings NB'!J2491=320,4,3)</f>
        <v/>
      </c>
      <c r="M562" s="11">
        <f>'Pairings NB'!$N$2491</f>
        <v/>
      </c>
    </row>
    <row r="563">
      <c r="A563" s="11">
        <f>'Pairings NB'!B2493</f>
        <v/>
      </c>
      <c r="B563" s="11">
        <f>'Pairings NB'!C2493</f>
        <v/>
      </c>
      <c r="C563" s="11">
        <f>'Pairings NB'!D2493</f>
        <v/>
      </c>
      <c r="D563" s="11">
        <f>'Pairings NB'!E2493&amp;"/"&amp;'Pairings NB'!E2494</f>
        <v/>
      </c>
      <c r="E563" s="11">
        <f>'Pairings NB'!F2493&amp;"-"&amp;'Pairings NB'!G2493&amp;"-"&amp;'Pairings NB'!F2493</f>
        <v/>
      </c>
      <c r="F563" s="11">
        <f>IFERROR(VLOOKUP('Pairings NB'!$M$2491,Instructores!$A:$D,2,FALSE),"")</f>
        <v/>
      </c>
      <c r="G563" s="11">
        <f>'Pairings NB'!$M$2491</f>
        <v/>
      </c>
      <c r="H563" s="11">
        <f>IFERROR(VLOOKUP('Pairings NB'!$M$2491,Instructores!$A:$D,4,FALSE),"")</f>
        <v/>
      </c>
      <c r="I563" s="11">
        <f>'Pairings NB'!$O$2491</f>
        <v/>
      </c>
      <c r="J563" s="11">
        <f>'Pairings NB'!J2493</f>
        <v/>
      </c>
      <c r="K563" s="11">
        <f>IFERROR(VLOOKUP('Pairings NB'!$M$2491,Instructores!$A:$D,3,FALSE),"")</f>
        <v/>
      </c>
      <c r="L563" s="11">
        <f>IF('Pairings NB'!J2493=320,4,3)</f>
        <v/>
      </c>
      <c r="M563" s="11">
        <f>'Pairings NB'!$N$2491</f>
        <v/>
      </c>
    </row>
    <row r="564">
      <c r="A564" s="11">
        <f>'Pairings NB'!B2498</f>
        <v/>
      </c>
      <c r="B564" s="11">
        <f>'Pairings NB'!C2498</f>
        <v/>
      </c>
      <c r="C564" s="11">
        <f>'Pairings NB'!D2498</f>
        <v/>
      </c>
      <c r="D564" s="11">
        <f>'Pairings NB'!E2498&amp;"/"&amp;'Pairings NB'!E2499</f>
        <v/>
      </c>
      <c r="E564" s="11">
        <f>'Pairings NB'!F2498&amp;"-"&amp;'Pairings NB'!G2498&amp;"-"&amp;'Pairings NB'!F2498</f>
        <v/>
      </c>
      <c r="F564" s="11">
        <f>IFERROR(VLOOKUP('Pairings NB'!$M$2498,Instructores!$A:$D,2,FALSE),"")</f>
        <v/>
      </c>
      <c r="G564" s="11">
        <f>'Pairings NB'!$M$2498</f>
        <v/>
      </c>
      <c r="H564" s="11">
        <f>IFERROR(VLOOKUP('Pairings NB'!$M$2498,Instructores!$A:$D,4,FALSE),"")</f>
        <v/>
      </c>
      <c r="I564" s="11">
        <f>'Pairings NB'!$O$2498</f>
        <v/>
      </c>
      <c r="J564" s="11">
        <f>'Pairings NB'!J2498</f>
        <v/>
      </c>
      <c r="K564" s="11">
        <f>IFERROR(VLOOKUP('Pairings NB'!$M$2498,Instructores!$A:$D,3,FALSE),"")</f>
        <v/>
      </c>
      <c r="L564" s="11">
        <f>IF('Pairings NB'!J2498=320,4,3)</f>
        <v/>
      </c>
      <c r="M564" s="11">
        <f>'Pairings NB'!$N$2498</f>
        <v/>
      </c>
    </row>
    <row r="565">
      <c r="A565" s="11">
        <f>'Pairings NB'!B2503</f>
        <v/>
      </c>
      <c r="B565" s="11">
        <f>'Pairings NB'!C2503</f>
        <v/>
      </c>
      <c r="C565" s="11">
        <f>'Pairings NB'!D2503</f>
        <v/>
      </c>
      <c r="D565" s="11">
        <f>'Pairings NB'!E2503&amp;"/"&amp;'Pairings NB'!E2504</f>
        <v/>
      </c>
      <c r="E565" s="11">
        <f>'Pairings NB'!F2503&amp;"-"&amp;'Pairings NB'!G2503&amp;"-"&amp;'Pairings NB'!F2503</f>
        <v/>
      </c>
      <c r="F565" s="11">
        <f>IFERROR(VLOOKUP('Pairings NB'!$M$2503,Instructores!$A:$D,2,FALSE),"")</f>
        <v/>
      </c>
      <c r="G565" s="11">
        <f>'Pairings NB'!$M$2503</f>
        <v/>
      </c>
      <c r="H565" s="11">
        <f>IFERROR(VLOOKUP('Pairings NB'!$M$2503,Instructores!$A:$D,4,FALSE),"")</f>
        <v/>
      </c>
      <c r="I565" s="11">
        <f>'Pairings NB'!$O$2503</f>
        <v/>
      </c>
      <c r="J565" s="11">
        <f>'Pairings NB'!J2503</f>
        <v/>
      </c>
      <c r="K565" s="11">
        <f>IFERROR(VLOOKUP('Pairings NB'!$M$2503,Instructores!$A:$D,3,FALSE),"")</f>
        <v/>
      </c>
      <c r="L565" s="11">
        <f>IF('Pairings NB'!J2503=320,4,3)</f>
        <v/>
      </c>
      <c r="M565" s="11">
        <f>'Pairings NB'!$N$2503</f>
        <v/>
      </c>
    </row>
    <row r="566">
      <c r="A566" s="11">
        <f>'Pairings NB'!B2508</f>
        <v/>
      </c>
      <c r="B566" s="11">
        <f>'Pairings NB'!C2508</f>
        <v/>
      </c>
      <c r="C566" s="11">
        <f>'Pairings NB'!D2508</f>
        <v/>
      </c>
      <c r="D566" s="11">
        <f>'Pairings NB'!E2508&amp;"/"&amp;'Pairings NB'!E2509</f>
        <v/>
      </c>
      <c r="E566" s="11">
        <f>'Pairings NB'!F2508&amp;"-"&amp;'Pairings NB'!G2508&amp;"-"&amp;'Pairings NB'!F2508</f>
        <v/>
      </c>
      <c r="F566" s="11">
        <f>IFERROR(VLOOKUP('Pairings NB'!$M$2508,Instructores!$A:$D,2,FALSE),"")</f>
        <v/>
      </c>
      <c r="G566" s="11">
        <f>'Pairings NB'!$M$2508</f>
        <v/>
      </c>
      <c r="H566" s="11">
        <f>IFERROR(VLOOKUP('Pairings NB'!$M$2508,Instructores!$A:$D,4,FALSE),"")</f>
        <v/>
      </c>
      <c r="I566" s="11">
        <f>'Pairings NB'!$O$2508</f>
        <v/>
      </c>
      <c r="J566" s="11">
        <f>'Pairings NB'!J2508</f>
        <v/>
      </c>
      <c r="K566" s="11">
        <f>IFERROR(VLOOKUP('Pairings NB'!$M$2508,Instructores!$A:$D,3,FALSE),"")</f>
        <v/>
      </c>
      <c r="L566" s="11">
        <f>IF('Pairings NB'!J2508=320,4,3)</f>
        <v/>
      </c>
      <c r="M566" s="11">
        <f>'Pairings NB'!$N$2508</f>
        <v/>
      </c>
    </row>
    <row r="567">
      <c r="A567" s="11">
        <f>'Pairings NB'!B2510</f>
        <v/>
      </c>
      <c r="B567" s="11">
        <f>'Pairings NB'!C2510</f>
        <v/>
      </c>
      <c r="C567" s="11">
        <f>'Pairings NB'!D2510</f>
        <v/>
      </c>
      <c r="D567" s="11">
        <f>'Pairings NB'!E2510&amp;"/"&amp;'Pairings NB'!E2511</f>
        <v/>
      </c>
      <c r="E567" s="11">
        <f>'Pairings NB'!F2510&amp;"-"&amp;'Pairings NB'!G2510&amp;"-"&amp;'Pairings NB'!F2510</f>
        <v/>
      </c>
      <c r="F567" s="11">
        <f>IFERROR(VLOOKUP('Pairings NB'!$M$2508,Instructores!$A:$D,2,FALSE),"")</f>
        <v/>
      </c>
      <c r="G567" s="11">
        <f>'Pairings NB'!$M$2508</f>
        <v/>
      </c>
      <c r="H567" s="11">
        <f>IFERROR(VLOOKUP('Pairings NB'!$M$2508,Instructores!$A:$D,4,FALSE),"")</f>
        <v/>
      </c>
      <c r="I567" s="11">
        <f>'Pairings NB'!$O$2508</f>
        <v/>
      </c>
      <c r="J567" s="11">
        <f>'Pairings NB'!J2510</f>
        <v/>
      </c>
      <c r="K567" s="11">
        <f>IFERROR(VLOOKUP('Pairings NB'!$M$2508,Instructores!$A:$D,3,FALSE),"")</f>
        <v/>
      </c>
      <c r="L567" s="11">
        <f>IF('Pairings NB'!J2510=320,4,3)</f>
        <v/>
      </c>
      <c r="M567" s="11">
        <f>'Pairings NB'!$N$2508</f>
        <v/>
      </c>
    </row>
    <row r="568">
      <c r="A568" s="11">
        <f>'Pairings NB'!B2515</f>
        <v/>
      </c>
      <c r="B568" s="11">
        <f>'Pairings NB'!C2515</f>
        <v/>
      </c>
      <c r="C568" s="11">
        <f>'Pairings NB'!D2515</f>
        <v/>
      </c>
      <c r="D568" s="11">
        <f>'Pairings NB'!E2515&amp;"/"&amp;'Pairings NB'!E2516</f>
        <v/>
      </c>
      <c r="E568" s="11">
        <f>'Pairings NB'!F2515&amp;"-"&amp;'Pairings NB'!G2515&amp;"-"&amp;'Pairings NB'!F2515</f>
        <v/>
      </c>
      <c r="F568" s="11">
        <f>IFERROR(VLOOKUP('Pairings NB'!$M$2515,Instructores!$A:$D,2,FALSE),"")</f>
        <v/>
      </c>
      <c r="G568" s="11">
        <f>'Pairings NB'!$M$2515</f>
        <v/>
      </c>
      <c r="H568" s="11">
        <f>IFERROR(VLOOKUP('Pairings NB'!$M$2515,Instructores!$A:$D,4,FALSE),"")</f>
        <v/>
      </c>
      <c r="I568" s="11">
        <f>'Pairings NB'!$O$2515</f>
        <v/>
      </c>
      <c r="J568" s="11">
        <f>'Pairings NB'!J2515</f>
        <v/>
      </c>
      <c r="K568" s="11">
        <f>IFERROR(VLOOKUP('Pairings NB'!$M$2515,Instructores!$A:$D,3,FALSE),"")</f>
        <v/>
      </c>
      <c r="L568" s="11">
        <f>IF('Pairings NB'!J2515=320,4,3)</f>
        <v/>
      </c>
      <c r="M568" s="11">
        <f>'Pairings NB'!$N$2515</f>
        <v/>
      </c>
    </row>
    <row r="569">
      <c r="A569" s="11">
        <f>'Pairings NB'!B2520</f>
        <v/>
      </c>
      <c r="B569" s="11">
        <f>'Pairings NB'!C2520</f>
        <v/>
      </c>
      <c r="C569" s="11">
        <f>'Pairings NB'!D2520</f>
        <v/>
      </c>
      <c r="D569" s="11">
        <f>'Pairings NB'!E2520&amp;"/"&amp;'Pairings NB'!E2521</f>
        <v/>
      </c>
      <c r="E569" s="11">
        <f>'Pairings NB'!F2520&amp;"-"&amp;'Pairings NB'!G2520&amp;"-"&amp;'Pairings NB'!F2520</f>
        <v/>
      </c>
      <c r="F569" s="11">
        <f>IFERROR(VLOOKUP('Pairings NB'!$M$2520,Instructores!$A:$D,2,FALSE),"")</f>
        <v/>
      </c>
      <c r="G569" s="11">
        <f>'Pairings NB'!$M$2520</f>
        <v/>
      </c>
      <c r="H569" s="11">
        <f>IFERROR(VLOOKUP('Pairings NB'!$M$2520,Instructores!$A:$D,4,FALSE),"")</f>
        <v/>
      </c>
      <c r="I569" s="11">
        <f>'Pairings NB'!$O$2520</f>
        <v/>
      </c>
      <c r="J569" s="11">
        <f>'Pairings NB'!J2520</f>
        <v/>
      </c>
      <c r="K569" s="11">
        <f>IFERROR(VLOOKUP('Pairings NB'!$M$2520,Instructores!$A:$D,3,FALSE),"")</f>
        <v/>
      </c>
      <c r="L569" s="11">
        <f>IF('Pairings NB'!J2520=320,4,3)</f>
        <v/>
      </c>
      <c r="M569" s="11">
        <f>'Pairings NB'!$N$2520</f>
        <v/>
      </c>
    </row>
    <row r="570">
      <c r="A570" s="11">
        <f>'Pairings NB'!B2525</f>
        <v/>
      </c>
      <c r="B570" s="11">
        <f>'Pairings NB'!C2525</f>
        <v/>
      </c>
      <c r="C570" s="11">
        <f>'Pairings NB'!D2525</f>
        <v/>
      </c>
      <c r="D570" s="11">
        <f>'Pairings NB'!E2525&amp;"/"&amp;'Pairings NB'!E2526</f>
        <v/>
      </c>
      <c r="E570" s="11">
        <f>'Pairings NB'!F2525&amp;"-"&amp;'Pairings NB'!G2525&amp;"-"&amp;'Pairings NB'!F2525</f>
        <v/>
      </c>
      <c r="F570" s="11">
        <f>IFERROR(VLOOKUP('Pairings NB'!$M$2525,Instructores!$A:$D,2,FALSE),"")</f>
        <v/>
      </c>
      <c r="G570" s="11">
        <f>'Pairings NB'!$M$2525</f>
        <v/>
      </c>
      <c r="H570" s="11">
        <f>IFERROR(VLOOKUP('Pairings NB'!$M$2525,Instructores!$A:$D,4,FALSE),"")</f>
        <v/>
      </c>
      <c r="I570" s="11">
        <f>'Pairings NB'!$O$2525</f>
        <v/>
      </c>
      <c r="J570" s="11">
        <f>'Pairings NB'!J2525</f>
        <v/>
      </c>
      <c r="K570" s="11">
        <f>IFERROR(VLOOKUP('Pairings NB'!$M$2525,Instructores!$A:$D,3,FALSE),"")</f>
        <v/>
      </c>
      <c r="L570" s="11">
        <f>IF('Pairings NB'!J2525=320,4,3)</f>
        <v/>
      </c>
      <c r="M570" s="11">
        <f>'Pairings NB'!$N$2525</f>
        <v/>
      </c>
    </row>
    <row r="571">
      <c r="A571" s="11">
        <f>'Pairings NB'!B2530</f>
        <v/>
      </c>
      <c r="B571" s="11">
        <f>'Pairings NB'!C2530</f>
        <v/>
      </c>
      <c r="C571" s="11">
        <f>'Pairings NB'!D2530</f>
        <v/>
      </c>
      <c r="D571" s="11">
        <f>'Pairings NB'!E2530&amp;"/"&amp;'Pairings NB'!E2531</f>
        <v/>
      </c>
      <c r="E571" s="11">
        <f>'Pairings NB'!F2530&amp;"-"&amp;'Pairings NB'!G2530&amp;"-"&amp;'Pairings NB'!F2530</f>
        <v/>
      </c>
      <c r="F571" s="11">
        <f>IFERROR(VLOOKUP('Pairings NB'!$M$2530,Instructores!$A:$D,2,FALSE),"")</f>
        <v/>
      </c>
      <c r="G571" s="11">
        <f>'Pairings NB'!$M$2530</f>
        <v/>
      </c>
      <c r="H571" s="11">
        <f>IFERROR(VLOOKUP('Pairings NB'!$M$2530,Instructores!$A:$D,4,FALSE),"")</f>
        <v/>
      </c>
      <c r="I571" s="11">
        <f>'Pairings NB'!$O$2530</f>
        <v/>
      </c>
      <c r="J571" s="11">
        <f>'Pairings NB'!J2530</f>
        <v/>
      </c>
      <c r="K571" s="11">
        <f>IFERROR(VLOOKUP('Pairings NB'!$M$2530,Instructores!$A:$D,3,FALSE),"")</f>
        <v/>
      </c>
      <c r="L571" s="11">
        <f>IF('Pairings NB'!J2530=320,4,3)</f>
        <v/>
      </c>
      <c r="M571" s="11">
        <f>'Pairings NB'!$N$2530</f>
        <v/>
      </c>
    </row>
    <row r="572">
      <c r="A572" s="11">
        <f>'Pairings NB'!B2535</f>
        <v/>
      </c>
      <c r="B572" s="11">
        <f>'Pairings NB'!C2535</f>
        <v/>
      </c>
      <c r="C572" s="11">
        <f>'Pairings NB'!D2535</f>
        <v/>
      </c>
      <c r="D572" s="11">
        <f>'Pairings NB'!E2535&amp;"/"&amp;'Pairings NB'!E2536</f>
        <v/>
      </c>
      <c r="E572" s="11">
        <f>'Pairings NB'!F2535&amp;"-"&amp;'Pairings NB'!G2535&amp;"-"&amp;'Pairings NB'!F2535</f>
        <v/>
      </c>
      <c r="F572" s="11">
        <f>IFERROR(VLOOKUP('Pairings NB'!$M$2535,Instructores!$A:$D,2,FALSE),"")</f>
        <v/>
      </c>
      <c r="G572" s="11">
        <f>'Pairings NB'!$M$2535</f>
        <v/>
      </c>
      <c r="H572" s="11">
        <f>IFERROR(VLOOKUP('Pairings NB'!$M$2535,Instructores!$A:$D,4,FALSE),"")</f>
        <v/>
      </c>
      <c r="I572" s="11">
        <f>'Pairings NB'!$O$2535</f>
        <v/>
      </c>
      <c r="J572" s="11">
        <f>'Pairings NB'!J2535</f>
        <v/>
      </c>
      <c r="K572" s="11">
        <f>IFERROR(VLOOKUP('Pairings NB'!$M$2535,Instructores!$A:$D,3,FALSE),"")</f>
        <v/>
      </c>
      <c r="L572" s="11">
        <f>IF('Pairings NB'!J2535=320,4,3)</f>
        <v/>
      </c>
      <c r="M572" s="11">
        <f>'Pairings NB'!$N$2535</f>
        <v/>
      </c>
    </row>
    <row r="573">
      <c r="A573" s="11">
        <f>'Pairings NB'!B2537</f>
        <v/>
      </c>
      <c r="B573" s="11">
        <f>'Pairings NB'!C2537</f>
        <v/>
      </c>
      <c r="C573" s="11">
        <f>'Pairings NB'!D2537</f>
        <v/>
      </c>
      <c r="D573" s="11">
        <f>'Pairings NB'!E2537&amp;"/"&amp;'Pairings NB'!E2538</f>
        <v/>
      </c>
      <c r="E573" s="11">
        <f>'Pairings NB'!F2537&amp;"-"&amp;'Pairings NB'!G2537&amp;"-"&amp;'Pairings NB'!F2537</f>
        <v/>
      </c>
      <c r="F573" s="11">
        <f>IFERROR(VLOOKUP('Pairings NB'!$M$2535,Instructores!$A:$D,2,FALSE),"")</f>
        <v/>
      </c>
      <c r="G573" s="11">
        <f>'Pairings NB'!$M$2535</f>
        <v/>
      </c>
      <c r="H573" s="11">
        <f>IFERROR(VLOOKUP('Pairings NB'!$M$2535,Instructores!$A:$D,4,FALSE),"")</f>
        <v/>
      </c>
      <c r="I573" s="11">
        <f>'Pairings NB'!$O$2535</f>
        <v/>
      </c>
      <c r="J573" s="11">
        <f>'Pairings NB'!J2537</f>
        <v/>
      </c>
      <c r="K573" s="11">
        <f>IFERROR(VLOOKUP('Pairings NB'!$M$2535,Instructores!$A:$D,3,FALSE),"")</f>
        <v/>
      </c>
      <c r="L573" s="11">
        <f>IF('Pairings NB'!J2537=320,4,3)</f>
        <v/>
      </c>
      <c r="M573" s="11">
        <f>'Pairings NB'!$N$2535</f>
        <v/>
      </c>
    </row>
    <row r="574">
      <c r="A574" s="11">
        <f>'Pairings NB'!B2542</f>
        <v/>
      </c>
      <c r="B574" s="11">
        <f>'Pairings NB'!C2542</f>
        <v/>
      </c>
      <c r="C574" s="11">
        <f>'Pairings NB'!D2542</f>
        <v/>
      </c>
      <c r="D574" s="11">
        <f>'Pairings NB'!E2542&amp;"/"&amp;'Pairings NB'!E2543</f>
        <v/>
      </c>
      <c r="E574" s="11">
        <f>'Pairings NB'!F2542&amp;"-"&amp;'Pairings NB'!G2542&amp;"-"&amp;'Pairings NB'!F2542</f>
        <v/>
      </c>
      <c r="F574" s="11">
        <f>IFERROR(VLOOKUP('Pairings NB'!$M$2542,Instructores!$A:$D,2,FALSE),"")</f>
        <v/>
      </c>
      <c r="G574" s="11">
        <f>'Pairings NB'!$M$2542</f>
        <v/>
      </c>
      <c r="H574" s="11">
        <f>IFERROR(VLOOKUP('Pairings NB'!$M$2542,Instructores!$A:$D,4,FALSE),"")</f>
        <v/>
      </c>
      <c r="I574" s="11">
        <f>'Pairings NB'!$O$2542</f>
        <v/>
      </c>
      <c r="J574" s="11">
        <f>'Pairings NB'!J2542</f>
        <v/>
      </c>
      <c r="K574" s="11">
        <f>IFERROR(VLOOKUP('Pairings NB'!$M$2542,Instructores!$A:$D,3,FALSE),"")</f>
        <v/>
      </c>
      <c r="L574" s="11">
        <f>IF('Pairings NB'!J2542=320,4,3)</f>
        <v/>
      </c>
      <c r="M574" s="11">
        <f>'Pairings NB'!$N$2542</f>
        <v/>
      </c>
    </row>
    <row r="575">
      <c r="A575" s="11">
        <f>'Pairings NB'!B2547</f>
        <v/>
      </c>
      <c r="B575" s="11">
        <f>'Pairings NB'!C2547</f>
        <v/>
      </c>
      <c r="C575" s="11">
        <f>'Pairings NB'!D2547</f>
        <v/>
      </c>
      <c r="D575" s="11">
        <f>'Pairings NB'!E2547&amp;"/"&amp;'Pairings NB'!E2548</f>
        <v/>
      </c>
      <c r="E575" s="11">
        <f>'Pairings NB'!F2547&amp;"-"&amp;'Pairings NB'!G2547&amp;"-"&amp;'Pairings NB'!F2547</f>
        <v/>
      </c>
      <c r="F575" s="11">
        <f>IFERROR(VLOOKUP('Pairings NB'!$M$2547,Instructores!$A:$D,2,FALSE),"")</f>
        <v/>
      </c>
      <c r="G575" s="11">
        <f>'Pairings NB'!$M$2547</f>
        <v/>
      </c>
      <c r="H575" s="11">
        <f>IFERROR(VLOOKUP('Pairings NB'!$M$2547,Instructores!$A:$D,4,FALSE),"")</f>
        <v/>
      </c>
      <c r="I575" s="11">
        <f>'Pairings NB'!$O$2547</f>
        <v/>
      </c>
      <c r="J575" s="11">
        <f>'Pairings NB'!J2547</f>
        <v/>
      </c>
      <c r="K575" s="11">
        <f>IFERROR(VLOOKUP('Pairings NB'!$M$2547,Instructores!$A:$D,3,FALSE),"")</f>
        <v/>
      </c>
      <c r="L575" s="11">
        <f>IF('Pairings NB'!J2547=320,4,3)</f>
        <v/>
      </c>
      <c r="M575" s="11">
        <f>'Pairings NB'!$N$2547</f>
        <v/>
      </c>
    </row>
    <row r="576">
      <c r="A576" s="11">
        <f>'Pairings NB'!B2549</f>
        <v/>
      </c>
      <c r="B576" s="11">
        <f>'Pairings NB'!C2549</f>
        <v/>
      </c>
      <c r="C576" s="11">
        <f>'Pairings NB'!D2549</f>
        <v/>
      </c>
      <c r="D576" s="11">
        <f>'Pairings NB'!E2549&amp;"/"&amp;'Pairings NB'!E2550</f>
        <v/>
      </c>
      <c r="E576" s="11">
        <f>'Pairings NB'!F2549&amp;"-"&amp;'Pairings NB'!G2549&amp;"-"&amp;'Pairings NB'!F2549</f>
        <v/>
      </c>
      <c r="F576" s="11">
        <f>IFERROR(VLOOKUP('Pairings NB'!$M$2547,Instructores!$A:$D,2,FALSE),"")</f>
        <v/>
      </c>
      <c r="G576" s="11">
        <f>'Pairings NB'!$M$2547</f>
        <v/>
      </c>
      <c r="H576" s="11">
        <f>IFERROR(VLOOKUP('Pairings NB'!$M$2547,Instructores!$A:$D,4,FALSE),"")</f>
        <v/>
      </c>
      <c r="I576" s="11">
        <f>'Pairings NB'!$O$2547</f>
        <v/>
      </c>
      <c r="J576" s="11">
        <f>'Pairings NB'!J2549</f>
        <v/>
      </c>
      <c r="K576" s="11">
        <f>IFERROR(VLOOKUP('Pairings NB'!$M$2547,Instructores!$A:$D,3,FALSE),"")</f>
        <v/>
      </c>
      <c r="L576" s="11">
        <f>IF('Pairings NB'!J2549=320,4,3)</f>
        <v/>
      </c>
      <c r="M576" s="11">
        <f>'Pairings NB'!$N$2547</f>
        <v/>
      </c>
    </row>
    <row r="577">
      <c r="A577" s="11">
        <f>'Pairings NB'!B2554</f>
        <v/>
      </c>
      <c r="B577" s="11">
        <f>'Pairings NB'!C2554</f>
        <v/>
      </c>
      <c r="C577" s="11">
        <f>'Pairings NB'!D2554</f>
        <v/>
      </c>
      <c r="D577" s="11">
        <f>'Pairings NB'!E2554&amp;"/"&amp;'Pairings NB'!E2555</f>
        <v/>
      </c>
      <c r="E577" s="11">
        <f>'Pairings NB'!F2554&amp;"-"&amp;'Pairings NB'!G2554&amp;"-"&amp;'Pairings NB'!F2554</f>
        <v/>
      </c>
      <c r="F577" s="11">
        <f>IFERROR(VLOOKUP('Pairings NB'!$M$2554,Instructores!$A:$D,2,FALSE),"")</f>
        <v/>
      </c>
      <c r="G577" s="11">
        <f>'Pairings NB'!$M$2554</f>
        <v/>
      </c>
      <c r="H577" s="11">
        <f>IFERROR(VLOOKUP('Pairings NB'!$M$2554,Instructores!$A:$D,4,FALSE),"")</f>
        <v/>
      </c>
      <c r="I577" s="11">
        <f>'Pairings NB'!$O$2554</f>
        <v/>
      </c>
      <c r="J577" s="11">
        <f>'Pairings NB'!J2554</f>
        <v/>
      </c>
      <c r="K577" s="11">
        <f>IFERROR(VLOOKUP('Pairings NB'!$M$2554,Instructores!$A:$D,3,FALSE),"")</f>
        <v/>
      </c>
      <c r="L577" s="11">
        <f>IF('Pairings NB'!J2554=320,4,3)</f>
        <v/>
      </c>
      <c r="M577" s="11">
        <f>'Pairings NB'!$N$2554</f>
        <v/>
      </c>
    </row>
    <row r="578">
      <c r="A578" s="11">
        <f>'Pairings NB'!B2559</f>
        <v/>
      </c>
      <c r="B578" s="11">
        <f>'Pairings NB'!C2559</f>
        <v/>
      </c>
      <c r="C578" s="11">
        <f>'Pairings NB'!D2559</f>
        <v/>
      </c>
      <c r="D578" s="11">
        <f>'Pairings NB'!E2559&amp;"/"&amp;'Pairings NB'!E2560</f>
        <v/>
      </c>
      <c r="E578" s="11">
        <f>'Pairings NB'!F2559&amp;"-"&amp;'Pairings NB'!G2559&amp;"-"&amp;'Pairings NB'!F2559</f>
        <v/>
      </c>
      <c r="F578" s="11">
        <f>IFERROR(VLOOKUP('Pairings NB'!$M$2559,Instructores!$A:$D,2,FALSE),"")</f>
        <v/>
      </c>
      <c r="G578" s="11">
        <f>'Pairings NB'!$M$2559</f>
        <v/>
      </c>
      <c r="H578" s="11">
        <f>IFERROR(VLOOKUP('Pairings NB'!$M$2559,Instructores!$A:$D,4,FALSE),"")</f>
        <v/>
      </c>
      <c r="I578" s="11">
        <f>'Pairings NB'!$O$2559</f>
        <v/>
      </c>
      <c r="J578" s="11">
        <f>'Pairings NB'!J2559</f>
        <v/>
      </c>
      <c r="K578" s="11">
        <f>IFERROR(VLOOKUP('Pairings NB'!$M$2559,Instructores!$A:$D,3,FALSE),"")</f>
        <v/>
      </c>
      <c r="L578" s="11">
        <f>IF('Pairings NB'!J2559=320,4,3)</f>
        <v/>
      </c>
      <c r="M578" s="11">
        <f>'Pairings NB'!$N$2559</f>
        <v/>
      </c>
    </row>
    <row r="579">
      <c r="A579" s="11">
        <f>'Pairings NB'!B2564</f>
        <v/>
      </c>
      <c r="B579" s="11">
        <f>'Pairings NB'!C2564</f>
        <v/>
      </c>
      <c r="C579" s="11">
        <f>'Pairings NB'!D2564</f>
        <v/>
      </c>
      <c r="D579" s="11">
        <f>'Pairings NB'!E2564&amp;"/"&amp;'Pairings NB'!E2565</f>
        <v/>
      </c>
      <c r="E579" s="11">
        <f>'Pairings NB'!F2564&amp;"-"&amp;'Pairings NB'!G2564&amp;"-"&amp;'Pairings NB'!F2564</f>
        <v/>
      </c>
      <c r="F579" s="11">
        <f>IFERROR(VLOOKUP('Pairings NB'!$M$2564,Instructores!$A:$D,2,FALSE),"")</f>
        <v/>
      </c>
      <c r="G579" s="11">
        <f>'Pairings NB'!$M$2564</f>
        <v/>
      </c>
      <c r="H579" s="11">
        <f>IFERROR(VLOOKUP('Pairings NB'!$M$2564,Instructores!$A:$D,4,FALSE),"")</f>
        <v/>
      </c>
      <c r="I579" s="11">
        <f>'Pairings NB'!$O$2564</f>
        <v/>
      </c>
      <c r="J579" s="11">
        <f>'Pairings NB'!J2564</f>
        <v/>
      </c>
      <c r="K579" s="11">
        <f>IFERROR(VLOOKUP('Pairings NB'!$M$2564,Instructores!$A:$D,3,FALSE),"")</f>
        <v/>
      </c>
      <c r="L579" s="11">
        <f>IF('Pairings NB'!J2564=320,4,3)</f>
        <v/>
      </c>
      <c r="M579" s="11">
        <f>'Pairings NB'!$N$2564</f>
        <v/>
      </c>
    </row>
    <row r="580">
      <c r="A580" s="11">
        <f>'Pairings NB'!B2569</f>
        <v/>
      </c>
      <c r="B580" s="11">
        <f>'Pairings NB'!C2569</f>
        <v/>
      </c>
      <c r="C580" s="11">
        <f>'Pairings NB'!D2569</f>
        <v/>
      </c>
      <c r="D580" s="11">
        <f>'Pairings NB'!E2569&amp;"/"&amp;'Pairings NB'!E2570</f>
        <v/>
      </c>
      <c r="E580" s="11">
        <f>'Pairings NB'!F2569&amp;"-"&amp;'Pairings NB'!G2569&amp;"-"&amp;'Pairings NB'!F2569</f>
        <v/>
      </c>
      <c r="F580" s="11">
        <f>IFERROR(VLOOKUP('Pairings NB'!$M$2569,Instructores!$A:$D,2,FALSE),"")</f>
        <v/>
      </c>
      <c r="G580" s="11">
        <f>'Pairings NB'!$M$2569</f>
        <v/>
      </c>
      <c r="H580" s="11">
        <f>IFERROR(VLOOKUP('Pairings NB'!$M$2569,Instructores!$A:$D,4,FALSE),"")</f>
        <v/>
      </c>
      <c r="I580" s="11">
        <f>'Pairings NB'!$O$2569</f>
        <v/>
      </c>
      <c r="J580" s="11">
        <f>'Pairings NB'!J2569</f>
        <v/>
      </c>
      <c r="K580" s="11">
        <f>IFERROR(VLOOKUP('Pairings NB'!$M$2569,Instructores!$A:$D,3,FALSE),"")</f>
        <v/>
      </c>
      <c r="L580" s="11">
        <f>IF('Pairings NB'!J2569=320,4,3)</f>
        <v/>
      </c>
      <c r="M580" s="11">
        <f>'Pairings NB'!$N$2569</f>
        <v/>
      </c>
    </row>
    <row r="581">
      <c r="A581" s="11">
        <f>'Pairings NB'!B2574</f>
        <v/>
      </c>
      <c r="B581" s="11">
        <f>'Pairings NB'!C2574</f>
        <v/>
      </c>
      <c r="C581" s="11">
        <f>'Pairings NB'!D2574</f>
        <v/>
      </c>
      <c r="D581" s="11">
        <f>'Pairings NB'!E2574&amp;"/"&amp;'Pairings NB'!E2575</f>
        <v/>
      </c>
      <c r="E581" s="11">
        <f>'Pairings NB'!F2574&amp;"-"&amp;'Pairings NB'!G2574&amp;"-"&amp;'Pairings NB'!F2574</f>
        <v/>
      </c>
      <c r="F581" s="11">
        <f>IFERROR(VLOOKUP('Pairings NB'!$M$2574,Instructores!$A:$D,2,FALSE),"")</f>
        <v/>
      </c>
      <c r="G581" s="11">
        <f>'Pairings NB'!$M$2574</f>
        <v/>
      </c>
      <c r="H581" s="11">
        <f>IFERROR(VLOOKUP('Pairings NB'!$M$2574,Instructores!$A:$D,4,FALSE),"")</f>
        <v/>
      </c>
      <c r="I581" s="11">
        <f>'Pairings NB'!$O$2574</f>
        <v/>
      </c>
      <c r="J581" s="11">
        <f>'Pairings NB'!J2574</f>
        <v/>
      </c>
      <c r="K581" s="11">
        <f>IFERROR(VLOOKUP('Pairings NB'!$M$2574,Instructores!$A:$D,3,FALSE),"")</f>
        <v/>
      </c>
      <c r="L581" s="11">
        <f>IF('Pairings NB'!J2574=320,4,3)</f>
        <v/>
      </c>
      <c r="M581" s="11">
        <f>'Pairings NB'!$N$2574</f>
        <v/>
      </c>
    </row>
    <row r="582">
      <c r="A582" s="11">
        <f>'Pairings NB'!B2579</f>
        <v/>
      </c>
      <c r="B582" s="11">
        <f>'Pairings NB'!C2579</f>
        <v/>
      </c>
      <c r="C582" s="11">
        <f>'Pairings NB'!D2579</f>
        <v/>
      </c>
      <c r="D582" s="11">
        <f>'Pairings NB'!E2579&amp;"/"&amp;'Pairings NB'!E2580</f>
        <v/>
      </c>
      <c r="E582" s="11">
        <f>'Pairings NB'!F2579&amp;"-"&amp;'Pairings NB'!G2579&amp;"-"&amp;'Pairings NB'!F2579</f>
        <v/>
      </c>
      <c r="F582" s="11">
        <f>IFERROR(VLOOKUP('Pairings NB'!$M$2579,Instructores!$A:$D,2,FALSE),"")</f>
        <v/>
      </c>
      <c r="G582" s="11">
        <f>'Pairings NB'!$M$2579</f>
        <v/>
      </c>
      <c r="H582" s="11">
        <f>IFERROR(VLOOKUP('Pairings NB'!$M$2579,Instructores!$A:$D,4,FALSE),"")</f>
        <v/>
      </c>
      <c r="I582" s="11">
        <f>'Pairings NB'!$O$2579</f>
        <v/>
      </c>
      <c r="J582" s="11">
        <f>'Pairings NB'!J2579</f>
        <v/>
      </c>
      <c r="K582" s="11">
        <f>IFERROR(VLOOKUP('Pairings NB'!$M$2579,Instructores!$A:$D,3,FALSE),"")</f>
        <v/>
      </c>
      <c r="L582" s="11">
        <f>IF('Pairings NB'!J2579=320,4,3)</f>
        <v/>
      </c>
      <c r="M582" s="11">
        <f>'Pairings NB'!$N$2579</f>
        <v/>
      </c>
    </row>
    <row r="583">
      <c r="A583" s="11">
        <f>'Pairings NB'!B2584</f>
        <v/>
      </c>
      <c r="B583" s="11">
        <f>'Pairings NB'!C2584</f>
        <v/>
      </c>
      <c r="C583" s="11">
        <f>'Pairings NB'!D2584</f>
        <v/>
      </c>
      <c r="D583" s="11">
        <f>'Pairings NB'!E2584&amp;"/"&amp;'Pairings NB'!E2585</f>
        <v/>
      </c>
      <c r="E583" s="11">
        <f>'Pairings NB'!F2584&amp;"-"&amp;'Pairings NB'!G2584&amp;"-"&amp;'Pairings NB'!F2584</f>
        <v/>
      </c>
      <c r="F583" s="11">
        <f>IFERROR(VLOOKUP('Pairings NB'!$M$2584,Instructores!$A:$D,2,FALSE),"")</f>
        <v/>
      </c>
      <c r="G583" s="11">
        <f>'Pairings NB'!$M$2584</f>
        <v/>
      </c>
      <c r="H583" s="11">
        <f>IFERROR(VLOOKUP('Pairings NB'!$M$2584,Instructores!$A:$D,4,FALSE),"")</f>
        <v/>
      </c>
      <c r="I583" s="11">
        <f>'Pairings NB'!$O$2584</f>
        <v/>
      </c>
      <c r="J583" s="11">
        <f>'Pairings NB'!J2584</f>
        <v/>
      </c>
      <c r="K583" s="11">
        <f>IFERROR(VLOOKUP('Pairings NB'!$M$2584,Instructores!$A:$D,3,FALSE),"")</f>
        <v/>
      </c>
      <c r="L583" s="11">
        <f>IF('Pairings NB'!J2584=320,4,3)</f>
        <v/>
      </c>
      <c r="M583" s="11">
        <f>'Pairings NB'!$N$2584</f>
        <v/>
      </c>
    </row>
    <row r="584">
      <c r="A584" s="11">
        <f>'Pairings NB'!B2586</f>
        <v/>
      </c>
      <c r="B584" s="11">
        <f>'Pairings NB'!C2586</f>
        <v/>
      </c>
      <c r="C584" s="11">
        <f>'Pairings NB'!D2586</f>
        <v/>
      </c>
      <c r="D584" s="11">
        <f>'Pairings NB'!E2586&amp;"/"&amp;'Pairings NB'!E2587</f>
        <v/>
      </c>
      <c r="E584" s="11">
        <f>'Pairings NB'!F2586&amp;"-"&amp;'Pairings NB'!G2586&amp;"-"&amp;'Pairings NB'!F2586</f>
        <v/>
      </c>
      <c r="F584" s="11">
        <f>IFERROR(VLOOKUP('Pairings NB'!$M$2584,Instructores!$A:$D,2,FALSE),"")</f>
        <v/>
      </c>
      <c r="G584" s="11">
        <f>'Pairings NB'!$M$2584</f>
        <v/>
      </c>
      <c r="H584" s="11">
        <f>IFERROR(VLOOKUP('Pairings NB'!$M$2584,Instructores!$A:$D,4,FALSE),"")</f>
        <v/>
      </c>
      <c r="I584" s="11">
        <f>'Pairings NB'!$O$2584</f>
        <v/>
      </c>
      <c r="J584" s="11">
        <f>'Pairings NB'!J2586</f>
        <v/>
      </c>
      <c r="K584" s="11">
        <f>IFERROR(VLOOKUP('Pairings NB'!$M$2584,Instructores!$A:$D,3,FALSE),"")</f>
        <v/>
      </c>
      <c r="L584" s="11">
        <f>IF('Pairings NB'!J2586=320,4,3)</f>
        <v/>
      </c>
      <c r="M584" s="11">
        <f>'Pairings NB'!$N$2584</f>
        <v/>
      </c>
    </row>
    <row r="585">
      <c r="A585" s="11">
        <f>'Pairings NB'!B2591</f>
        <v/>
      </c>
      <c r="B585" s="11">
        <f>'Pairings NB'!C2591</f>
        <v/>
      </c>
      <c r="C585" s="11">
        <f>'Pairings NB'!D2591</f>
        <v/>
      </c>
      <c r="D585" s="11">
        <f>'Pairings NB'!E2591&amp;"/"&amp;'Pairings NB'!E2592</f>
        <v/>
      </c>
      <c r="E585" s="11">
        <f>'Pairings NB'!F2591&amp;"-"&amp;'Pairings NB'!G2591&amp;"-"&amp;'Pairings NB'!F2591</f>
        <v/>
      </c>
      <c r="F585" s="11">
        <f>IFERROR(VLOOKUP('Pairings NB'!$M$2591,Instructores!$A:$D,2,FALSE),"")</f>
        <v/>
      </c>
      <c r="G585" s="11">
        <f>'Pairings NB'!$M$2591</f>
        <v/>
      </c>
      <c r="H585" s="11">
        <f>IFERROR(VLOOKUP('Pairings NB'!$M$2591,Instructores!$A:$D,4,FALSE),"")</f>
        <v/>
      </c>
      <c r="I585" s="11">
        <f>'Pairings NB'!$O$2591</f>
        <v/>
      </c>
      <c r="J585" s="11">
        <f>'Pairings NB'!J2591</f>
        <v/>
      </c>
      <c r="K585" s="11">
        <f>IFERROR(VLOOKUP('Pairings NB'!$M$2591,Instructores!$A:$D,3,FALSE),"")</f>
        <v/>
      </c>
      <c r="L585" s="11">
        <f>IF('Pairings NB'!J2591=320,4,3)</f>
        <v/>
      </c>
      <c r="M585" s="11">
        <f>'Pairings NB'!$N$2591</f>
        <v/>
      </c>
    </row>
    <row r="586">
      <c r="A586" s="11">
        <f>'Pairings NB'!B2593</f>
        <v/>
      </c>
      <c r="B586" s="11">
        <f>'Pairings NB'!C2593</f>
        <v/>
      </c>
      <c r="C586" s="11">
        <f>'Pairings NB'!D2593</f>
        <v/>
      </c>
      <c r="D586" s="11">
        <f>'Pairings NB'!E2593&amp;"/"&amp;'Pairings NB'!E2594</f>
        <v/>
      </c>
      <c r="E586" s="11">
        <f>'Pairings NB'!F2593&amp;"-"&amp;'Pairings NB'!G2593&amp;"-"&amp;'Pairings NB'!F2593</f>
        <v/>
      </c>
      <c r="F586" s="11">
        <f>IFERROR(VLOOKUP('Pairings NB'!$M$2591,Instructores!$A:$D,2,FALSE),"")</f>
        <v/>
      </c>
      <c r="G586" s="11">
        <f>'Pairings NB'!$M$2591</f>
        <v/>
      </c>
      <c r="H586" s="11">
        <f>IFERROR(VLOOKUP('Pairings NB'!$M$2591,Instructores!$A:$D,4,FALSE),"")</f>
        <v/>
      </c>
      <c r="I586" s="11">
        <f>'Pairings NB'!$O$2591</f>
        <v/>
      </c>
      <c r="J586" s="11">
        <f>'Pairings NB'!J2593</f>
        <v/>
      </c>
      <c r="K586" s="11">
        <f>IFERROR(VLOOKUP('Pairings NB'!$M$2591,Instructores!$A:$D,3,FALSE),"")</f>
        <v/>
      </c>
      <c r="L586" s="11">
        <f>IF('Pairings NB'!J2593=320,4,3)</f>
        <v/>
      </c>
      <c r="M586" s="11">
        <f>'Pairings NB'!$N$2591</f>
        <v/>
      </c>
    </row>
    <row r="587">
      <c r="A587" s="11">
        <f>'Pairings NB'!B2598</f>
        <v/>
      </c>
      <c r="B587" s="11">
        <f>'Pairings NB'!C2598</f>
        <v/>
      </c>
      <c r="C587" s="11">
        <f>'Pairings NB'!D2598</f>
        <v/>
      </c>
      <c r="D587" s="11">
        <f>'Pairings NB'!E2598&amp;"/"&amp;'Pairings NB'!E2599</f>
        <v/>
      </c>
      <c r="E587" s="11">
        <f>'Pairings NB'!F2598&amp;"-"&amp;'Pairings NB'!G2598&amp;"-"&amp;'Pairings NB'!F2598</f>
        <v/>
      </c>
      <c r="F587" s="11">
        <f>IFERROR(VLOOKUP('Pairings NB'!$M$2598,Instructores!$A:$D,2,FALSE),"")</f>
        <v/>
      </c>
      <c r="G587" s="11">
        <f>'Pairings NB'!$M$2598</f>
        <v/>
      </c>
      <c r="H587" s="11">
        <f>IFERROR(VLOOKUP('Pairings NB'!$M$2598,Instructores!$A:$D,4,FALSE),"")</f>
        <v/>
      </c>
      <c r="I587" s="11">
        <f>'Pairings NB'!$O$2598</f>
        <v/>
      </c>
      <c r="J587" s="11">
        <f>'Pairings NB'!J2598</f>
        <v/>
      </c>
      <c r="K587" s="11">
        <f>IFERROR(VLOOKUP('Pairings NB'!$M$2598,Instructores!$A:$D,3,FALSE),"")</f>
        <v/>
      </c>
      <c r="L587" s="11">
        <f>IF('Pairings NB'!J2598=320,4,3)</f>
        <v/>
      </c>
      <c r="M587" s="11">
        <f>'Pairings NB'!$N$2598</f>
        <v/>
      </c>
    </row>
    <row r="588">
      <c r="A588" s="11">
        <f>'Pairings NB'!B2603</f>
        <v/>
      </c>
      <c r="B588" s="11">
        <f>'Pairings NB'!C2603</f>
        <v/>
      </c>
      <c r="C588" s="11">
        <f>'Pairings NB'!D2603</f>
        <v/>
      </c>
      <c r="D588" s="11">
        <f>'Pairings NB'!E2603&amp;"/"&amp;'Pairings NB'!E2604</f>
        <v/>
      </c>
      <c r="E588" s="11">
        <f>'Pairings NB'!F2603&amp;"-"&amp;'Pairings NB'!G2603&amp;"-"&amp;'Pairings NB'!F2603</f>
        <v/>
      </c>
      <c r="F588" s="11">
        <f>IFERROR(VLOOKUP('Pairings NB'!$M$2603,Instructores!$A:$D,2,FALSE),"")</f>
        <v/>
      </c>
      <c r="G588" s="11">
        <f>'Pairings NB'!$M$2603</f>
        <v/>
      </c>
      <c r="H588" s="11">
        <f>IFERROR(VLOOKUP('Pairings NB'!$M$2603,Instructores!$A:$D,4,FALSE),"")</f>
        <v/>
      </c>
      <c r="I588" s="11">
        <f>'Pairings NB'!$O$2603</f>
        <v/>
      </c>
      <c r="J588" s="11">
        <f>'Pairings NB'!J2603</f>
        <v/>
      </c>
      <c r="K588" s="11">
        <f>IFERROR(VLOOKUP('Pairings NB'!$M$2603,Instructores!$A:$D,3,FALSE),"")</f>
        <v/>
      </c>
      <c r="L588" s="11">
        <f>IF('Pairings NB'!J2603=320,4,3)</f>
        <v/>
      </c>
      <c r="M588" s="11">
        <f>'Pairings NB'!$N$2603</f>
        <v/>
      </c>
    </row>
    <row r="589">
      <c r="A589" s="11">
        <f>'Pairings NB'!B2608</f>
        <v/>
      </c>
      <c r="B589" s="11">
        <f>'Pairings NB'!C2608</f>
        <v/>
      </c>
      <c r="C589" s="11">
        <f>'Pairings NB'!D2608</f>
        <v/>
      </c>
      <c r="D589" s="11">
        <f>'Pairings NB'!E2608&amp;"/"&amp;'Pairings NB'!E2609</f>
        <v/>
      </c>
      <c r="E589" s="11">
        <f>'Pairings NB'!F2608&amp;"-"&amp;'Pairings NB'!G2608&amp;"-"&amp;'Pairings NB'!F2608</f>
        <v/>
      </c>
      <c r="F589" s="11">
        <f>IFERROR(VLOOKUP('Pairings NB'!$M$2608,Instructores!$A:$D,2,FALSE),"")</f>
        <v/>
      </c>
      <c r="G589" s="11">
        <f>'Pairings NB'!$M$2608</f>
        <v/>
      </c>
      <c r="H589" s="11">
        <f>IFERROR(VLOOKUP('Pairings NB'!$M$2608,Instructores!$A:$D,4,FALSE),"")</f>
        <v/>
      </c>
      <c r="I589" s="11">
        <f>'Pairings NB'!$O$2608</f>
        <v/>
      </c>
      <c r="J589" s="11">
        <f>'Pairings NB'!J2608</f>
        <v/>
      </c>
      <c r="K589" s="11">
        <f>IFERROR(VLOOKUP('Pairings NB'!$M$2608,Instructores!$A:$D,3,FALSE),"")</f>
        <v/>
      </c>
      <c r="L589" s="11">
        <f>IF('Pairings NB'!J2608=320,4,3)</f>
        <v/>
      </c>
      <c r="M589" s="11">
        <f>'Pairings NB'!$N$2608</f>
        <v/>
      </c>
    </row>
    <row r="590">
      <c r="A590" s="11">
        <f>'Pairings NB'!B2610</f>
        <v/>
      </c>
      <c r="B590" s="11">
        <f>'Pairings NB'!C2610</f>
        <v/>
      </c>
      <c r="C590" s="11">
        <f>'Pairings NB'!D2610</f>
        <v/>
      </c>
      <c r="D590" s="11">
        <f>'Pairings NB'!E2610&amp;"/"&amp;'Pairings NB'!E2611</f>
        <v/>
      </c>
      <c r="E590" s="11">
        <f>'Pairings NB'!F2610&amp;"-"&amp;'Pairings NB'!G2610&amp;"-"&amp;'Pairings NB'!F2610</f>
        <v/>
      </c>
      <c r="F590" s="11">
        <f>IFERROR(VLOOKUP('Pairings NB'!$M$2608,Instructores!$A:$D,2,FALSE),"")</f>
        <v/>
      </c>
      <c r="G590" s="11">
        <f>'Pairings NB'!$M$2608</f>
        <v/>
      </c>
      <c r="H590" s="11">
        <f>IFERROR(VLOOKUP('Pairings NB'!$M$2608,Instructores!$A:$D,4,FALSE),"")</f>
        <v/>
      </c>
      <c r="I590" s="11">
        <f>'Pairings NB'!$O$2608</f>
        <v/>
      </c>
      <c r="J590" s="11">
        <f>'Pairings NB'!J2610</f>
        <v/>
      </c>
      <c r="K590" s="11">
        <f>IFERROR(VLOOKUP('Pairings NB'!$M$2608,Instructores!$A:$D,3,FALSE),"")</f>
        <v/>
      </c>
      <c r="L590" s="11">
        <f>IF('Pairings NB'!J2610=320,4,3)</f>
        <v/>
      </c>
      <c r="M590" s="11">
        <f>'Pairings NB'!$N$2608</f>
        <v/>
      </c>
    </row>
    <row r="591">
      <c r="A591" s="11">
        <f>'Pairings NB'!B2615</f>
        <v/>
      </c>
      <c r="B591" s="11">
        <f>'Pairings NB'!C2615</f>
        <v/>
      </c>
      <c r="C591" s="11">
        <f>'Pairings NB'!D2615</f>
        <v/>
      </c>
      <c r="D591" s="11">
        <f>'Pairings NB'!E2615&amp;"/"&amp;'Pairings NB'!E2616</f>
        <v/>
      </c>
      <c r="E591" s="11">
        <f>'Pairings NB'!F2615&amp;"-"&amp;'Pairings NB'!G2615&amp;"-"&amp;'Pairings NB'!F2615</f>
        <v/>
      </c>
      <c r="F591" s="11">
        <f>IFERROR(VLOOKUP('Pairings NB'!$M$2615,Instructores!$A:$D,2,FALSE),"")</f>
        <v/>
      </c>
      <c r="G591" s="11">
        <f>'Pairings NB'!$M$2615</f>
        <v/>
      </c>
      <c r="H591" s="11">
        <f>IFERROR(VLOOKUP('Pairings NB'!$M$2615,Instructores!$A:$D,4,FALSE),"")</f>
        <v/>
      </c>
      <c r="I591" s="11">
        <f>'Pairings NB'!$O$2615</f>
        <v/>
      </c>
      <c r="J591" s="11">
        <f>'Pairings NB'!J2615</f>
        <v/>
      </c>
      <c r="K591" s="11">
        <f>IFERROR(VLOOKUP('Pairings NB'!$M$2615,Instructores!$A:$D,3,FALSE),"")</f>
        <v/>
      </c>
      <c r="L591" s="11">
        <f>IF('Pairings NB'!J2615=320,4,3)</f>
        <v/>
      </c>
      <c r="M591" s="11">
        <f>'Pairings NB'!$N$2615</f>
        <v/>
      </c>
    </row>
    <row r="592">
      <c r="A592" s="11">
        <f>'Pairings NB'!B2620</f>
        <v/>
      </c>
      <c r="B592" s="11">
        <f>'Pairings NB'!C2620</f>
        <v/>
      </c>
      <c r="C592" s="11">
        <f>'Pairings NB'!D2620</f>
        <v/>
      </c>
      <c r="D592" s="11">
        <f>'Pairings NB'!E2620&amp;"/"&amp;'Pairings NB'!E2621</f>
        <v/>
      </c>
      <c r="E592" s="11">
        <f>'Pairings NB'!F2620&amp;"-"&amp;'Pairings NB'!G2620&amp;"-"&amp;'Pairings NB'!F2620</f>
        <v/>
      </c>
      <c r="F592" s="11">
        <f>IFERROR(VLOOKUP('Pairings NB'!$M$2620,Instructores!$A:$D,2,FALSE),"")</f>
        <v/>
      </c>
      <c r="G592" s="11">
        <f>'Pairings NB'!$M$2620</f>
        <v/>
      </c>
      <c r="H592" s="11">
        <f>IFERROR(VLOOKUP('Pairings NB'!$M$2620,Instructores!$A:$D,4,FALSE),"")</f>
        <v/>
      </c>
      <c r="I592" s="11">
        <f>'Pairings NB'!$O$2620</f>
        <v/>
      </c>
      <c r="J592" s="11">
        <f>'Pairings NB'!J2620</f>
        <v/>
      </c>
      <c r="K592" s="11">
        <f>IFERROR(VLOOKUP('Pairings NB'!$M$2620,Instructores!$A:$D,3,FALSE),"")</f>
        <v/>
      </c>
      <c r="L592" s="11">
        <f>IF('Pairings NB'!J2620=320,4,3)</f>
        <v/>
      </c>
      <c r="M592" s="11">
        <f>'Pairings NB'!$N$2620</f>
        <v/>
      </c>
    </row>
    <row r="593">
      <c r="A593" s="11">
        <f>'Pairings NB'!B2625</f>
        <v/>
      </c>
      <c r="B593" s="11">
        <f>'Pairings NB'!C2625</f>
        <v/>
      </c>
      <c r="C593" s="11">
        <f>'Pairings NB'!D2625</f>
        <v/>
      </c>
      <c r="D593" s="11">
        <f>'Pairings NB'!E2625&amp;"/"&amp;'Pairings NB'!E2626</f>
        <v/>
      </c>
      <c r="E593" s="11">
        <f>'Pairings NB'!F2625&amp;"-"&amp;'Pairings NB'!G2625&amp;"-"&amp;'Pairings NB'!F2625</f>
        <v/>
      </c>
      <c r="F593" s="11">
        <f>IFERROR(VLOOKUP('Pairings NB'!$M$2625,Instructores!$A:$D,2,FALSE),"")</f>
        <v/>
      </c>
      <c r="G593" s="11">
        <f>'Pairings NB'!$M$2625</f>
        <v/>
      </c>
      <c r="H593" s="11">
        <f>IFERROR(VLOOKUP('Pairings NB'!$M$2625,Instructores!$A:$D,4,FALSE),"")</f>
        <v/>
      </c>
      <c r="I593" s="11">
        <f>'Pairings NB'!$O$2625</f>
        <v/>
      </c>
      <c r="J593" s="11">
        <f>'Pairings NB'!J2625</f>
        <v/>
      </c>
      <c r="K593" s="11">
        <f>IFERROR(VLOOKUP('Pairings NB'!$M$2625,Instructores!$A:$D,3,FALSE),"")</f>
        <v/>
      </c>
      <c r="L593" s="11">
        <f>IF('Pairings NB'!J2625=320,4,3)</f>
        <v/>
      </c>
      <c r="M593" s="11">
        <f>'Pairings NB'!$N$2625</f>
        <v/>
      </c>
    </row>
    <row r="594">
      <c r="A594" s="11">
        <f>'Pairings NB'!B2630</f>
        <v/>
      </c>
      <c r="B594" s="11">
        <f>'Pairings NB'!C2630</f>
        <v/>
      </c>
      <c r="C594" s="11">
        <f>'Pairings NB'!D2630</f>
        <v/>
      </c>
      <c r="D594" s="11">
        <f>'Pairings NB'!E2630&amp;"/"&amp;'Pairings NB'!E2631</f>
        <v/>
      </c>
      <c r="E594" s="11">
        <f>'Pairings NB'!F2630&amp;"-"&amp;'Pairings NB'!G2630&amp;"-"&amp;'Pairings NB'!F2630</f>
        <v/>
      </c>
      <c r="F594" s="11">
        <f>IFERROR(VLOOKUP('Pairings NB'!$M$2630,Instructores!$A:$D,2,FALSE),"")</f>
        <v/>
      </c>
      <c r="G594" s="11">
        <f>'Pairings NB'!$M$2630</f>
        <v/>
      </c>
      <c r="H594" s="11">
        <f>IFERROR(VLOOKUP('Pairings NB'!$M$2630,Instructores!$A:$D,4,FALSE),"")</f>
        <v/>
      </c>
      <c r="I594" s="11">
        <f>'Pairings NB'!$O$2630</f>
        <v/>
      </c>
      <c r="J594" s="11">
        <f>'Pairings NB'!J2630</f>
        <v/>
      </c>
      <c r="K594" s="11">
        <f>IFERROR(VLOOKUP('Pairings NB'!$M$2630,Instructores!$A:$D,3,FALSE),"")</f>
        <v/>
      </c>
      <c r="L594" s="11">
        <f>IF('Pairings NB'!J2630=320,4,3)</f>
        <v/>
      </c>
      <c r="M594" s="11">
        <f>'Pairings NB'!$N$2630</f>
        <v/>
      </c>
    </row>
    <row r="595">
      <c r="A595" s="11">
        <f>'Pairings NB'!B2632</f>
        <v/>
      </c>
      <c r="B595" s="11">
        <f>'Pairings NB'!C2632</f>
        <v/>
      </c>
      <c r="C595" s="11">
        <f>'Pairings NB'!D2632</f>
        <v/>
      </c>
      <c r="D595" s="11">
        <f>'Pairings NB'!E2632&amp;"/"&amp;'Pairings NB'!E2633</f>
        <v/>
      </c>
      <c r="E595" s="11">
        <f>'Pairings NB'!F2632&amp;"-"&amp;'Pairings NB'!G2632&amp;"-"&amp;'Pairings NB'!F2632</f>
        <v/>
      </c>
      <c r="F595" s="11">
        <f>IFERROR(VLOOKUP('Pairings NB'!$M$2630,Instructores!$A:$D,2,FALSE),"")</f>
        <v/>
      </c>
      <c r="G595" s="11">
        <f>'Pairings NB'!$M$2630</f>
        <v/>
      </c>
      <c r="H595" s="11">
        <f>IFERROR(VLOOKUP('Pairings NB'!$M$2630,Instructores!$A:$D,4,FALSE),"")</f>
        <v/>
      </c>
      <c r="I595" s="11">
        <f>'Pairings NB'!$O$2630</f>
        <v/>
      </c>
      <c r="J595" s="11">
        <f>'Pairings NB'!J2632</f>
        <v/>
      </c>
      <c r="K595" s="11">
        <f>IFERROR(VLOOKUP('Pairings NB'!$M$2630,Instructores!$A:$D,3,FALSE),"")</f>
        <v/>
      </c>
      <c r="L595" s="11">
        <f>IF('Pairings NB'!J2632=320,4,3)</f>
        <v/>
      </c>
      <c r="M595" s="11">
        <f>'Pairings NB'!$N$2630</f>
        <v/>
      </c>
    </row>
    <row r="596">
      <c r="A596" s="11">
        <f>'Pairings NB'!B2637</f>
        <v/>
      </c>
      <c r="B596" s="11">
        <f>'Pairings NB'!C2637</f>
        <v/>
      </c>
      <c r="C596" s="11">
        <f>'Pairings NB'!D2637</f>
        <v/>
      </c>
      <c r="D596" s="11">
        <f>'Pairings NB'!E2637&amp;"/"&amp;'Pairings NB'!E2638</f>
        <v/>
      </c>
      <c r="E596" s="11">
        <f>'Pairings NB'!F2637&amp;"-"&amp;'Pairings NB'!G2637&amp;"-"&amp;'Pairings NB'!F2637</f>
        <v/>
      </c>
      <c r="F596" s="11">
        <f>IFERROR(VLOOKUP('Pairings NB'!$M$2637,Instructores!$A:$D,2,FALSE),"")</f>
        <v/>
      </c>
      <c r="G596" s="11">
        <f>'Pairings NB'!$M$2637</f>
        <v/>
      </c>
      <c r="H596" s="11">
        <f>IFERROR(VLOOKUP('Pairings NB'!$M$2637,Instructores!$A:$D,4,FALSE),"")</f>
        <v/>
      </c>
      <c r="I596" s="11">
        <f>'Pairings NB'!$O$2637</f>
        <v/>
      </c>
      <c r="J596" s="11">
        <f>'Pairings NB'!J2637</f>
        <v/>
      </c>
      <c r="K596" s="11">
        <f>IFERROR(VLOOKUP('Pairings NB'!$M$2637,Instructores!$A:$D,3,FALSE),"")</f>
        <v/>
      </c>
      <c r="L596" s="11">
        <f>IF('Pairings NB'!J2637=320,4,3)</f>
        <v/>
      </c>
      <c r="M596" s="11">
        <f>'Pairings NB'!$N$2637</f>
        <v/>
      </c>
    </row>
    <row r="597">
      <c r="A597" s="11">
        <f>'Pairings NB'!B2642</f>
        <v/>
      </c>
      <c r="B597" s="11">
        <f>'Pairings NB'!C2642</f>
        <v/>
      </c>
      <c r="C597" s="11">
        <f>'Pairings NB'!D2642</f>
        <v/>
      </c>
      <c r="D597" s="11">
        <f>'Pairings NB'!E2642&amp;"/"&amp;'Pairings NB'!E2643</f>
        <v/>
      </c>
      <c r="E597" s="11">
        <f>'Pairings NB'!F2642&amp;"-"&amp;'Pairings NB'!G2642&amp;"-"&amp;'Pairings NB'!F2642</f>
        <v/>
      </c>
      <c r="F597" s="11">
        <f>IFERROR(VLOOKUP('Pairings NB'!$M$2642,Instructores!$A:$D,2,FALSE),"")</f>
        <v/>
      </c>
      <c r="G597" s="11">
        <f>'Pairings NB'!$M$2642</f>
        <v/>
      </c>
      <c r="H597" s="11">
        <f>IFERROR(VLOOKUP('Pairings NB'!$M$2642,Instructores!$A:$D,4,FALSE),"")</f>
        <v/>
      </c>
      <c r="I597" s="11">
        <f>'Pairings NB'!$O$2642</f>
        <v/>
      </c>
      <c r="J597" s="11">
        <f>'Pairings NB'!J2642</f>
        <v/>
      </c>
      <c r="K597" s="11">
        <f>IFERROR(VLOOKUP('Pairings NB'!$M$2642,Instructores!$A:$D,3,FALSE),"")</f>
        <v/>
      </c>
      <c r="L597" s="11">
        <f>IF('Pairings NB'!J2642=320,4,3)</f>
        <v/>
      </c>
      <c r="M597" s="11">
        <f>'Pairings NB'!$N$2642</f>
        <v/>
      </c>
    </row>
    <row r="598">
      <c r="A598" s="11">
        <f>'Pairings NB'!B2647</f>
        <v/>
      </c>
      <c r="B598" s="11">
        <f>'Pairings NB'!C2647</f>
        <v/>
      </c>
      <c r="C598" s="11">
        <f>'Pairings NB'!D2647</f>
        <v/>
      </c>
      <c r="D598" s="11">
        <f>'Pairings NB'!E2647&amp;"/"&amp;'Pairings NB'!E2648</f>
        <v/>
      </c>
      <c r="E598" s="11">
        <f>'Pairings NB'!F2647&amp;"-"&amp;'Pairings NB'!G2647&amp;"-"&amp;'Pairings NB'!F2647</f>
        <v/>
      </c>
      <c r="F598" s="11">
        <f>IFERROR(VLOOKUP('Pairings NB'!$M$2647,Instructores!$A:$D,2,FALSE),"")</f>
        <v/>
      </c>
      <c r="G598" s="11">
        <f>'Pairings NB'!$M$2647</f>
        <v/>
      </c>
      <c r="H598" s="11">
        <f>IFERROR(VLOOKUP('Pairings NB'!$M$2647,Instructores!$A:$D,4,FALSE),"")</f>
        <v/>
      </c>
      <c r="I598" s="11">
        <f>'Pairings NB'!$O$2647</f>
        <v/>
      </c>
      <c r="J598" s="11">
        <f>'Pairings NB'!J2647</f>
        <v/>
      </c>
      <c r="K598" s="11">
        <f>IFERROR(VLOOKUP('Pairings NB'!$M$2647,Instructores!$A:$D,3,FALSE),"")</f>
        <v/>
      </c>
      <c r="L598" s="11">
        <f>IF('Pairings NB'!J2647=320,4,3)</f>
        <v/>
      </c>
      <c r="M598" s="11">
        <f>'Pairings NB'!$N$2647</f>
        <v/>
      </c>
    </row>
    <row r="599">
      <c r="A599" s="11">
        <f>'Pairings NB'!B2652</f>
        <v/>
      </c>
      <c r="B599" s="11">
        <f>'Pairings NB'!C2652</f>
        <v/>
      </c>
      <c r="C599" s="11">
        <f>'Pairings NB'!D2652</f>
        <v/>
      </c>
      <c r="D599" s="11">
        <f>'Pairings NB'!E2652&amp;"/"&amp;'Pairings NB'!E2653</f>
        <v/>
      </c>
      <c r="E599" s="11">
        <f>'Pairings NB'!F2652&amp;"-"&amp;'Pairings NB'!G2652&amp;"-"&amp;'Pairings NB'!F2652</f>
        <v/>
      </c>
      <c r="F599" s="11">
        <f>IFERROR(VLOOKUP('Pairings NB'!$M$2652,Instructores!$A:$D,2,FALSE),"")</f>
        <v/>
      </c>
      <c r="G599" s="11">
        <f>'Pairings NB'!$M$2652</f>
        <v/>
      </c>
      <c r="H599" s="11">
        <f>IFERROR(VLOOKUP('Pairings NB'!$M$2652,Instructores!$A:$D,4,FALSE),"")</f>
        <v/>
      </c>
      <c r="I599" s="11">
        <f>'Pairings NB'!$O$2652</f>
        <v/>
      </c>
      <c r="J599" s="11">
        <f>'Pairings NB'!J2652</f>
        <v/>
      </c>
      <c r="K599" s="11">
        <f>IFERROR(VLOOKUP('Pairings NB'!$M$2652,Instructores!$A:$D,3,FALSE),"")</f>
        <v/>
      </c>
      <c r="L599" s="11">
        <f>IF('Pairings NB'!J2652=320,4,3)</f>
        <v/>
      </c>
      <c r="M599" s="11">
        <f>'Pairings NB'!$N$2652</f>
        <v/>
      </c>
    </row>
    <row r="600">
      <c r="A600" s="11">
        <f>'Pairings NB'!B2657</f>
        <v/>
      </c>
      <c r="B600" s="11">
        <f>'Pairings NB'!C2657</f>
        <v/>
      </c>
      <c r="C600" s="11">
        <f>'Pairings NB'!D2657</f>
        <v/>
      </c>
      <c r="D600" s="11">
        <f>'Pairings NB'!E2657&amp;"/"&amp;'Pairings NB'!E2658</f>
        <v/>
      </c>
      <c r="E600" s="11">
        <f>'Pairings NB'!F2657&amp;"-"&amp;'Pairings NB'!G2657&amp;"-"&amp;'Pairings NB'!F2657</f>
        <v/>
      </c>
      <c r="F600" s="11">
        <f>IFERROR(VLOOKUP('Pairings NB'!$M$2657,Instructores!$A:$D,2,FALSE),"")</f>
        <v/>
      </c>
      <c r="G600" s="11">
        <f>'Pairings NB'!$M$2657</f>
        <v/>
      </c>
      <c r="H600" s="11">
        <f>IFERROR(VLOOKUP('Pairings NB'!$M$2657,Instructores!$A:$D,4,FALSE),"")</f>
        <v/>
      </c>
      <c r="I600" s="11">
        <f>'Pairings NB'!$O$2657</f>
        <v/>
      </c>
      <c r="J600" s="11">
        <f>'Pairings NB'!J2657</f>
        <v/>
      </c>
      <c r="K600" s="11">
        <f>IFERROR(VLOOKUP('Pairings NB'!$M$2657,Instructores!$A:$D,3,FALSE),"")</f>
        <v/>
      </c>
      <c r="L600" s="11">
        <f>IF('Pairings NB'!J2657=320,4,3)</f>
        <v/>
      </c>
      <c r="M600" s="11">
        <f>'Pairings NB'!$N$2657</f>
        <v/>
      </c>
    </row>
    <row r="601">
      <c r="A601" s="11">
        <f>'Pairings NB'!B2662</f>
        <v/>
      </c>
      <c r="B601" s="11">
        <f>'Pairings NB'!C2662</f>
        <v/>
      </c>
      <c r="C601" s="11">
        <f>'Pairings NB'!D2662</f>
        <v/>
      </c>
      <c r="D601" s="11">
        <f>'Pairings NB'!E2662&amp;"/"&amp;'Pairings NB'!E2663</f>
        <v/>
      </c>
      <c r="E601" s="11">
        <f>'Pairings NB'!F2662&amp;"-"&amp;'Pairings NB'!G2662&amp;"-"&amp;'Pairings NB'!F2662</f>
        <v/>
      </c>
      <c r="F601" s="11">
        <f>IFERROR(VLOOKUP('Pairings NB'!$M$2662,Instructores!$A:$D,2,FALSE),"")</f>
        <v/>
      </c>
      <c r="G601" s="11">
        <f>'Pairings NB'!$M$2662</f>
        <v/>
      </c>
      <c r="H601" s="11">
        <f>IFERROR(VLOOKUP('Pairings NB'!$M$2662,Instructores!$A:$D,4,FALSE),"")</f>
        <v/>
      </c>
      <c r="I601" s="11">
        <f>'Pairings NB'!$O$2662</f>
        <v/>
      </c>
      <c r="J601" s="11">
        <f>'Pairings NB'!J2662</f>
        <v/>
      </c>
      <c r="K601" s="11">
        <f>IFERROR(VLOOKUP('Pairings NB'!$M$2662,Instructores!$A:$D,3,FALSE),"")</f>
        <v/>
      </c>
      <c r="L601" s="11">
        <f>IF('Pairings NB'!J2662=320,4,3)</f>
        <v/>
      </c>
      <c r="M601" s="11">
        <f>'Pairings NB'!$N$2662</f>
        <v/>
      </c>
    </row>
    <row r="602">
      <c r="A602" s="11">
        <f>'Pairings NB'!B2667</f>
        <v/>
      </c>
      <c r="B602" s="11">
        <f>'Pairings NB'!C2667</f>
        <v/>
      </c>
      <c r="C602" s="11">
        <f>'Pairings NB'!D2667</f>
        <v/>
      </c>
      <c r="D602" s="11">
        <f>'Pairings NB'!E2667&amp;"/"&amp;'Pairings NB'!E2668</f>
        <v/>
      </c>
      <c r="E602" s="11">
        <f>'Pairings NB'!F2667&amp;"-"&amp;'Pairings NB'!G2667&amp;"-"&amp;'Pairings NB'!F2667</f>
        <v/>
      </c>
      <c r="F602" s="11">
        <f>IFERROR(VLOOKUP('Pairings NB'!$M$2667,Instructores!$A:$D,2,FALSE),"")</f>
        <v/>
      </c>
      <c r="G602" s="11">
        <f>'Pairings NB'!$M$2667</f>
        <v/>
      </c>
      <c r="H602" s="11">
        <f>IFERROR(VLOOKUP('Pairings NB'!$M$2667,Instructores!$A:$D,4,FALSE),"")</f>
        <v/>
      </c>
      <c r="I602" s="11">
        <f>'Pairings NB'!$O$2667</f>
        <v/>
      </c>
      <c r="J602" s="11">
        <f>'Pairings NB'!J2667</f>
        <v/>
      </c>
      <c r="K602" s="11">
        <f>IFERROR(VLOOKUP('Pairings NB'!$M$2667,Instructores!$A:$D,3,FALSE),"")</f>
        <v/>
      </c>
      <c r="L602" s="11">
        <f>IF('Pairings NB'!J2667=320,4,3)</f>
        <v/>
      </c>
      <c r="M602" s="11">
        <f>'Pairings NB'!$N$2667</f>
        <v/>
      </c>
    </row>
    <row r="603">
      <c r="A603" s="11">
        <f>'Pairings NB'!B2672</f>
        <v/>
      </c>
      <c r="B603" s="11">
        <f>'Pairings NB'!C2672</f>
        <v/>
      </c>
      <c r="C603" s="11">
        <f>'Pairings NB'!D2672</f>
        <v/>
      </c>
      <c r="D603" s="11">
        <f>'Pairings NB'!E2672&amp;"/"&amp;'Pairings NB'!E2673</f>
        <v/>
      </c>
      <c r="E603" s="11">
        <f>'Pairings NB'!F2672&amp;"-"&amp;'Pairings NB'!G2672&amp;"-"&amp;'Pairings NB'!F2672</f>
        <v/>
      </c>
      <c r="F603" s="11">
        <f>IFERROR(VLOOKUP('Pairings NB'!$M$2672,Instructores!$A:$D,2,FALSE),"")</f>
        <v/>
      </c>
      <c r="G603" s="11">
        <f>'Pairings NB'!$M$2672</f>
        <v/>
      </c>
      <c r="H603" s="11">
        <f>IFERROR(VLOOKUP('Pairings NB'!$M$2672,Instructores!$A:$D,4,FALSE),"")</f>
        <v/>
      </c>
      <c r="I603" s="11">
        <f>'Pairings NB'!$O$2672</f>
        <v/>
      </c>
      <c r="J603" s="11">
        <f>'Pairings NB'!J2672</f>
        <v/>
      </c>
      <c r="K603" s="11">
        <f>IFERROR(VLOOKUP('Pairings NB'!$M$2672,Instructores!$A:$D,3,FALSE),"")</f>
        <v/>
      </c>
      <c r="L603" s="11">
        <f>IF('Pairings NB'!J2672=320,4,3)</f>
        <v/>
      </c>
      <c r="M603" s="11">
        <f>'Pairings NB'!$N$2672</f>
        <v/>
      </c>
    </row>
    <row r="604">
      <c r="A604" s="11">
        <f>'Pairings NB'!B2677</f>
        <v/>
      </c>
      <c r="B604" s="11">
        <f>'Pairings NB'!C2677</f>
        <v/>
      </c>
      <c r="C604" s="11">
        <f>'Pairings NB'!D2677</f>
        <v/>
      </c>
      <c r="D604" s="11">
        <f>'Pairings NB'!E2677&amp;"/"&amp;'Pairings NB'!E2678</f>
        <v/>
      </c>
      <c r="E604" s="11">
        <f>'Pairings NB'!F2677&amp;"-"&amp;'Pairings NB'!G2677&amp;"-"&amp;'Pairings NB'!F2677</f>
        <v/>
      </c>
      <c r="F604" s="11">
        <f>IFERROR(VLOOKUP('Pairings NB'!$M$2677,Instructores!$A:$D,2,FALSE),"")</f>
        <v/>
      </c>
      <c r="G604" s="11">
        <f>'Pairings NB'!$M$2677</f>
        <v/>
      </c>
      <c r="H604" s="11">
        <f>IFERROR(VLOOKUP('Pairings NB'!$M$2677,Instructores!$A:$D,4,FALSE),"")</f>
        <v/>
      </c>
      <c r="I604" s="11">
        <f>'Pairings NB'!$O$2677</f>
        <v/>
      </c>
      <c r="J604" s="11">
        <f>'Pairings NB'!J2677</f>
        <v/>
      </c>
      <c r="K604" s="11">
        <f>IFERROR(VLOOKUP('Pairings NB'!$M$2677,Instructores!$A:$D,3,FALSE),"")</f>
        <v/>
      </c>
      <c r="L604" s="11">
        <f>IF('Pairings NB'!J2677=320,4,3)</f>
        <v/>
      </c>
      <c r="M604" s="11">
        <f>'Pairings NB'!$N$2677</f>
        <v/>
      </c>
    </row>
    <row r="605">
      <c r="A605" s="11">
        <f>'Pairings NB'!B2682</f>
        <v/>
      </c>
      <c r="B605" s="11">
        <f>'Pairings NB'!C2682</f>
        <v/>
      </c>
      <c r="C605" s="11">
        <f>'Pairings NB'!D2682</f>
        <v/>
      </c>
      <c r="D605" s="11">
        <f>'Pairings NB'!E2682&amp;"/"&amp;'Pairings NB'!E2683</f>
        <v/>
      </c>
      <c r="E605" s="11">
        <f>'Pairings NB'!F2682&amp;"-"&amp;'Pairings NB'!G2682&amp;"-"&amp;'Pairings NB'!F2682</f>
        <v/>
      </c>
      <c r="F605" s="11">
        <f>IFERROR(VLOOKUP('Pairings NB'!$M$2682,Instructores!$A:$D,2,FALSE),"")</f>
        <v/>
      </c>
      <c r="G605" s="11">
        <f>'Pairings NB'!$M$2682</f>
        <v/>
      </c>
      <c r="H605" s="11">
        <f>IFERROR(VLOOKUP('Pairings NB'!$M$2682,Instructores!$A:$D,4,FALSE),"")</f>
        <v/>
      </c>
      <c r="I605" s="11">
        <f>'Pairings NB'!$O$2682</f>
        <v/>
      </c>
      <c r="J605" s="11">
        <f>'Pairings NB'!J2682</f>
        <v/>
      </c>
      <c r="K605" s="11">
        <f>IFERROR(VLOOKUP('Pairings NB'!$M$2682,Instructores!$A:$D,3,FALSE),"")</f>
        <v/>
      </c>
      <c r="L605" s="11">
        <f>IF('Pairings NB'!J2682=320,4,3)</f>
        <v/>
      </c>
      <c r="M605" s="11">
        <f>'Pairings NB'!$N$2682</f>
        <v/>
      </c>
    </row>
    <row r="606">
      <c r="A606" s="11">
        <f>'Pairings NB'!B2684</f>
        <v/>
      </c>
      <c r="B606" s="11">
        <f>'Pairings NB'!C2684</f>
        <v/>
      </c>
      <c r="C606" s="11">
        <f>'Pairings NB'!D2684</f>
        <v/>
      </c>
      <c r="D606" s="11">
        <f>'Pairings NB'!E2684&amp;"/"&amp;'Pairings NB'!E2685</f>
        <v/>
      </c>
      <c r="E606" s="11">
        <f>'Pairings NB'!F2684&amp;"-"&amp;'Pairings NB'!G2684&amp;"-"&amp;'Pairings NB'!F2684</f>
        <v/>
      </c>
      <c r="F606" s="11">
        <f>IFERROR(VLOOKUP('Pairings NB'!$M$2682,Instructores!$A:$D,2,FALSE),"")</f>
        <v/>
      </c>
      <c r="G606" s="11">
        <f>'Pairings NB'!$M$2682</f>
        <v/>
      </c>
      <c r="H606" s="11">
        <f>IFERROR(VLOOKUP('Pairings NB'!$M$2682,Instructores!$A:$D,4,FALSE),"")</f>
        <v/>
      </c>
      <c r="I606" s="11">
        <f>'Pairings NB'!$O$2682</f>
        <v/>
      </c>
      <c r="J606" s="11">
        <f>'Pairings NB'!J2684</f>
        <v/>
      </c>
      <c r="K606" s="11">
        <f>IFERROR(VLOOKUP('Pairings NB'!$M$2682,Instructores!$A:$D,3,FALSE),"")</f>
        <v/>
      </c>
      <c r="L606" s="11">
        <f>IF('Pairings NB'!J2684=320,4,3)</f>
        <v/>
      </c>
      <c r="M606" s="11">
        <f>'Pairings NB'!$N$2682</f>
        <v/>
      </c>
    </row>
    <row r="607">
      <c r="A607" s="11">
        <f>'Pairings NB'!B2689</f>
        <v/>
      </c>
      <c r="B607" s="11">
        <f>'Pairings NB'!C2689</f>
        <v/>
      </c>
      <c r="C607" s="11">
        <f>'Pairings NB'!D2689</f>
        <v/>
      </c>
      <c r="D607" s="11">
        <f>'Pairings NB'!E2689&amp;"/"&amp;'Pairings NB'!E2690</f>
        <v/>
      </c>
      <c r="E607" s="11">
        <f>'Pairings NB'!F2689&amp;"-"&amp;'Pairings NB'!G2689&amp;"-"&amp;'Pairings NB'!F2689</f>
        <v/>
      </c>
      <c r="F607" s="11">
        <f>IFERROR(VLOOKUP('Pairings NB'!$M$2689,Instructores!$A:$D,2,FALSE),"")</f>
        <v/>
      </c>
      <c r="G607" s="11">
        <f>'Pairings NB'!$M$2689</f>
        <v/>
      </c>
      <c r="H607" s="11">
        <f>IFERROR(VLOOKUP('Pairings NB'!$M$2689,Instructores!$A:$D,4,FALSE),"")</f>
        <v/>
      </c>
      <c r="I607" s="11">
        <f>'Pairings NB'!$O$2689</f>
        <v/>
      </c>
      <c r="J607" s="11">
        <f>'Pairings NB'!J2689</f>
        <v/>
      </c>
      <c r="K607" s="11">
        <f>IFERROR(VLOOKUP('Pairings NB'!$M$2689,Instructores!$A:$D,3,FALSE),"")</f>
        <v/>
      </c>
      <c r="L607" s="11">
        <f>IF('Pairings NB'!J2689=320,4,3)</f>
        <v/>
      </c>
      <c r="M607" s="11">
        <f>'Pairings NB'!$N$2689</f>
        <v/>
      </c>
    </row>
    <row r="608">
      <c r="A608" s="11">
        <f>'Pairings NB'!B2691</f>
        <v/>
      </c>
      <c r="B608" s="11">
        <f>'Pairings NB'!C2691</f>
        <v/>
      </c>
      <c r="C608" s="11">
        <f>'Pairings NB'!D2691</f>
        <v/>
      </c>
      <c r="D608" s="11">
        <f>'Pairings NB'!E2691&amp;"/"&amp;'Pairings NB'!E2692</f>
        <v/>
      </c>
      <c r="E608" s="11">
        <f>'Pairings NB'!F2691&amp;"-"&amp;'Pairings NB'!G2691&amp;"-"&amp;'Pairings NB'!F2691</f>
        <v/>
      </c>
      <c r="F608" s="11">
        <f>IFERROR(VLOOKUP('Pairings NB'!$M$2689,Instructores!$A:$D,2,FALSE),"")</f>
        <v/>
      </c>
      <c r="G608" s="11">
        <f>'Pairings NB'!$M$2689</f>
        <v/>
      </c>
      <c r="H608" s="11">
        <f>IFERROR(VLOOKUP('Pairings NB'!$M$2689,Instructores!$A:$D,4,FALSE),"")</f>
        <v/>
      </c>
      <c r="I608" s="11">
        <f>'Pairings NB'!$O$2689</f>
        <v/>
      </c>
      <c r="J608" s="11">
        <f>'Pairings NB'!J2691</f>
        <v/>
      </c>
      <c r="K608" s="11">
        <f>IFERROR(VLOOKUP('Pairings NB'!$M$2689,Instructores!$A:$D,3,FALSE),"")</f>
        <v/>
      </c>
      <c r="L608" s="11">
        <f>IF('Pairings NB'!J2691=320,4,3)</f>
        <v/>
      </c>
      <c r="M608" s="11">
        <f>'Pairings NB'!$N$2689</f>
        <v/>
      </c>
    </row>
    <row r="609">
      <c r="A609" s="11">
        <f>'Pairings NB'!B2696</f>
        <v/>
      </c>
      <c r="B609" s="11">
        <f>'Pairings NB'!C2696</f>
        <v/>
      </c>
      <c r="C609" s="11">
        <f>'Pairings NB'!D2696</f>
        <v/>
      </c>
      <c r="D609" s="11">
        <f>'Pairings NB'!E2696&amp;"/"&amp;'Pairings NB'!E2697</f>
        <v/>
      </c>
      <c r="E609" s="11">
        <f>'Pairings NB'!F2696&amp;"-"&amp;'Pairings NB'!G2696&amp;"-"&amp;'Pairings NB'!F2696</f>
        <v/>
      </c>
      <c r="F609" s="11">
        <f>IFERROR(VLOOKUP('Pairings NB'!$M$2696,Instructores!$A:$D,2,FALSE),"")</f>
        <v/>
      </c>
      <c r="G609" s="11">
        <f>'Pairings NB'!$M$2696</f>
        <v/>
      </c>
      <c r="H609" s="11">
        <f>IFERROR(VLOOKUP('Pairings NB'!$M$2696,Instructores!$A:$D,4,FALSE),"")</f>
        <v/>
      </c>
      <c r="I609" s="11">
        <f>'Pairings NB'!$O$2696</f>
        <v/>
      </c>
      <c r="J609" s="11">
        <f>'Pairings NB'!J2696</f>
        <v/>
      </c>
      <c r="K609" s="11">
        <f>IFERROR(VLOOKUP('Pairings NB'!$M$2696,Instructores!$A:$D,3,FALSE),"")</f>
        <v/>
      </c>
      <c r="L609" s="11">
        <f>IF('Pairings NB'!J2696=320,4,3)</f>
        <v/>
      </c>
      <c r="M609" s="11">
        <f>'Pairings NB'!$N$2696</f>
        <v/>
      </c>
    </row>
    <row r="610">
      <c r="A610" s="11">
        <f>'Pairings NB'!B2698</f>
        <v/>
      </c>
      <c r="B610" s="11">
        <f>'Pairings NB'!C2698</f>
        <v/>
      </c>
      <c r="C610" s="11">
        <f>'Pairings NB'!D2698</f>
        <v/>
      </c>
      <c r="D610" s="11">
        <f>'Pairings NB'!E2698&amp;"/"&amp;'Pairings NB'!E2699</f>
        <v/>
      </c>
      <c r="E610" s="11">
        <f>'Pairings NB'!F2698&amp;"-"&amp;'Pairings NB'!G2698&amp;"-"&amp;'Pairings NB'!F2698</f>
        <v/>
      </c>
      <c r="F610" s="11">
        <f>IFERROR(VLOOKUP('Pairings NB'!$M$2696,Instructores!$A:$D,2,FALSE),"")</f>
        <v/>
      </c>
      <c r="G610" s="11">
        <f>'Pairings NB'!$M$2696</f>
        <v/>
      </c>
      <c r="H610" s="11">
        <f>IFERROR(VLOOKUP('Pairings NB'!$M$2696,Instructores!$A:$D,4,FALSE),"")</f>
        <v/>
      </c>
      <c r="I610" s="11">
        <f>'Pairings NB'!$O$2696</f>
        <v/>
      </c>
      <c r="J610" s="11">
        <f>'Pairings NB'!J2698</f>
        <v/>
      </c>
      <c r="K610" s="11">
        <f>IFERROR(VLOOKUP('Pairings NB'!$M$2696,Instructores!$A:$D,3,FALSE),"")</f>
        <v/>
      </c>
      <c r="L610" s="11">
        <f>IF('Pairings NB'!J2698=320,4,3)</f>
        <v/>
      </c>
      <c r="M610" s="11">
        <f>'Pairings NB'!$N$2696</f>
        <v/>
      </c>
    </row>
    <row r="611">
      <c r="A611" s="11">
        <f>'Pairings NB'!B2703</f>
        <v/>
      </c>
      <c r="B611" s="11">
        <f>'Pairings NB'!C2703</f>
        <v/>
      </c>
      <c r="C611" s="11">
        <f>'Pairings NB'!D2703</f>
        <v/>
      </c>
      <c r="D611" s="11">
        <f>'Pairings NB'!E2703&amp;"/"&amp;'Pairings NB'!E2704</f>
        <v/>
      </c>
      <c r="E611" s="11">
        <f>'Pairings NB'!F2703&amp;"-"&amp;'Pairings NB'!G2703&amp;"-"&amp;'Pairings NB'!F2703</f>
        <v/>
      </c>
      <c r="F611" s="11">
        <f>IFERROR(VLOOKUP('Pairings NB'!$M$2703,Instructores!$A:$D,2,FALSE),"")</f>
        <v/>
      </c>
      <c r="G611" s="11">
        <f>'Pairings NB'!$M$2703</f>
        <v/>
      </c>
      <c r="H611" s="11">
        <f>IFERROR(VLOOKUP('Pairings NB'!$M$2703,Instructores!$A:$D,4,FALSE),"")</f>
        <v/>
      </c>
      <c r="I611" s="11">
        <f>'Pairings NB'!$O$2703</f>
        <v/>
      </c>
      <c r="J611" s="11">
        <f>'Pairings NB'!J2703</f>
        <v/>
      </c>
      <c r="K611" s="11">
        <f>IFERROR(VLOOKUP('Pairings NB'!$M$2703,Instructores!$A:$D,3,FALSE),"")</f>
        <v/>
      </c>
      <c r="L611" s="11">
        <f>IF('Pairings NB'!J2703=320,4,3)</f>
        <v/>
      </c>
      <c r="M611" s="11">
        <f>'Pairings NB'!$N$2703</f>
        <v/>
      </c>
    </row>
    <row r="612">
      <c r="A612" s="11">
        <f>'Pairings NB'!B2705</f>
        <v/>
      </c>
      <c r="B612" s="11">
        <f>'Pairings NB'!C2705</f>
        <v/>
      </c>
      <c r="C612" s="11">
        <f>'Pairings NB'!D2705</f>
        <v/>
      </c>
      <c r="D612" s="11">
        <f>'Pairings NB'!E2705&amp;"/"&amp;'Pairings NB'!E2706</f>
        <v/>
      </c>
      <c r="E612" s="11">
        <f>'Pairings NB'!F2705&amp;"-"&amp;'Pairings NB'!G2705&amp;"-"&amp;'Pairings NB'!F2705</f>
        <v/>
      </c>
      <c r="F612" s="11">
        <f>IFERROR(VLOOKUP('Pairings NB'!$M$2703,Instructores!$A:$D,2,FALSE),"")</f>
        <v/>
      </c>
      <c r="G612" s="11">
        <f>'Pairings NB'!$M$2703</f>
        <v/>
      </c>
      <c r="H612" s="11">
        <f>IFERROR(VLOOKUP('Pairings NB'!$M$2703,Instructores!$A:$D,4,FALSE),"")</f>
        <v/>
      </c>
      <c r="I612" s="11">
        <f>'Pairings NB'!$O$2703</f>
        <v/>
      </c>
      <c r="J612" s="11">
        <f>'Pairings NB'!J2705</f>
        <v/>
      </c>
      <c r="K612" s="11">
        <f>IFERROR(VLOOKUP('Pairings NB'!$M$2703,Instructores!$A:$D,3,FALSE),"")</f>
        <v/>
      </c>
      <c r="L612" s="11">
        <f>IF('Pairings NB'!J2705=320,4,3)</f>
        <v/>
      </c>
      <c r="M612" s="11">
        <f>'Pairings NB'!$N$2703</f>
        <v/>
      </c>
    </row>
    <row r="613">
      <c r="A613" s="11">
        <f>'Pairings NB'!B2710</f>
        <v/>
      </c>
      <c r="B613" s="11">
        <f>'Pairings NB'!C2710</f>
        <v/>
      </c>
      <c r="C613" s="11">
        <f>'Pairings NB'!D2710</f>
        <v/>
      </c>
      <c r="D613" s="11">
        <f>'Pairings NB'!E2710&amp;"/"&amp;'Pairings NB'!E2711</f>
        <v/>
      </c>
      <c r="E613" s="11">
        <f>'Pairings NB'!F2710&amp;"-"&amp;'Pairings NB'!G2710&amp;"-"&amp;'Pairings NB'!F2710</f>
        <v/>
      </c>
      <c r="F613" s="11">
        <f>IFERROR(VLOOKUP('Pairings NB'!$M$2710,Instructores!$A:$D,2,FALSE),"")</f>
        <v/>
      </c>
      <c r="G613" s="11">
        <f>'Pairings NB'!$M$2710</f>
        <v/>
      </c>
      <c r="H613" s="11">
        <f>IFERROR(VLOOKUP('Pairings NB'!$M$2710,Instructores!$A:$D,4,FALSE),"")</f>
        <v/>
      </c>
      <c r="I613" s="11">
        <f>'Pairings NB'!$O$2710</f>
        <v/>
      </c>
      <c r="J613" s="11">
        <f>'Pairings NB'!J2710</f>
        <v/>
      </c>
      <c r="K613" s="11">
        <f>IFERROR(VLOOKUP('Pairings NB'!$M$2710,Instructores!$A:$D,3,FALSE),"")</f>
        <v/>
      </c>
      <c r="L613" s="11">
        <f>IF('Pairings NB'!J2710=320,4,3)</f>
        <v/>
      </c>
      <c r="M613" s="11">
        <f>'Pairings NB'!$N$2710</f>
        <v/>
      </c>
    </row>
    <row r="614">
      <c r="A614" s="11">
        <f>'Pairings NB'!B2715</f>
        <v/>
      </c>
      <c r="B614" s="11">
        <f>'Pairings NB'!C2715</f>
        <v/>
      </c>
      <c r="C614" s="11">
        <f>'Pairings NB'!D2715</f>
        <v/>
      </c>
      <c r="D614" s="11">
        <f>'Pairings NB'!E2715&amp;"/"&amp;'Pairings NB'!E2716</f>
        <v/>
      </c>
      <c r="E614" s="11">
        <f>'Pairings NB'!F2715&amp;"-"&amp;'Pairings NB'!G2715&amp;"-"&amp;'Pairings NB'!F2715</f>
        <v/>
      </c>
      <c r="F614" s="11">
        <f>IFERROR(VLOOKUP('Pairings NB'!$M$2715,Instructores!$A:$D,2,FALSE),"")</f>
        <v/>
      </c>
      <c r="G614" s="11">
        <f>'Pairings NB'!$M$2715</f>
        <v/>
      </c>
      <c r="H614" s="11">
        <f>IFERROR(VLOOKUP('Pairings NB'!$M$2715,Instructores!$A:$D,4,FALSE),"")</f>
        <v/>
      </c>
      <c r="I614" s="11">
        <f>'Pairings NB'!$O$2715</f>
        <v/>
      </c>
      <c r="J614" s="11">
        <f>'Pairings NB'!J2715</f>
        <v/>
      </c>
      <c r="K614" s="11">
        <f>IFERROR(VLOOKUP('Pairings NB'!$M$2715,Instructores!$A:$D,3,FALSE),"")</f>
        <v/>
      </c>
      <c r="L614" s="11">
        <f>IF('Pairings NB'!J2715=320,4,3)</f>
        <v/>
      </c>
      <c r="M614" s="11">
        <f>'Pairings NB'!$N$2715</f>
        <v/>
      </c>
    </row>
    <row r="615">
      <c r="A615" s="11">
        <f>'Pairings NB'!B2720</f>
        <v/>
      </c>
      <c r="B615" s="11">
        <f>'Pairings NB'!C2720</f>
        <v/>
      </c>
      <c r="C615" s="11">
        <f>'Pairings NB'!D2720</f>
        <v/>
      </c>
      <c r="D615" s="11">
        <f>'Pairings NB'!E2720&amp;"/"&amp;'Pairings NB'!E2721</f>
        <v/>
      </c>
      <c r="E615" s="11">
        <f>'Pairings NB'!F2720&amp;"-"&amp;'Pairings NB'!G2720&amp;"-"&amp;'Pairings NB'!F2720</f>
        <v/>
      </c>
      <c r="F615" s="11">
        <f>IFERROR(VLOOKUP('Pairings NB'!$M$2720,Instructores!$A:$D,2,FALSE),"")</f>
        <v/>
      </c>
      <c r="G615" s="11">
        <f>'Pairings NB'!$M$2720</f>
        <v/>
      </c>
      <c r="H615" s="11">
        <f>IFERROR(VLOOKUP('Pairings NB'!$M$2720,Instructores!$A:$D,4,FALSE),"")</f>
        <v/>
      </c>
      <c r="I615" s="11">
        <f>'Pairings NB'!$O$2720</f>
        <v/>
      </c>
      <c r="J615" s="11">
        <f>'Pairings NB'!J2720</f>
        <v/>
      </c>
      <c r="K615" s="11">
        <f>IFERROR(VLOOKUP('Pairings NB'!$M$2720,Instructores!$A:$D,3,FALSE),"")</f>
        <v/>
      </c>
      <c r="L615" s="11">
        <f>IF('Pairings NB'!J2720=320,4,3)</f>
        <v/>
      </c>
      <c r="M615" s="11">
        <f>'Pairings NB'!$N$2720</f>
        <v/>
      </c>
    </row>
    <row r="616">
      <c r="A616" s="11">
        <f>'Pairings NB'!B2725</f>
        <v/>
      </c>
      <c r="B616" s="11">
        <f>'Pairings NB'!C2725</f>
        <v/>
      </c>
      <c r="C616" s="11">
        <f>'Pairings NB'!D2725</f>
        <v/>
      </c>
      <c r="D616" s="11">
        <f>'Pairings NB'!E2725&amp;"/"&amp;'Pairings NB'!E2726</f>
        <v/>
      </c>
      <c r="E616" s="11">
        <f>'Pairings NB'!F2725&amp;"-"&amp;'Pairings NB'!G2725&amp;"-"&amp;'Pairings NB'!F2725</f>
        <v/>
      </c>
      <c r="F616" s="11">
        <f>IFERROR(VLOOKUP('Pairings NB'!$M$2725,Instructores!$A:$D,2,FALSE),"")</f>
        <v/>
      </c>
      <c r="G616" s="11">
        <f>'Pairings NB'!$M$2725</f>
        <v/>
      </c>
      <c r="H616" s="11">
        <f>IFERROR(VLOOKUP('Pairings NB'!$M$2725,Instructores!$A:$D,4,FALSE),"")</f>
        <v/>
      </c>
      <c r="I616" s="11">
        <f>'Pairings NB'!$O$2725</f>
        <v/>
      </c>
      <c r="J616" s="11">
        <f>'Pairings NB'!J2725</f>
        <v/>
      </c>
      <c r="K616" s="11">
        <f>IFERROR(VLOOKUP('Pairings NB'!$M$2725,Instructores!$A:$D,3,FALSE),"")</f>
        <v/>
      </c>
      <c r="L616" s="11">
        <f>IF('Pairings NB'!J2725=320,4,3)</f>
        <v/>
      </c>
      <c r="M616" s="11">
        <f>'Pairings NB'!$N$2725</f>
        <v/>
      </c>
    </row>
    <row r="617">
      <c r="A617" s="11">
        <f>'Pairings NB'!B2730</f>
        <v/>
      </c>
      <c r="B617" s="11">
        <f>'Pairings NB'!C2730</f>
        <v/>
      </c>
      <c r="C617" s="11">
        <f>'Pairings NB'!D2730</f>
        <v/>
      </c>
      <c r="D617" s="11">
        <f>'Pairings NB'!E2730&amp;"/"&amp;'Pairings NB'!E2731</f>
        <v/>
      </c>
      <c r="E617" s="11">
        <f>'Pairings NB'!F2730&amp;"-"&amp;'Pairings NB'!G2730&amp;"-"&amp;'Pairings NB'!F2730</f>
        <v/>
      </c>
      <c r="F617" s="11">
        <f>IFERROR(VLOOKUP('Pairings NB'!$M$2730,Instructores!$A:$D,2,FALSE),"")</f>
        <v/>
      </c>
      <c r="G617" s="11">
        <f>'Pairings NB'!$M$2730</f>
        <v/>
      </c>
      <c r="H617" s="11">
        <f>IFERROR(VLOOKUP('Pairings NB'!$M$2730,Instructores!$A:$D,4,FALSE),"")</f>
        <v/>
      </c>
      <c r="I617" s="11">
        <f>'Pairings NB'!$O$2730</f>
        <v/>
      </c>
      <c r="J617" s="11">
        <f>'Pairings NB'!J2730</f>
        <v/>
      </c>
      <c r="K617" s="11">
        <f>IFERROR(VLOOKUP('Pairings NB'!$M$2730,Instructores!$A:$D,3,FALSE),"")</f>
        <v/>
      </c>
      <c r="L617" s="11">
        <f>IF('Pairings NB'!J2730=320,4,3)</f>
        <v/>
      </c>
      <c r="M617" s="11">
        <f>'Pairings NB'!$N$2730</f>
        <v/>
      </c>
    </row>
    <row r="618">
      <c r="A618" s="11">
        <f>'Pairings NB'!B2735</f>
        <v/>
      </c>
      <c r="B618" s="11">
        <f>'Pairings NB'!C2735</f>
        <v/>
      </c>
      <c r="C618" s="11">
        <f>'Pairings NB'!D2735</f>
        <v/>
      </c>
      <c r="D618" s="11">
        <f>'Pairings NB'!E2735&amp;"/"&amp;'Pairings NB'!E2736</f>
        <v/>
      </c>
      <c r="E618" s="11">
        <f>'Pairings NB'!F2735&amp;"-"&amp;'Pairings NB'!G2735&amp;"-"&amp;'Pairings NB'!F2735</f>
        <v/>
      </c>
      <c r="F618" s="11">
        <f>IFERROR(VLOOKUP('Pairings NB'!$M$2735,Instructores!$A:$D,2,FALSE),"")</f>
        <v/>
      </c>
      <c r="G618" s="11">
        <f>'Pairings NB'!$M$2735</f>
        <v/>
      </c>
      <c r="H618" s="11">
        <f>IFERROR(VLOOKUP('Pairings NB'!$M$2735,Instructores!$A:$D,4,FALSE),"")</f>
        <v/>
      </c>
      <c r="I618" s="11">
        <f>'Pairings NB'!$O$2735</f>
        <v/>
      </c>
      <c r="J618" s="11">
        <f>'Pairings NB'!J2735</f>
        <v/>
      </c>
      <c r="K618" s="11">
        <f>IFERROR(VLOOKUP('Pairings NB'!$M$2735,Instructores!$A:$D,3,FALSE),"")</f>
        <v/>
      </c>
      <c r="L618" s="11">
        <f>IF('Pairings NB'!J2735=320,4,3)</f>
        <v/>
      </c>
      <c r="M618" s="11">
        <f>'Pairings NB'!$N$2735</f>
        <v/>
      </c>
    </row>
    <row r="619">
      <c r="A619" s="11">
        <f>'Pairings NB'!B2740</f>
        <v/>
      </c>
      <c r="B619" s="11">
        <f>'Pairings NB'!C2740</f>
        <v/>
      </c>
      <c r="C619" s="11">
        <f>'Pairings NB'!D2740</f>
        <v/>
      </c>
      <c r="D619" s="11">
        <f>'Pairings NB'!E2740&amp;"/"&amp;'Pairings NB'!E2741</f>
        <v/>
      </c>
      <c r="E619" s="11">
        <f>'Pairings NB'!F2740&amp;"-"&amp;'Pairings NB'!G2740&amp;"-"&amp;'Pairings NB'!F2740</f>
        <v/>
      </c>
      <c r="F619" s="11">
        <f>IFERROR(VLOOKUP('Pairings NB'!$M$2740,Instructores!$A:$D,2,FALSE),"")</f>
        <v/>
      </c>
      <c r="G619" s="11">
        <f>'Pairings NB'!$M$2740</f>
        <v/>
      </c>
      <c r="H619" s="11">
        <f>IFERROR(VLOOKUP('Pairings NB'!$M$2740,Instructores!$A:$D,4,FALSE),"")</f>
        <v/>
      </c>
      <c r="I619" s="11">
        <f>'Pairings NB'!$O$2740</f>
        <v/>
      </c>
      <c r="J619" s="11">
        <f>'Pairings NB'!J2740</f>
        <v/>
      </c>
      <c r="K619" s="11">
        <f>IFERROR(VLOOKUP('Pairings NB'!$M$2740,Instructores!$A:$D,3,FALSE),"")</f>
        <v/>
      </c>
      <c r="L619" s="11">
        <f>IF('Pairings NB'!J2740=320,4,3)</f>
        <v/>
      </c>
      <c r="M619" s="11">
        <f>'Pairings NB'!$N$2740</f>
        <v/>
      </c>
    </row>
    <row r="620">
      <c r="A620" s="11">
        <f>'Pairings NB'!B2745</f>
        <v/>
      </c>
      <c r="B620" s="11">
        <f>'Pairings NB'!C2745</f>
        <v/>
      </c>
      <c r="C620" s="11">
        <f>'Pairings NB'!D2745</f>
        <v/>
      </c>
      <c r="D620" s="11">
        <f>'Pairings NB'!E2745&amp;"/"&amp;'Pairings NB'!E2746</f>
        <v/>
      </c>
      <c r="E620" s="11">
        <f>'Pairings NB'!F2745&amp;"-"&amp;'Pairings NB'!G2745&amp;"-"&amp;'Pairings NB'!F2745</f>
        <v/>
      </c>
      <c r="F620" s="11">
        <f>IFERROR(VLOOKUP('Pairings NB'!$M$2745,Instructores!$A:$D,2,FALSE),"")</f>
        <v/>
      </c>
      <c r="G620" s="11">
        <f>'Pairings NB'!$M$2745</f>
        <v/>
      </c>
      <c r="H620" s="11">
        <f>IFERROR(VLOOKUP('Pairings NB'!$M$2745,Instructores!$A:$D,4,FALSE),"")</f>
        <v/>
      </c>
      <c r="I620" s="11">
        <f>'Pairings NB'!$O$2745</f>
        <v/>
      </c>
      <c r="J620" s="11">
        <f>'Pairings NB'!J2745</f>
        <v/>
      </c>
      <c r="K620" s="11">
        <f>IFERROR(VLOOKUP('Pairings NB'!$M$2745,Instructores!$A:$D,3,FALSE),"")</f>
        <v/>
      </c>
      <c r="L620" s="11">
        <f>IF('Pairings NB'!J2745=320,4,3)</f>
        <v/>
      </c>
      <c r="M620" s="11">
        <f>'Pairings NB'!$N$2745</f>
        <v/>
      </c>
    </row>
    <row r="621">
      <c r="A621" s="11">
        <f>'Pairings NB'!B2750</f>
        <v/>
      </c>
      <c r="B621" s="11">
        <f>'Pairings NB'!C2750</f>
        <v/>
      </c>
      <c r="C621" s="11">
        <f>'Pairings NB'!D2750</f>
        <v/>
      </c>
      <c r="D621" s="11">
        <f>'Pairings NB'!E2750&amp;"/"&amp;'Pairings NB'!E2751</f>
        <v/>
      </c>
      <c r="E621" s="11">
        <f>'Pairings NB'!F2750&amp;"-"&amp;'Pairings NB'!G2750&amp;"-"&amp;'Pairings NB'!F2750</f>
        <v/>
      </c>
      <c r="F621" s="11">
        <f>IFERROR(VLOOKUP('Pairings NB'!$M$2750,Instructores!$A:$D,2,FALSE),"")</f>
        <v/>
      </c>
      <c r="G621" s="11">
        <f>'Pairings NB'!$M$2750</f>
        <v/>
      </c>
      <c r="H621" s="11">
        <f>IFERROR(VLOOKUP('Pairings NB'!$M$2750,Instructores!$A:$D,4,FALSE),"")</f>
        <v/>
      </c>
      <c r="I621" s="11">
        <f>'Pairings NB'!$O$2750</f>
        <v/>
      </c>
      <c r="J621" s="11">
        <f>'Pairings NB'!J2750</f>
        <v/>
      </c>
      <c r="K621" s="11">
        <f>IFERROR(VLOOKUP('Pairings NB'!$M$2750,Instructores!$A:$D,3,FALSE),"")</f>
        <v/>
      </c>
      <c r="L621" s="11">
        <f>IF('Pairings NB'!J2750=320,4,3)</f>
        <v/>
      </c>
      <c r="M621" s="11">
        <f>'Pairings NB'!$N$2750</f>
        <v/>
      </c>
    </row>
    <row r="622">
      <c r="A622" s="11">
        <f>'Pairings NB'!B2755</f>
        <v/>
      </c>
      <c r="B622" s="11">
        <f>'Pairings NB'!C2755</f>
        <v/>
      </c>
      <c r="C622" s="11">
        <f>'Pairings NB'!D2755</f>
        <v/>
      </c>
      <c r="D622" s="11">
        <f>'Pairings NB'!E2755&amp;"/"&amp;'Pairings NB'!E2756</f>
        <v/>
      </c>
      <c r="E622" s="11">
        <f>'Pairings NB'!F2755&amp;"-"&amp;'Pairings NB'!G2755&amp;"-"&amp;'Pairings NB'!F2755</f>
        <v/>
      </c>
      <c r="F622" s="11">
        <f>IFERROR(VLOOKUP('Pairings NB'!$M$2755,Instructores!$A:$D,2,FALSE),"")</f>
        <v/>
      </c>
      <c r="G622" s="11">
        <f>'Pairings NB'!$M$2755</f>
        <v/>
      </c>
      <c r="H622" s="11">
        <f>IFERROR(VLOOKUP('Pairings NB'!$M$2755,Instructores!$A:$D,4,FALSE),"")</f>
        <v/>
      </c>
      <c r="I622" s="11">
        <f>'Pairings NB'!$O$2755</f>
        <v/>
      </c>
      <c r="J622" s="11">
        <f>'Pairings NB'!J2755</f>
        <v/>
      </c>
      <c r="K622" s="11">
        <f>IFERROR(VLOOKUP('Pairings NB'!$M$2755,Instructores!$A:$D,3,FALSE),"")</f>
        <v/>
      </c>
      <c r="L622" s="11">
        <f>IF('Pairings NB'!J2755=320,4,3)</f>
        <v/>
      </c>
      <c r="M622" s="11">
        <f>'Pairings NB'!$N$2755</f>
        <v/>
      </c>
    </row>
    <row r="623">
      <c r="A623" s="11">
        <f>'Pairings NB'!B2760</f>
        <v/>
      </c>
      <c r="B623" s="11">
        <f>'Pairings NB'!C2760</f>
        <v/>
      </c>
      <c r="C623" s="11">
        <f>'Pairings NB'!D2760</f>
        <v/>
      </c>
      <c r="D623" s="11">
        <f>'Pairings NB'!E2760&amp;"/"&amp;'Pairings NB'!E2761</f>
        <v/>
      </c>
      <c r="E623" s="11">
        <f>'Pairings NB'!F2760&amp;"-"&amp;'Pairings NB'!G2760&amp;"-"&amp;'Pairings NB'!F2760</f>
        <v/>
      </c>
      <c r="F623" s="11">
        <f>IFERROR(VLOOKUP('Pairings NB'!$M$2760,Instructores!$A:$D,2,FALSE),"")</f>
        <v/>
      </c>
      <c r="G623" s="11">
        <f>'Pairings NB'!$M$2760</f>
        <v/>
      </c>
      <c r="H623" s="11">
        <f>IFERROR(VLOOKUP('Pairings NB'!$M$2760,Instructores!$A:$D,4,FALSE),"")</f>
        <v/>
      </c>
      <c r="I623" s="11">
        <f>'Pairings NB'!$O$2760</f>
        <v/>
      </c>
      <c r="J623" s="11">
        <f>'Pairings NB'!J2760</f>
        <v/>
      </c>
      <c r="K623" s="11">
        <f>IFERROR(VLOOKUP('Pairings NB'!$M$2760,Instructores!$A:$D,3,FALSE),"")</f>
        <v/>
      </c>
      <c r="L623" s="11">
        <f>IF('Pairings NB'!J2760=320,4,3)</f>
        <v/>
      </c>
      <c r="M623" s="11">
        <f>'Pairings NB'!$N$2760</f>
        <v/>
      </c>
    </row>
    <row r="624">
      <c r="A624" s="11">
        <f>'Pairings NB'!B2765</f>
        <v/>
      </c>
      <c r="B624" s="11">
        <f>'Pairings NB'!C2765</f>
        <v/>
      </c>
      <c r="C624" s="11">
        <f>'Pairings NB'!D2765</f>
        <v/>
      </c>
      <c r="D624" s="11">
        <f>'Pairings NB'!E2765&amp;"/"&amp;'Pairings NB'!E2766</f>
        <v/>
      </c>
      <c r="E624" s="11">
        <f>'Pairings NB'!F2765&amp;"-"&amp;'Pairings NB'!G2765&amp;"-"&amp;'Pairings NB'!F2765</f>
        <v/>
      </c>
      <c r="F624" s="11">
        <f>IFERROR(VLOOKUP('Pairings NB'!$M$2765,Instructores!$A:$D,2,FALSE),"")</f>
        <v/>
      </c>
      <c r="G624" s="11">
        <f>'Pairings NB'!$M$2765</f>
        <v/>
      </c>
      <c r="H624" s="11">
        <f>IFERROR(VLOOKUP('Pairings NB'!$M$2765,Instructores!$A:$D,4,FALSE),"")</f>
        <v/>
      </c>
      <c r="I624" s="11">
        <f>'Pairings NB'!$O$2765</f>
        <v/>
      </c>
      <c r="J624" s="11">
        <f>'Pairings NB'!J2765</f>
        <v/>
      </c>
      <c r="K624" s="11">
        <f>IFERROR(VLOOKUP('Pairings NB'!$M$2765,Instructores!$A:$D,3,FALSE),"")</f>
        <v/>
      </c>
      <c r="L624" s="11">
        <f>IF('Pairings NB'!J2765=320,4,3)</f>
        <v/>
      </c>
      <c r="M624" s="11">
        <f>'Pairings NB'!$N$2765</f>
        <v/>
      </c>
    </row>
    <row r="625">
      <c r="A625" s="11">
        <f>'Pairings NB'!B2770</f>
        <v/>
      </c>
      <c r="B625" s="11">
        <f>'Pairings NB'!C2770</f>
        <v/>
      </c>
      <c r="C625" s="11">
        <f>'Pairings NB'!D2770</f>
        <v/>
      </c>
      <c r="D625" s="11">
        <f>'Pairings NB'!E2770&amp;"/"&amp;'Pairings NB'!E2771</f>
        <v/>
      </c>
      <c r="E625" s="11">
        <f>'Pairings NB'!F2770&amp;"-"&amp;'Pairings NB'!G2770&amp;"-"&amp;'Pairings NB'!F2770</f>
        <v/>
      </c>
      <c r="F625" s="11">
        <f>IFERROR(VLOOKUP('Pairings NB'!$M$2770,Instructores!$A:$D,2,FALSE),"")</f>
        <v/>
      </c>
      <c r="G625" s="11">
        <f>'Pairings NB'!$M$2770</f>
        <v/>
      </c>
      <c r="H625" s="11">
        <f>IFERROR(VLOOKUP('Pairings NB'!$M$2770,Instructores!$A:$D,4,FALSE),"")</f>
        <v/>
      </c>
      <c r="I625" s="11">
        <f>'Pairings NB'!$O$2770</f>
        <v/>
      </c>
      <c r="J625" s="11">
        <f>'Pairings NB'!J2770</f>
        <v/>
      </c>
      <c r="K625" s="11">
        <f>IFERROR(VLOOKUP('Pairings NB'!$M$2770,Instructores!$A:$D,3,FALSE),"")</f>
        <v/>
      </c>
      <c r="L625" s="11">
        <f>IF('Pairings NB'!J2770=320,4,3)</f>
        <v/>
      </c>
      <c r="M625" s="11">
        <f>'Pairings NB'!$N$2770</f>
        <v/>
      </c>
    </row>
    <row r="626">
      <c r="A626" s="11">
        <f>'Pairings NB'!B2775</f>
        <v/>
      </c>
      <c r="B626" s="11">
        <f>'Pairings NB'!C2775</f>
        <v/>
      </c>
      <c r="C626" s="11">
        <f>'Pairings NB'!D2775</f>
        <v/>
      </c>
      <c r="D626" s="11">
        <f>'Pairings NB'!E2775&amp;"/"&amp;'Pairings NB'!E2776</f>
        <v/>
      </c>
      <c r="E626" s="11">
        <f>'Pairings NB'!F2775&amp;"-"&amp;'Pairings NB'!G2775&amp;"-"&amp;'Pairings NB'!F2775</f>
        <v/>
      </c>
      <c r="F626" s="11">
        <f>IFERROR(VLOOKUP('Pairings NB'!$M$2775,Instructores!$A:$D,2,FALSE),"")</f>
        <v/>
      </c>
      <c r="G626" s="11">
        <f>'Pairings NB'!$M$2775</f>
        <v/>
      </c>
      <c r="H626" s="11">
        <f>IFERROR(VLOOKUP('Pairings NB'!$M$2775,Instructores!$A:$D,4,FALSE),"")</f>
        <v/>
      </c>
      <c r="I626" s="11">
        <f>'Pairings NB'!$O$2775</f>
        <v/>
      </c>
      <c r="J626" s="11">
        <f>'Pairings NB'!J2775</f>
        <v/>
      </c>
      <c r="K626" s="11">
        <f>IFERROR(VLOOKUP('Pairings NB'!$M$2775,Instructores!$A:$D,3,FALSE),"")</f>
        <v/>
      </c>
      <c r="L626" s="11">
        <f>IF('Pairings NB'!J2775=320,4,3)</f>
        <v/>
      </c>
      <c r="M626" s="11">
        <f>'Pairings NB'!$N$2775</f>
        <v/>
      </c>
    </row>
    <row r="627">
      <c r="A627" s="11">
        <f>'Pairings NB'!B2780</f>
        <v/>
      </c>
      <c r="B627" s="11">
        <f>'Pairings NB'!C2780</f>
        <v/>
      </c>
      <c r="C627" s="11">
        <f>'Pairings NB'!D2780</f>
        <v/>
      </c>
      <c r="D627" s="11">
        <f>'Pairings NB'!E2780&amp;"/"&amp;'Pairings NB'!E2781</f>
        <v/>
      </c>
      <c r="E627" s="11">
        <f>'Pairings NB'!F2780&amp;"-"&amp;'Pairings NB'!G2780&amp;"-"&amp;'Pairings NB'!F2780</f>
        <v/>
      </c>
      <c r="F627" s="11">
        <f>IFERROR(VLOOKUP('Pairings NB'!$M$2780,Instructores!$A:$D,2,FALSE),"")</f>
        <v/>
      </c>
      <c r="G627" s="11">
        <f>'Pairings NB'!$M$2780</f>
        <v/>
      </c>
      <c r="H627" s="11">
        <f>IFERROR(VLOOKUP('Pairings NB'!$M$2780,Instructores!$A:$D,4,FALSE),"")</f>
        <v/>
      </c>
      <c r="I627" s="11">
        <f>'Pairings NB'!$O$2780</f>
        <v/>
      </c>
      <c r="J627" s="11">
        <f>'Pairings NB'!J2780</f>
        <v/>
      </c>
      <c r="K627" s="11">
        <f>IFERROR(VLOOKUP('Pairings NB'!$M$2780,Instructores!$A:$D,3,FALSE),"")</f>
        <v/>
      </c>
      <c r="L627" s="11">
        <f>IF('Pairings NB'!J2780=320,4,3)</f>
        <v/>
      </c>
      <c r="M627" s="11">
        <f>'Pairings NB'!$N$2780</f>
        <v/>
      </c>
    </row>
    <row r="628">
      <c r="A628" s="11">
        <f>'Pairings NB'!B2785</f>
        <v/>
      </c>
      <c r="B628" s="11">
        <f>'Pairings NB'!C2785</f>
        <v/>
      </c>
      <c r="C628" s="11">
        <f>'Pairings NB'!D2785</f>
        <v/>
      </c>
      <c r="D628" s="11">
        <f>'Pairings NB'!E2785&amp;"/"&amp;'Pairings NB'!E2786</f>
        <v/>
      </c>
      <c r="E628" s="11">
        <f>'Pairings NB'!F2785&amp;"-"&amp;'Pairings NB'!G2785&amp;"-"&amp;'Pairings NB'!F2785</f>
        <v/>
      </c>
      <c r="F628" s="11">
        <f>IFERROR(VLOOKUP('Pairings NB'!$M$2785,Instructores!$A:$D,2,FALSE),"")</f>
        <v/>
      </c>
      <c r="G628" s="11">
        <f>'Pairings NB'!$M$2785</f>
        <v/>
      </c>
      <c r="H628" s="11">
        <f>IFERROR(VLOOKUP('Pairings NB'!$M$2785,Instructores!$A:$D,4,FALSE),"")</f>
        <v/>
      </c>
      <c r="I628" s="11">
        <f>'Pairings NB'!$O$2785</f>
        <v/>
      </c>
      <c r="J628" s="11">
        <f>'Pairings NB'!J2785</f>
        <v/>
      </c>
      <c r="K628" s="11">
        <f>IFERROR(VLOOKUP('Pairings NB'!$M$2785,Instructores!$A:$D,3,FALSE),"")</f>
        <v/>
      </c>
      <c r="L628" s="11">
        <f>IF('Pairings NB'!J2785=320,4,3)</f>
        <v/>
      </c>
      <c r="M628" s="11">
        <f>'Pairings NB'!$N$2785</f>
        <v/>
      </c>
    </row>
    <row r="629">
      <c r="A629" s="11">
        <f>'Pairings NB'!B2790</f>
        <v/>
      </c>
      <c r="B629" s="11">
        <f>'Pairings NB'!C2790</f>
        <v/>
      </c>
      <c r="C629" s="11">
        <f>'Pairings NB'!D2790</f>
        <v/>
      </c>
      <c r="D629" s="11">
        <f>'Pairings NB'!E2790&amp;"/"&amp;'Pairings NB'!E2791</f>
        <v/>
      </c>
      <c r="E629" s="11">
        <f>'Pairings NB'!F2790&amp;"-"&amp;'Pairings NB'!G2790&amp;"-"&amp;'Pairings NB'!F2790</f>
        <v/>
      </c>
      <c r="F629" s="11">
        <f>IFERROR(VLOOKUP('Pairings NB'!$M$2790,Instructores!$A:$D,2,FALSE),"")</f>
        <v/>
      </c>
      <c r="G629" s="11">
        <f>'Pairings NB'!$M$2790</f>
        <v/>
      </c>
      <c r="H629" s="11">
        <f>IFERROR(VLOOKUP('Pairings NB'!$M$2790,Instructores!$A:$D,4,FALSE),"")</f>
        <v/>
      </c>
      <c r="I629" s="11">
        <f>'Pairings NB'!$O$2790</f>
        <v/>
      </c>
      <c r="J629" s="11">
        <f>'Pairings NB'!J2790</f>
        <v/>
      </c>
      <c r="K629" s="11">
        <f>IFERROR(VLOOKUP('Pairings NB'!$M$2790,Instructores!$A:$D,3,FALSE),"")</f>
        <v/>
      </c>
      <c r="L629" s="11">
        <f>IF('Pairings NB'!J2790=320,4,3)</f>
        <v/>
      </c>
      <c r="M629" s="11">
        <f>'Pairings NB'!$N$2790</f>
        <v/>
      </c>
    </row>
    <row r="630">
      <c r="A630" s="11">
        <f>'Pairings NB'!B2795</f>
        <v/>
      </c>
      <c r="B630" s="11">
        <f>'Pairings NB'!C2795</f>
        <v/>
      </c>
      <c r="C630" s="11">
        <f>'Pairings NB'!D2795</f>
        <v/>
      </c>
      <c r="D630" s="11">
        <f>'Pairings NB'!E2795&amp;"/"&amp;'Pairings NB'!E2796</f>
        <v/>
      </c>
      <c r="E630" s="11">
        <f>'Pairings NB'!F2795&amp;"-"&amp;'Pairings NB'!G2795&amp;"-"&amp;'Pairings NB'!F2795</f>
        <v/>
      </c>
      <c r="F630" s="11">
        <f>IFERROR(VLOOKUP('Pairings NB'!$M$2795,Instructores!$A:$D,2,FALSE),"")</f>
        <v/>
      </c>
      <c r="G630" s="11">
        <f>'Pairings NB'!$M$2795</f>
        <v/>
      </c>
      <c r="H630" s="11">
        <f>IFERROR(VLOOKUP('Pairings NB'!$M$2795,Instructores!$A:$D,4,FALSE),"")</f>
        <v/>
      </c>
      <c r="I630" s="11">
        <f>'Pairings NB'!$O$2795</f>
        <v/>
      </c>
      <c r="J630" s="11">
        <f>'Pairings NB'!J2795</f>
        <v/>
      </c>
      <c r="K630" s="11">
        <f>IFERROR(VLOOKUP('Pairings NB'!$M$2795,Instructores!$A:$D,3,FALSE),"")</f>
        <v/>
      </c>
      <c r="L630" s="11">
        <f>IF('Pairings NB'!J2795=320,4,3)</f>
        <v/>
      </c>
      <c r="M630" s="11">
        <f>'Pairings NB'!$N$2795</f>
        <v/>
      </c>
    </row>
  </sheetData>
  <autoFilter ref="A1:M6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2" topLeftCell="A3" activePane="bottomLeft" state="frozen"/>
      <selection pane="bottomLeft" activeCell="A1" sqref="A1"/>
    </sheetView>
  </sheetViews>
  <sheetFormatPr baseColWidth="8" defaultRowHeight="15"/>
  <cols>
    <col width="14" customWidth="1" min="1" max="1"/>
    <col width="8" customWidth="1" min="2" max="2"/>
    <col width="22" customWidth="1" min="3" max="3"/>
    <col width="14" customWidth="1" min="4" max="4"/>
    <col width="24" customWidth="1" min="5" max="5"/>
    <col width="26" customWidth="1" min="6" max="6"/>
    <col width="12" customWidth="1" min="7" max="7"/>
    <col width="20" customWidth="1" min="8" max="8"/>
  </cols>
  <sheetData>
    <row r="1">
      <c r="A1" s="2" t="inlineStr">
        <is>
          <t>*** DATOS FICTICIOS DE EJEMPLO — no son tripulantes reales. Generado para demostrar el automatismo de asignación. Reemplazar por el archivo real del roster del mes + historial de reva del mes anterior. ***</t>
        </is>
      </c>
    </row>
    <row r="2">
      <c r="A2" s="12" t="inlineStr">
        <is>
          <t>BP (ficticio)</t>
        </is>
      </c>
      <c r="B2" s="12" t="inlineStr">
        <is>
          <t>CAT</t>
        </is>
      </c>
      <c r="C2" s="12" t="inlineStr">
        <is>
          <t>Nombre (ficticio)</t>
        </is>
      </c>
      <c r="D2" s="12" t="inlineStr">
        <is>
          <t>OBS FREEZE</t>
        </is>
      </c>
      <c r="E2" s="12" t="inlineStr">
        <is>
          <t>Reva mes anterior (INS, ficticio)</t>
        </is>
      </c>
      <c r="F2" s="12" t="inlineStr">
        <is>
          <t>Instructor asignado SET (simulado)</t>
        </is>
      </c>
      <c r="G2" s="12" t="inlineStr">
        <is>
          <t>Grupo INS asignado</t>
        </is>
      </c>
      <c r="H2" s="12" t="inlineStr">
        <is>
          <t>¿Programado este bloque?</t>
        </is>
      </c>
    </row>
    <row r="3">
      <c r="A3" s="11" t="n">
        <v>9000001</v>
      </c>
      <c r="B3" s="11" t="inlineStr">
        <is>
          <t>TCA</t>
        </is>
      </c>
      <c r="C3" s="11" t="inlineStr">
        <is>
          <t>Tripulante Ejemplo 01</t>
        </is>
      </c>
      <c r="D3" s="11" t="inlineStr">
        <is>
          <t>LCK P1</t>
        </is>
      </c>
      <c r="E3" s="11" t="inlineStr"/>
      <c r="F3" s="11" t="inlineStr">
        <is>
          <t>Christian Rondon</t>
        </is>
      </c>
      <c r="G3" s="11" t="inlineStr">
        <is>
          <t>Grupo 1</t>
        </is>
      </c>
      <c r="H3" s="11" t="inlineStr">
        <is>
          <t>SI</t>
        </is>
      </c>
    </row>
    <row r="4">
      <c r="A4" s="11" t="n">
        <v>9000002</v>
      </c>
      <c r="B4" s="11" t="inlineStr">
        <is>
          <t>TCA</t>
        </is>
      </c>
      <c r="C4" s="11" t="inlineStr">
        <is>
          <t>Tripulante Ejemplo 02</t>
        </is>
      </c>
      <c r="D4" s="11" t="inlineStr">
        <is>
          <t>LCK P1</t>
        </is>
      </c>
      <c r="E4" s="11" t="inlineStr">
        <is>
          <t>Fiorella Ruiz</t>
        </is>
      </c>
      <c r="F4" s="11" t="inlineStr">
        <is>
          <t>Christian Rondon</t>
        </is>
      </c>
      <c r="G4" s="11" t="inlineStr">
        <is>
          <t>Grupo 1</t>
        </is>
      </c>
      <c r="H4" s="11" t="inlineStr">
        <is>
          <t>SI</t>
        </is>
      </c>
    </row>
    <row r="5">
      <c r="A5" s="11" t="n">
        <v>9000003</v>
      </c>
      <c r="B5" s="11" t="inlineStr">
        <is>
          <t>JSBA</t>
        </is>
      </c>
      <c r="C5" s="11" t="inlineStr">
        <is>
          <t>Tripulante Ejemplo 03</t>
        </is>
      </c>
      <c r="D5" s="11" t="inlineStr">
        <is>
          <t>LCK P1</t>
        </is>
      </c>
      <c r="E5" s="11" t="inlineStr"/>
      <c r="F5" s="11" t="inlineStr">
        <is>
          <t>Christian Rondon</t>
        </is>
      </c>
      <c r="G5" s="11" t="inlineStr">
        <is>
          <t>Grupo 1</t>
        </is>
      </c>
      <c r="H5" s="11" t="inlineStr">
        <is>
          <t>SI</t>
        </is>
      </c>
    </row>
    <row r="6">
      <c r="A6" s="11" t="n">
        <v>9000004</v>
      </c>
      <c r="B6" s="11" t="inlineStr">
        <is>
          <t>TCA</t>
        </is>
      </c>
      <c r="C6" s="11" t="inlineStr">
        <is>
          <t>Tripulante Ejemplo 04</t>
        </is>
      </c>
      <c r="D6" s="11" t="inlineStr">
        <is>
          <t>LCK P1</t>
        </is>
      </c>
      <c r="E6" s="11" t="inlineStr">
        <is>
          <t>Sebastian Correa</t>
        </is>
      </c>
      <c r="F6" s="11" t="inlineStr">
        <is>
          <t>Christian Rondon</t>
        </is>
      </c>
      <c r="G6" s="11" t="inlineStr">
        <is>
          <t>Grupo 1</t>
        </is>
      </c>
      <c r="H6" s="11" t="inlineStr">
        <is>
          <t>SI</t>
        </is>
      </c>
    </row>
    <row r="7">
      <c r="A7" s="11" t="n">
        <v>9000005</v>
      </c>
      <c r="B7" s="11" t="inlineStr">
        <is>
          <t>JSBA</t>
        </is>
      </c>
      <c r="C7" s="11" t="inlineStr">
        <is>
          <t>Tripulante Ejemplo 05</t>
        </is>
      </c>
      <c r="D7" s="11" t="inlineStr">
        <is>
          <t>LCK PRORROGA</t>
        </is>
      </c>
      <c r="E7" s="11" t="inlineStr">
        <is>
          <t>Sebastian Correa</t>
        </is>
      </c>
      <c r="F7" s="11" t="inlineStr">
        <is>
          <t>Fiorella Ruiz</t>
        </is>
      </c>
      <c r="G7" s="11" t="inlineStr">
        <is>
          <t>Grupo 1</t>
        </is>
      </c>
      <c r="H7" s="11" t="inlineStr">
        <is>
          <t>SI</t>
        </is>
      </c>
    </row>
    <row r="8">
      <c r="A8" s="11" t="n">
        <v>9000006</v>
      </c>
      <c r="B8" s="11" t="inlineStr">
        <is>
          <t>JSBA</t>
        </is>
      </c>
      <c r="C8" s="11" t="inlineStr">
        <is>
          <t>Tripulante Ejemplo 06</t>
        </is>
      </c>
      <c r="D8" s="11" t="inlineStr">
        <is>
          <t>LCK P2</t>
        </is>
      </c>
      <c r="E8" s="11" t="inlineStr">
        <is>
          <t>Karen Santa Cruz</t>
        </is>
      </c>
      <c r="F8" s="11" t="inlineStr">
        <is>
          <t>Fiorella Ruiz</t>
        </is>
      </c>
      <c r="G8" s="11" t="inlineStr">
        <is>
          <t>Grupo 1</t>
        </is>
      </c>
      <c r="H8" s="11" t="inlineStr">
        <is>
          <t>SI</t>
        </is>
      </c>
    </row>
    <row r="9">
      <c r="A9" s="11" t="n">
        <v>9000007</v>
      </c>
      <c r="B9" s="11" t="inlineStr">
        <is>
          <t>TCA</t>
        </is>
      </c>
      <c r="C9" s="11" t="inlineStr">
        <is>
          <t>Tripulante Ejemplo 07</t>
        </is>
      </c>
      <c r="D9" s="11" t="inlineStr">
        <is>
          <t>LCK P1</t>
        </is>
      </c>
      <c r="E9" s="11" t="inlineStr"/>
      <c r="F9" s="11" t="inlineStr">
        <is>
          <t>Fiorella Ruiz</t>
        </is>
      </c>
      <c r="G9" s="11" t="inlineStr">
        <is>
          <t>Grupo 1</t>
        </is>
      </c>
      <c r="H9" s="11" t="inlineStr">
        <is>
          <t>SI</t>
        </is>
      </c>
    </row>
    <row r="10">
      <c r="A10" s="11" t="n">
        <v>9000008</v>
      </c>
      <c r="B10" s="11" t="inlineStr">
        <is>
          <t>TCA</t>
        </is>
      </c>
      <c r="C10" s="11" t="inlineStr">
        <is>
          <t>Tripulante Ejemplo 08</t>
        </is>
      </c>
      <c r="D10" s="11" t="inlineStr">
        <is>
          <t>LCK PRORROGA</t>
        </is>
      </c>
      <c r="E10" s="11" t="inlineStr"/>
      <c r="F10" s="11" t="inlineStr">
        <is>
          <t>Jefferson Mendez</t>
        </is>
      </c>
      <c r="G10" s="11" t="inlineStr">
        <is>
          <t>Grupo 1</t>
        </is>
      </c>
      <c r="H10" s="11" t="inlineStr">
        <is>
          <t>SI</t>
        </is>
      </c>
    </row>
    <row r="11">
      <c r="A11" s="11" t="n">
        <v>9000009</v>
      </c>
      <c r="B11" s="11" t="inlineStr">
        <is>
          <t>TCA</t>
        </is>
      </c>
      <c r="C11" s="11" t="inlineStr">
        <is>
          <t>Tripulante Ejemplo 09</t>
        </is>
      </c>
      <c r="D11" s="11" t="inlineStr">
        <is>
          <t>LCK P1</t>
        </is>
      </c>
      <c r="E11" s="11" t="inlineStr">
        <is>
          <t>Javier Zapata</t>
        </is>
      </c>
      <c r="F11" s="11" t="inlineStr">
        <is>
          <t>Jefferson Mendez</t>
        </is>
      </c>
      <c r="G11" s="11" t="inlineStr">
        <is>
          <t>Grupo 1</t>
        </is>
      </c>
      <c r="H11" s="11" t="inlineStr">
        <is>
          <t>SI</t>
        </is>
      </c>
    </row>
    <row r="12">
      <c r="A12" s="11" t="n">
        <v>9000010</v>
      </c>
      <c r="B12" s="11" t="inlineStr">
        <is>
          <t>TCA</t>
        </is>
      </c>
      <c r="C12" s="11" t="inlineStr">
        <is>
          <t>Tripulante Ejemplo 10</t>
        </is>
      </c>
      <c r="D12" s="11" t="inlineStr">
        <is>
          <t>LCK P1</t>
        </is>
      </c>
      <c r="E12" s="11" t="inlineStr"/>
      <c r="F12" s="11" t="inlineStr">
        <is>
          <t>Jefferson Mendez</t>
        </is>
      </c>
      <c r="G12" s="11" t="inlineStr">
        <is>
          <t>Grupo 1</t>
        </is>
      </c>
      <c r="H12" s="11" t="inlineStr">
        <is>
          <t>SI</t>
        </is>
      </c>
    </row>
    <row r="13">
      <c r="A13" s="11" t="n">
        <v>9000011</v>
      </c>
      <c r="B13" s="11" t="inlineStr">
        <is>
          <t>TCA</t>
        </is>
      </c>
      <c r="C13" s="11" t="inlineStr">
        <is>
          <t>Tripulante Ejemplo 11</t>
        </is>
      </c>
      <c r="D13" s="11" t="inlineStr">
        <is>
          <t>LCK P2</t>
        </is>
      </c>
      <c r="E13" s="11" t="inlineStr"/>
      <c r="F13" s="11" t="inlineStr">
        <is>
          <t>Jefferson Mendez</t>
        </is>
      </c>
      <c r="G13" s="11" t="inlineStr">
        <is>
          <t>Grupo 1</t>
        </is>
      </c>
      <c r="H13" s="11" t="inlineStr">
        <is>
          <t>SI</t>
        </is>
      </c>
    </row>
    <row r="14">
      <c r="A14" s="11" t="n">
        <v>9000012</v>
      </c>
      <c r="B14" s="11" t="inlineStr">
        <is>
          <t>TCA</t>
        </is>
      </c>
      <c r="C14" s="11" t="inlineStr">
        <is>
          <t>Tripulante Ejemplo 12</t>
        </is>
      </c>
      <c r="D14" s="11" t="inlineStr">
        <is>
          <t>LCK PRORROGA</t>
        </is>
      </c>
      <c r="E14" s="11" t="inlineStr"/>
      <c r="F14" s="11" t="inlineStr">
        <is>
          <t>Sebastian Correa</t>
        </is>
      </c>
      <c r="G14" s="11" t="inlineStr">
        <is>
          <t>Grupo 1</t>
        </is>
      </c>
      <c r="H14" s="11" t="inlineStr">
        <is>
          <t>SI</t>
        </is>
      </c>
    </row>
    <row r="15">
      <c r="A15" s="11" t="n">
        <v>9000013</v>
      </c>
      <c r="B15" s="11" t="inlineStr">
        <is>
          <t>TCA</t>
        </is>
      </c>
      <c r="C15" s="11" t="inlineStr">
        <is>
          <t>Tripulante Ejemplo 13</t>
        </is>
      </c>
      <c r="D15" s="11" t="inlineStr">
        <is>
          <t>LCK P2</t>
        </is>
      </c>
      <c r="E15" s="11" t="inlineStr">
        <is>
          <t>Claudia Flores</t>
        </is>
      </c>
      <c r="F15" s="11" t="inlineStr">
        <is>
          <t>Sebastian Correa</t>
        </is>
      </c>
      <c r="G15" s="11" t="inlineStr">
        <is>
          <t>Grupo 1</t>
        </is>
      </c>
      <c r="H15" s="11" t="inlineStr">
        <is>
          <t>SI</t>
        </is>
      </c>
    </row>
    <row r="16">
      <c r="A16" s="11" t="n">
        <v>9000014</v>
      </c>
      <c r="B16" s="11" t="inlineStr">
        <is>
          <t>TCA</t>
        </is>
      </c>
      <c r="C16" s="11" t="inlineStr">
        <is>
          <t>Tripulante Ejemplo 14</t>
        </is>
      </c>
      <c r="D16" s="11" t="inlineStr">
        <is>
          <t>LCK PRORROGA</t>
        </is>
      </c>
      <c r="E16" s="11" t="inlineStr">
        <is>
          <t>Fiorella Ruiz</t>
        </is>
      </c>
      <c r="F16" s="11" t="inlineStr">
        <is>
          <t>Sebastian Correa</t>
        </is>
      </c>
      <c r="G16" s="11" t="inlineStr">
        <is>
          <t>Grupo 1</t>
        </is>
      </c>
      <c r="H16" s="11" t="inlineStr">
        <is>
          <t>SI</t>
        </is>
      </c>
    </row>
    <row r="17">
      <c r="A17" s="11" t="n">
        <v>9000015</v>
      </c>
      <c r="B17" s="11" t="inlineStr">
        <is>
          <t>TCA</t>
        </is>
      </c>
      <c r="C17" s="11" t="inlineStr">
        <is>
          <t>Tripulante Ejemplo 15</t>
        </is>
      </c>
      <c r="D17" s="11" t="inlineStr">
        <is>
          <t>LCK PRORROGA</t>
        </is>
      </c>
      <c r="E17" s="11" t="inlineStr">
        <is>
          <t>Claudia Flores</t>
        </is>
      </c>
      <c r="F17" s="11" t="inlineStr">
        <is>
          <t>Sebastian Correa</t>
        </is>
      </c>
      <c r="G17" s="11" t="inlineStr">
        <is>
          <t>Grupo 1</t>
        </is>
      </c>
      <c r="H17" s="11" t="inlineStr">
        <is>
          <t>SI</t>
        </is>
      </c>
    </row>
    <row r="18">
      <c r="A18" s="11" t="n">
        <v>9000016</v>
      </c>
      <c r="B18" s="11" t="inlineStr">
        <is>
          <t>TCA</t>
        </is>
      </c>
      <c r="C18" s="11" t="inlineStr">
        <is>
          <t>Tripulante Ejemplo 16</t>
        </is>
      </c>
      <c r="D18" s="11" t="inlineStr">
        <is>
          <t>LCK P1</t>
        </is>
      </c>
      <c r="E18" s="11" t="inlineStr"/>
      <c r="F18" s="11" t="inlineStr">
        <is>
          <t>Claudia Flores</t>
        </is>
      </c>
      <c r="G18" s="11" t="inlineStr">
        <is>
          <t>Grupo 2</t>
        </is>
      </c>
      <c r="H18" s="11" t="inlineStr">
        <is>
          <t>SI</t>
        </is>
      </c>
    </row>
    <row r="19">
      <c r="A19" s="11" t="n">
        <v>9000017</v>
      </c>
      <c r="B19" s="11" t="inlineStr">
        <is>
          <t>TCB</t>
        </is>
      </c>
      <c r="C19" s="11" t="inlineStr">
        <is>
          <t>Tripulante Ejemplo 17</t>
        </is>
      </c>
      <c r="D19" s="11" t="inlineStr">
        <is>
          <t>LCK P2</t>
        </is>
      </c>
      <c r="E19" s="11" t="inlineStr"/>
      <c r="F19" s="11" t="inlineStr">
        <is>
          <t>Claudia Flores</t>
        </is>
      </c>
      <c r="G19" s="11" t="inlineStr">
        <is>
          <t>Grupo 2</t>
        </is>
      </c>
      <c r="H19" s="11" t="inlineStr">
        <is>
          <t>SI</t>
        </is>
      </c>
    </row>
    <row r="20">
      <c r="A20" s="11" t="n">
        <v>9000018</v>
      </c>
      <c r="B20" s="11" t="inlineStr">
        <is>
          <t>TCA</t>
        </is>
      </c>
      <c r="C20" s="11" t="inlineStr">
        <is>
          <t>Tripulante Ejemplo 18</t>
        </is>
      </c>
      <c r="D20" s="11" t="inlineStr">
        <is>
          <t>LCK P1</t>
        </is>
      </c>
      <c r="E20" s="11" t="inlineStr"/>
      <c r="F20" s="11" t="inlineStr">
        <is>
          <t>Claudia Flores</t>
        </is>
      </c>
      <c r="G20" s="11" t="inlineStr">
        <is>
          <t>Grupo 2</t>
        </is>
      </c>
      <c r="H20" s="11" t="inlineStr">
        <is>
          <t>SI</t>
        </is>
      </c>
    </row>
    <row r="21">
      <c r="A21" s="11" t="n">
        <v>9000019</v>
      </c>
      <c r="B21" s="11" t="inlineStr">
        <is>
          <t>TCA</t>
        </is>
      </c>
      <c r="C21" s="11" t="inlineStr">
        <is>
          <t>Tripulante Ejemplo 19</t>
        </is>
      </c>
      <c r="D21" s="11" t="inlineStr">
        <is>
          <t>LCK PRORROGA</t>
        </is>
      </c>
      <c r="E21" s="11" t="inlineStr">
        <is>
          <t>Patricia Najar</t>
        </is>
      </c>
      <c r="F21" s="11" t="inlineStr">
        <is>
          <t>Javier Zapata</t>
        </is>
      </c>
      <c r="G21" s="11" t="inlineStr">
        <is>
          <t>Grupo 2</t>
        </is>
      </c>
      <c r="H21" s="11" t="inlineStr">
        <is>
          <t>SI</t>
        </is>
      </c>
    </row>
    <row r="22">
      <c r="A22" s="11" t="n">
        <v>9000020</v>
      </c>
      <c r="B22" s="11" t="inlineStr">
        <is>
          <t>TCA</t>
        </is>
      </c>
      <c r="C22" s="11" t="inlineStr">
        <is>
          <t>Tripulante Ejemplo 20</t>
        </is>
      </c>
      <c r="D22" s="11" t="inlineStr">
        <is>
          <t>LCK PRORROGA</t>
        </is>
      </c>
      <c r="E22" s="11" t="inlineStr"/>
      <c r="F22" s="11" t="inlineStr">
        <is>
          <t>Javier Zapata</t>
        </is>
      </c>
      <c r="G22" s="11" t="inlineStr">
        <is>
          <t>Grupo 2</t>
        </is>
      </c>
      <c r="H22" s="11" t="inlineStr">
        <is>
          <t>SI</t>
        </is>
      </c>
    </row>
    <row r="23">
      <c r="A23" s="11" t="n">
        <v>9000021</v>
      </c>
      <c r="B23" s="11" t="inlineStr">
        <is>
          <t>JSBA</t>
        </is>
      </c>
      <c r="C23" s="11" t="inlineStr">
        <is>
          <t>Tripulante Ejemplo 21</t>
        </is>
      </c>
      <c r="D23" s="11" t="inlineStr">
        <is>
          <t>LCK PRORROGA</t>
        </is>
      </c>
      <c r="E23" s="11" t="inlineStr">
        <is>
          <t>Jennifert Acurio</t>
        </is>
      </c>
      <c r="F23" s="11" t="inlineStr">
        <is>
          <t>Javier Zapata</t>
        </is>
      </c>
      <c r="G23" s="11" t="inlineStr">
        <is>
          <t>Grupo 2</t>
        </is>
      </c>
      <c r="H23" s="11" t="inlineStr">
        <is>
          <t>SI</t>
        </is>
      </c>
    </row>
    <row r="24">
      <c r="A24" s="11" t="n">
        <v>9000022</v>
      </c>
      <c r="B24" s="11" t="inlineStr">
        <is>
          <t>TCB</t>
        </is>
      </c>
      <c r="C24" s="11" t="inlineStr">
        <is>
          <t>Tripulante Ejemplo 22</t>
        </is>
      </c>
      <c r="D24" s="11" t="inlineStr">
        <is>
          <t>LCK P2</t>
        </is>
      </c>
      <c r="E24" s="11" t="inlineStr"/>
      <c r="F24" s="11" t="inlineStr">
        <is>
          <t>Javier Zapata</t>
        </is>
      </c>
      <c r="G24" s="11" t="inlineStr">
        <is>
          <t>Grupo 2</t>
        </is>
      </c>
      <c r="H24" s="11" t="inlineStr">
        <is>
          <t>SI</t>
        </is>
      </c>
    </row>
    <row r="25">
      <c r="A25" s="11" t="n">
        <v>9000023</v>
      </c>
      <c r="B25" s="11" t="inlineStr">
        <is>
          <t>JSBA</t>
        </is>
      </c>
      <c r="C25" s="11" t="inlineStr">
        <is>
          <t>Tripulante Ejemplo 23</t>
        </is>
      </c>
      <c r="D25" s="11" t="inlineStr">
        <is>
          <t>LCK P1</t>
        </is>
      </c>
      <c r="E25" s="11" t="inlineStr"/>
      <c r="F25" s="11" t="inlineStr">
        <is>
          <t>Jazmin Guerra</t>
        </is>
      </c>
      <c r="G25" s="11" t="inlineStr">
        <is>
          <t>Grupo 2</t>
        </is>
      </c>
      <c r="H25" s="11" t="inlineStr">
        <is>
          <t>SI</t>
        </is>
      </c>
    </row>
    <row r="26">
      <c r="A26" s="11" t="n">
        <v>9000024</v>
      </c>
      <c r="B26" s="11" t="inlineStr">
        <is>
          <t>TCA</t>
        </is>
      </c>
      <c r="C26" s="11" t="inlineStr">
        <is>
          <t>Tripulante Ejemplo 24</t>
        </is>
      </c>
      <c r="D26" s="11" t="inlineStr">
        <is>
          <t>LCK P1</t>
        </is>
      </c>
      <c r="E26" s="11" t="inlineStr"/>
      <c r="F26" s="11" t="inlineStr">
        <is>
          <t>Jazmin Guerra</t>
        </is>
      </c>
      <c r="G26" s="11" t="inlineStr">
        <is>
          <t>Grupo 2</t>
        </is>
      </c>
      <c r="H26" s="11" t="inlineStr">
        <is>
          <t>SI</t>
        </is>
      </c>
    </row>
    <row r="27">
      <c r="A27" s="11" t="n">
        <v>9000025</v>
      </c>
      <c r="B27" s="11" t="inlineStr">
        <is>
          <t>TCA</t>
        </is>
      </c>
      <c r="C27" s="11" t="inlineStr">
        <is>
          <t>Tripulante Ejemplo 25</t>
        </is>
      </c>
      <c r="D27" s="11" t="inlineStr">
        <is>
          <t>LCK P2</t>
        </is>
      </c>
      <c r="E27" s="11" t="inlineStr">
        <is>
          <t>Sebastian Correa</t>
        </is>
      </c>
      <c r="F27" s="11" t="inlineStr">
        <is>
          <t>Jazmin Guerra</t>
        </is>
      </c>
      <c r="G27" s="11" t="inlineStr">
        <is>
          <t>Grupo 2</t>
        </is>
      </c>
      <c r="H27" s="11" t="inlineStr">
        <is>
          <t>SI</t>
        </is>
      </c>
    </row>
    <row r="28">
      <c r="A28" s="11" t="n">
        <v>9000026</v>
      </c>
      <c r="B28" s="11" t="inlineStr">
        <is>
          <t>TCA</t>
        </is>
      </c>
      <c r="C28" s="11" t="inlineStr">
        <is>
          <t>Tripulante Ejemplo 26</t>
        </is>
      </c>
      <c r="D28" s="11" t="inlineStr">
        <is>
          <t>LCK P1</t>
        </is>
      </c>
      <c r="E28" s="11" t="inlineStr"/>
      <c r="F28" s="11" t="inlineStr">
        <is>
          <t>Jazmin Guerra</t>
        </is>
      </c>
      <c r="G28" s="11" t="inlineStr">
        <is>
          <t>Grupo 2</t>
        </is>
      </c>
      <c r="H28" s="11" t="inlineStr">
        <is>
          <t>SI</t>
        </is>
      </c>
    </row>
    <row r="29">
      <c r="A29" s="11" t="n">
        <v>9000027</v>
      </c>
      <c r="B29" s="11" t="inlineStr">
        <is>
          <t>TCB</t>
        </is>
      </c>
      <c r="C29" s="11" t="inlineStr">
        <is>
          <t>Tripulante Ejemplo 27</t>
        </is>
      </c>
      <c r="D29" s="11" t="inlineStr">
        <is>
          <t>LCK PRORROGA</t>
        </is>
      </c>
      <c r="E29" s="11" t="inlineStr"/>
      <c r="F29" s="11" t="inlineStr">
        <is>
          <t>Jennifert Acurio</t>
        </is>
      </c>
      <c r="G29" s="11" t="inlineStr">
        <is>
          <t>Grupo 2</t>
        </is>
      </c>
      <c r="H29" s="11" t="inlineStr">
        <is>
          <t>SI</t>
        </is>
      </c>
    </row>
    <row r="30">
      <c r="A30" s="11" t="n">
        <v>9000028</v>
      </c>
      <c r="B30" s="11" t="inlineStr">
        <is>
          <t>TCA</t>
        </is>
      </c>
      <c r="C30" s="11" t="inlineStr">
        <is>
          <t>Tripulante Ejemplo 28</t>
        </is>
      </c>
      <c r="D30" s="11" t="inlineStr">
        <is>
          <t>LCK P1</t>
        </is>
      </c>
      <c r="E30" s="11" t="inlineStr">
        <is>
          <t>Gabriela Ungaro</t>
        </is>
      </c>
      <c r="F30" s="11" t="inlineStr">
        <is>
          <t>Jennifert Acurio</t>
        </is>
      </c>
      <c r="G30" s="11" t="inlineStr">
        <is>
          <t>Grupo 2</t>
        </is>
      </c>
      <c r="H30" s="11" t="inlineStr">
        <is>
          <t>SI</t>
        </is>
      </c>
    </row>
    <row r="31">
      <c r="A31" s="11" t="n">
        <v>9000029</v>
      </c>
      <c r="B31" s="11" t="inlineStr">
        <is>
          <t>JSBA</t>
        </is>
      </c>
      <c r="C31" s="11" t="inlineStr">
        <is>
          <t>Tripulante Ejemplo 29</t>
        </is>
      </c>
      <c r="D31" s="11" t="inlineStr">
        <is>
          <t>LCK P2</t>
        </is>
      </c>
      <c r="E31" s="11" t="inlineStr"/>
      <c r="F31" s="11" t="inlineStr">
        <is>
          <t>Jennifert Acurio</t>
        </is>
      </c>
      <c r="G31" s="11" t="inlineStr">
        <is>
          <t>Grupo 2</t>
        </is>
      </c>
      <c r="H31" s="11" t="inlineStr">
        <is>
          <t>SI</t>
        </is>
      </c>
    </row>
    <row r="32">
      <c r="A32" s="11" t="n">
        <v>9000030</v>
      </c>
      <c r="B32" s="11" t="inlineStr">
        <is>
          <t>TCB</t>
        </is>
      </c>
      <c r="C32" s="11" t="inlineStr">
        <is>
          <t>Tripulante Ejemplo 30</t>
        </is>
      </c>
      <c r="D32" s="11" t="inlineStr">
        <is>
          <t>LCK PRORROGA</t>
        </is>
      </c>
      <c r="E32" s="11" t="inlineStr"/>
      <c r="F32" s="11" t="inlineStr">
        <is>
          <t>Gabriela Ungaro</t>
        </is>
      </c>
      <c r="G32" s="11" t="inlineStr">
        <is>
          <t>Grupo 3</t>
        </is>
      </c>
      <c r="H32" s="11" t="inlineStr">
        <is>
          <t>SI</t>
        </is>
      </c>
    </row>
    <row r="33">
      <c r="A33" s="11" t="n">
        <v>9000031</v>
      </c>
      <c r="B33" s="11" t="inlineStr">
        <is>
          <t>TCA</t>
        </is>
      </c>
      <c r="C33" s="11" t="inlineStr">
        <is>
          <t>Tripulante Ejemplo 31</t>
        </is>
      </c>
      <c r="D33" s="11" t="inlineStr">
        <is>
          <t>LCK P1</t>
        </is>
      </c>
      <c r="E33" s="11" t="inlineStr"/>
      <c r="F33" s="11" t="inlineStr">
        <is>
          <t>Gabriela Ungaro</t>
        </is>
      </c>
      <c r="G33" s="11" t="inlineStr">
        <is>
          <t>Grupo 3</t>
        </is>
      </c>
      <c r="H33" s="11" t="inlineStr">
        <is>
          <t>SI</t>
        </is>
      </c>
    </row>
    <row r="34">
      <c r="A34" s="11" t="n">
        <v>9000032</v>
      </c>
      <c r="B34" s="11" t="inlineStr">
        <is>
          <t>TCA</t>
        </is>
      </c>
      <c r="C34" s="11" t="inlineStr">
        <is>
          <t>Tripulante Ejemplo 32</t>
        </is>
      </c>
      <c r="D34" s="11" t="inlineStr">
        <is>
          <t>LCK P1</t>
        </is>
      </c>
      <c r="E34" s="11" t="inlineStr"/>
      <c r="F34" s="11" t="inlineStr">
        <is>
          <t>Gabriela Ungaro</t>
        </is>
      </c>
      <c r="G34" s="11" t="inlineStr">
        <is>
          <t>Grupo 3</t>
        </is>
      </c>
      <c r="H34" s="11" t="inlineStr">
        <is>
          <t>SI</t>
        </is>
      </c>
    </row>
  </sheetData>
  <autoFilter ref="A2:H34"/>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2" customWidth="1" min="1" max="1"/>
    <col width="20" customWidth="1" min="2" max="2"/>
  </cols>
  <sheetData>
    <row r="1">
      <c r="A1" s="1" t="inlineStr">
        <is>
          <t>Grupo</t>
        </is>
      </c>
      <c r="B1" s="1" t="inlineStr">
        <is>
          <t>Instructor</t>
        </is>
      </c>
    </row>
    <row r="2">
      <c r="A2" s="11" t="inlineStr">
        <is>
          <t>Grupo 1</t>
        </is>
      </c>
      <c r="B2" s="11" t="inlineStr">
        <is>
          <t>Christian Rondon</t>
        </is>
      </c>
    </row>
    <row r="3">
      <c r="A3" s="11" t="inlineStr">
        <is>
          <t>Grupo 1</t>
        </is>
      </c>
      <c r="B3" s="11" t="inlineStr">
        <is>
          <t>Fiorella Ruiz</t>
        </is>
      </c>
    </row>
    <row r="4">
      <c r="A4" s="11" t="inlineStr">
        <is>
          <t>Grupo 1</t>
        </is>
      </c>
      <c r="B4" s="11" t="inlineStr">
        <is>
          <t>Jefferson Mendez</t>
        </is>
      </c>
    </row>
    <row r="5">
      <c r="A5" s="11" t="inlineStr">
        <is>
          <t>Grupo 1</t>
        </is>
      </c>
      <c r="B5" s="11" t="inlineStr">
        <is>
          <t>Sebastian Correa</t>
        </is>
      </c>
    </row>
    <row r="6">
      <c r="A6" s="11" t="inlineStr">
        <is>
          <t>Grupo 2</t>
        </is>
      </c>
      <c r="B6" s="11" t="inlineStr">
        <is>
          <t>Claudia Flores</t>
        </is>
      </c>
    </row>
    <row r="7">
      <c r="A7" s="11" t="inlineStr">
        <is>
          <t>Grupo 2</t>
        </is>
      </c>
      <c r="B7" s="11" t="inlineStr">
        <is>
          <t>Javier Zapata</t>
        </is>
      </c>
    </row>
    <row r="8">
      <c r="A8" s="11" t="inlineStr">
        <is>
          <t>Grupo 2</t>
        </is>
      </c>
      <c r="B8" s="11" t="inlineStr">
        <is>
          <t>Jazmin Guerra</t>
        </is>
      </c>
    </row>
    <row r="9">
      <c r="A9" s="11" t="inlineStr">
        <is>
          <t>Grupo 2</t>
        </is>
      </c>
      <c r="B9" s="11" t="inlineStr">
        <is>
          <t>Jennifert Acurio</t>
        </is>
      </c>
    </row>
    <row r="10">
      <c r="A10" s="11" t="inlineStr">
        <is>
          <t>Grupo 3</t>
        </is>
      </c>
      <c r="B10" s="11" t="inlineStr">
        <is>
          <t>Gabriela Ungaro</t>
        </is>
      </c>
    </row>
    <row r="11">
      <c r="A11" s="11" t="inlineStr">
        <is>
          <t>Grupo 3</t>
        </is>
      </c>
      <c r="B11" s="11" t="inlineStr">
        <is>
          <t>Karen Santa Cruz</t>
        </is>
      </c>
    </row>
    <row r="12">
      <c r="A12" s="11" t="inlineStr">
        <is>
          <t>Grupo 3</t>
        </is>
      </c>
      <c r="B12" s="11" t="inlineStr">
        <is>
          <t>Patricia Najar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2026-09-18T17:02:55Z</dcterms:created>
  <dcterms:modified xsi:type="dcterms:W3CDTF">2026-09-18T17:02:56Z</dcterms:modified>
</cp:coreProperties>
</file>