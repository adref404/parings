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4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generar_reporte_pairings.py</author>
  </authors>
  <commentList>
    <comment ref="O4" authorId="0" shapeId="0">
      <text>
        <t>Escribir aquí el nombre del instructor</t>
      </text>
    </comment>
    <comment ref="Q4" authorId="0" shapeId="0">
      <text>
        <t>Tipo de actividad (editable). Por defecto LCK B767; cambiar a Reentrenamiento B767, CHEQUEO BI ANUAL INST B767, etc. si corresponde.</t>
      </text>
    </comment>
    <comment ref="O9" authorId="0" shapeId="0">
      <text>
        <t>Escribir aquí el nombre del instructor</t>
      </text>
    </comment>
    <comment ref="Q9" authorId="0" shapeId="0">
      <text>
        <t>Tipo de actividad (editable). Por defecto LCK B767; cambiar a Reentrenamiento B767, CHEQUEO BI ANUAL INST B767, etc. si corresponde.</t>
      </text>
    </comment>
    <comment ref="O14" authorId="0" shapeId="0">
      <text>
        <t>Escribir aquí el nombre del instructor</t>
      </text>
    </comment>
    <comment ref="Q14" authorId="0" shapeId="0">
      <text>
        <t>Tipo de actividad (editable). Por defecto LCK B767; cambiar a Reentrenamiento B767, CHEQUEO BI ANUAL INST B767, etc. si corresponde.</t>
      </text>
    </comment>
    <comment ref="O19" authorId="0" shapeId="0">
      <text>
        <t>Escribir aquí el nombre del instructor</t>
      </text>
    </comment>
    <comment ref="Q19" authorId="0" shapeId="0">
      <text>
        <t>Tipo de actividad (editable). Por defecto LCK B767; cambiar a Reentrenamiento B767, CHEQUEO BI ANUAL INST B767, etc. si corresponde.</t>
      </text>
    </comment>
    <comment ref="O24" authorId="0" shapeId="0">
      <text>
        <t>Escribir aquí el nombre del instructor</t>
      </text>
    </comment>
    <comment ref="Q24" authorId="0" shapeId="0">
      <text>
        <t>Tipo de actividad (editable). Por defecto LCK B767; cambiar a Reentrenamiento B767, CHEQUEO BI ANUAL INST B767, etc. si corresponde.</t>
      </text>
    </comment>
    <comment ref="O29" authorId="0" shapeId="0">
      <text>
        <t>Escribir aquí el nombre del instructor</t>
      </text>
    </comment>
    <comment ref="Q29" authorId="0" shapeId="0">
      <text>
        <t>Tipo de actividad (editable). Por defecto LCK B767; cambiar a Reentrenamiento B767, CHEQUEO BI ANUAL INST B767, etc. si corresponde.</t>
      </text>
    </comment>
    <comment ref="O34" authorId="0" shapeId="0">
      <text>
        <t>Escribir aquí el nombre del instructor</t>
      </text>
    </comment>
    <comment ref="Q34" authorId="0" shapeId="0">
      <text>
        <t>Tipo de actividad (editable). Por defecto LCK B767; cambiar a Reentrenamiento B767, CHEQUEO BI ANUAL INST B767, etc. si corresponde.</t>
      </text>
    </comment>
    <comment ref="O39" authorId="0" shapeId="0">
      <text>
        <t>Escribir aquí el nombre del instructor</t>
      </text>
    </comment>
    <comment ref="Q39" authorId="0" shapeId="0">
      <text>
        <t>Tipo de actividad (editable). Por defecto LCK B767; cambiar a Reentrenamiento B767, CHEQUEO BI ANUAL INST B767, etc. si corresponde.</t>
      </text>
    </comment>
    <comment ref="O44" authorId="0" shapeId="0">
      <text>
        <t>Escribir aquí el nombre del instructor</t>
      </text>
    </comment>
    <comment ref="Q44" authorId="0" shapeId="0">
      <text>
        <t>Tipo de actividad (editable). Por defecto LCK B767; cambiar a Reentrenamiento B767, CHEQUEO BI ANUAL INST B767, etc. si corresponde.</t>
      </text>
    </comment>
    <comment ref="O49" authorId="0" shapeId="0">
      <text>
        <t>Escribir aquí el nombre del instructor</t>
      </text>
    </comment>
    <comment ref="Q49" authorId="0" shapeId="0">
      <text>
        <t>Tipo de actividad (editable). Por defecto LCK B767; cambiar a Reentrenamiento B767, CHEQUEO BI ANUAL INST B767, etc. si corresponde.</t>
      </text>
    </comment>
    <comment ref="O54" authorId="0" shapeId="0">
      <text>
        <t>Escribir aquí el nombre del instructor</t>
      </text>
    </comment>
    <comment ref="Q54" authorId="0" shapeId="0">
      <text>
        <t>Tipo de actividad (editable). Por defecto LCK B767; cambiar a Reentrenamiento B767, CHEQUEO BI ANUAL INST B767, etc. si corresponde.</t>
      </text>
    </comment>
    <comment ref="O59" authorId="0" shapeId="0">
      <text>
        <t>Escribir aquí el nombre del instructor</t>
      </text>
    </comment>
    <comment ref="Q59" authorId="0" shapeId="0">
      <text>
        <t>Tipo de actividad (editable). Por defecto LCK B767; cambiar a Reentrenamiento B767, CHEQUEO BI ANUAL INST B767, etc. si corresponde.</t>
      </text>
    </comment>
    <comment ref="O64" authorId="0" shapeId="0">
      <text>
        <t>Escribir aquí el nombre del instructor</t>
      </text>
    </comment>
    <comment ref="Q64" authorId="0" shapeId="0">
      <text>
        <t>Tipo de actividad (editable). Por defecto LCK B767; cambiar a Reentrenamiento B767, CHEQUEO BI ANUAL INST B767, etc. si corresponde.</t>
      </text>
    </comment>
    <comment ref="O69" authorId="0" shapeId="0">
      <text>
        <t>Escribir aquí el nombre del instructor</t>
      </text>
    </comment>
    <comment ref="Q69" authorId="0" shapeId="0">
      <text>
        <t>Tipo de actividad (editable). Por defecto LCK B767; cambiar a Reentrenamiento B767, CHEQUEO BI ANUAL INST B767, etc. si corresponde.</t>
      </text>
    </comment>
    <comment ref="O74" authorId="0" shapeId="0">
      <text>
        <t>Escribir aquí el nombre del instructor</t>
      </text>
    </comment>
    <comment ref="Q74" authorId="0" shapeId="0">
      <text>
        <t>Tipo de actividad (editable). Por defecto LCK B767; cambiar a Reentrenamiento B767, CHEQUEO BI ANUAL INST B767, etc. si corresponde.</t>
      </text>
    </comment>
    <comment ref="O79" authorId="0" shapeId="0">
      <text>
        <t>Escribir aquí el nombre del instructor</t>
      </text>
    </comment>
    <comment ref="Q79" authorId="0" shapeId="0">
      <text>
        <t>Tipo de actividad (editable). Por defecto LCK B767; cambiar a Reentrenamiento B767, CHEQUEO BI ANUAL INST B767, etc. si corresponde.</t>
      </text>
    </comment>
    <comment ref="O84" authorId="0" shapeId="0">
      <text>
        <t>Escribir aquí el nombre del instructor</t>
      </text>
    </comment>
    <comment ref="Q84" authorId="0" shapeId="0">
      <text>
        <t>Tipo de actividad (editable). Por defecto LCK B767; cambiar a Reentrenamiento B767, CHEQUEO BI ANUAL INST B767, etc. si corresponde.</t>
      </text>
    </comment>
    <comment ref="O89" authorId="0" shapeId="0">
      <text>
        <t>Escribir aquí el nombre del instructor</t>
      </text>
    </comment>
    <comment ref="Q89" authorId="0" shapeId="0">
      <text>
        <t>Tipo de actividad (editable). Por defecto LCK B767; cambiar a Reentrenamiento B767, CHEQUEO BI ANUAL INST B767, etc. si corresponde.</t>
      </text>
    </comment>
    <comment ref="O94" authorId="0" shapeId="0">
      <text>
        <t>Escribir aquí el nombre del instructor</t>
      </text>
    </comment>
    <comment ref="Q94" authorId="0" shapeId="0">
      <text>
        <t>Tipo de actividad (editable). Por defecto LCK B767; cambiar a Reentrenamiento B767, CHEQUEO BI ANUAL INST B767, etc. si corresponde.</t>
      </text>
    </comment>
    <comment ref="O99" authorId="0" shapeId="0">
      <text>
        <t>Escribir aquí el nombre del instructor</t>
      </text>
    </comment>
    <comment ref="Q99" authorId="0" shapeId="0">
      <text>
        <t>Tipo de actividad (editable). Por defecto LCK B767; cambiar a Reentrenamiento B767, CHEQUEO BI ANUAL INST B767, etc. si corresponde.</t>
      </text>
    </comment>
    <comment ref="O104" authorId="0" shapeId="0">
      <text>
        <t>Escribir aquí el nombre del instructor</t>
      </text>
    </comment>
    <comment ref="Q104" authorId="0" shapeId="0">
      <text>
        <t>Tipo de actividad (editable). Por defecto LCK B767; cambiar a Reentrenamiento B767, CHEQUEO BI ANUAL INST B767, etc. si corresponde.</t>
      </text>
    </comment>
    <comment ref="O109" authorId="0" shapeId="0">
      <text>
        <t>Escribir aquí el nombre del instructor</t>
      </text>
    </comment>
    <comment ref="Q109" authorId="0" shapeId="0">
      <text>
        <t>Tipo de actividad (editable). Por defecto LCK B767; cambiar a Reentrenamiento B767, CHEQUEO BI ANUAL INST B767, etc. si corresponde.</t>
      </text>
    </comment>
    <comment ref="O114" authorId="0" shapeId="0">
      <text>
        <t>Escribir aquí el nombre del instructor</t>
      </text>
    </comment>
    <comment ref="Q114" authorId="0" shapeId="0">
      <text>
        <t>Tipo de actividad (editable). Por defecto LCK B767; cambiar a Reentrenamiento B767, CHEQUEO BI ANUAL INST B767, etc. si corresponde.</t>
      </text>
    </comment>
    <comment ref="O119" authorId="0" shapeId="0">
      <text>
        <t>Escribir aquí el nombre del instructor</t>
      </text>
    </comment>
    <comment ref="Q119" authorId="0" shapeId="0">
      <text>
        <t>Tipo de actividad (editable). Por defecto LCK B767; cambiar a Reentrenamiento B767, CHEQUEO BI ANUAL INST B767, etc. si corresponde.</t>
      </text>
    </comment>
    <comment ref="O124" authorId="0" shapeId="0">
      <text>
        <t>Escribir aquí el nombre del instructor</t>
      </text>
    </comment>
    <comment ref="Q124" authorId="0" shapeId="0">
      <text>
        <t>Tipo de actividad (editable). Por defecto LCK B767; cambiar a Reentrenamiento B767, CHEQUEO BI ANUAL INST B767, etc. si corresponde.</t>
      </text>
    </comment>
    <comment ref="O129" authorId="0" shapeId="0">
      <text>
        <t>Escribir aquí el nombre del instructor</t>
      </text>
    </comment>
    <comment ref="Q129" authorId="0" shapeId="0">
      <text>
        <t>Tipo de actividad (editable). Por defecto LCK B767; cambiar a Reentrenamiento B767, CHEQUEO BI ANUAL INST B767, etc. si corresponde.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A1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  <col width="6" customWidth="1" min="11" max="11"/>
    <col width="9" customWidth="1" min="12" max="12"/>
    <col width="9" customWidth="1" min="13" max="13"/>
    <col width="10" customWidth="1" min="14" max="14"/>
    <col width="18" customWidth="1" min="15" max="15"/>
    <col width="3" customWidth="1" min="16" max="16"/>
    <col width="26" customWidth="1" min="17" max="17"/>
    <col width="30" customWidth="1" min="18" max="18"/>
    <col width="10" customWidth="1" min="19" max="19"/>
    <col width="12" customWidth="1" min="20" max="20"/>
    <col width="10" customWidth="1" min="21" max="21"/>
    <col width="12" customWidth="1" min="22" max="22"/>
    <col width="16" customWidth="1" min="23" max="23"/>
    <col width="20" customWidth="1" min="24" max="24"/>
    <col width="26" customWidth="1" min="25" max="25"/>
    <col width="12" customWidth="1" min="26" max="26"/>
    <col width="12" customWidth="1" min="27" max="27"/>
  </cols>
  <sheetData>
    <row r="1">
      <c r="B1" s="1" t="inlineStr">
        <is>
          <t>Comenzar asignando vuelos los Jueves y Viernes (porque el SAB es DO)</t>
        </is>
      </c>
    </row>
    <row r="2">
      <c r="B2" s="1" t="inlineStr">
        <is>
          <t>LCK de ida (porque va OP) y de retorno DGAC o RECA</t>
        </is>
      </c>
    </row>
    <row r="3">
      <c r="S3" s="2" t="inlineStr">
        <is>
          <t>Pairing ID</t>
        </is>
      </c>
      <c r="T3" s="2" t="inlineStr">
        <is>
          <t>Fecha</t>
        </is>
      </c>
      <c r="U3" s="2" t="inlineStr">
        <is>
          <t>Día Sem</t>
        </is>
      </c>
      <c r="V3" s="2" t="inlineStr">
        <is>
          <t>Vuelo</t>
        </is>
      </c>
      <c r="W3" s="2" t="inlineStr">
        <is>
          <t>Ruta</t>
        </is>
      </c>
      <c r="X3" s="2" t="inlineStr">
        <is>
          <t>Instructor</t>
        </is>
      </c>
      <c r="Y3" s="2" t="inlineStr">
        <is>
          <t>Actividad</t>
        </is>
      </c>
      <c r="Z3" s="2" t="inlineStr">
        <is>
          <t>Inicio</t>
        </is>
      </c>
      <c r="AA3" s="2" t="inlineStr">
        <is>
          <t>Fin</t>
        </is>
      </c>
    </row>
    <row r="4">
      <c r="B4" s="3" t="inlineStr">
        <is>
          <t>Pairing ID</t>
        </is>
      </c>
      <c r="C4" s="3" t="inlineStr">
        <is>
          <t>FECHA REAL</t>
        </is>
      </c>
      <c r="D4" s="4" t="inlineStr">
        <is>
          <t>MES</t>
        </is>
      </c>
      <c r="E4" s="3" t="inlineStr">
        <is>
          <t>Day of Week</t>
        </is>
      </c>
      <c r="F4" s="3" t="inlineStr">
        <is>
          <t>Flight No</t>
        </is>
      </c>
      <c r="G4" s="3" t="inlineStr">
        <is>
          <t>Dep Stn</t>
        </is>
      </c>
      <c r="H4" s="3" t="inlineStr">
        <is>
          <t>Arr Stn</t>
        </is>
      </c>
      <c r="I4" s="3" t="inlineStr">
        <is>
          <t>STD</t>
        </is>
      </c>
      <c r="J4" s="3" t="inlineStr">
        <is>
          <t>STA</t>
        </is>
      </c>
      <c r="K4" s="3" t="inlineStr">
        <is>
          <t>DAY</t>
        </is>
      </c>
      <c r="L4" s="3" t="inlineStr">
        <is>
          <t>AC Type</t>
        </is>
      </c>
      <c r="M4" s="3" t="inlineStr">
        <is>
          <t>HBT</t>
        </is>
      </c>
      <c r="N4" s="5" t="inlineStr">
        <is>
          <t>DIA_DUTY</t>
        </is>
      </c>
      <c r="O4" s="6" t="n"/>
      <c r="Q4" s="6" t="inlineStr">
        <is>
          <t>LCK B767</t>
        </is>
      </c>
      <c r="S4" s="7">
        <f>B5</f>
        <v/>
      </c>
      <c r="T4" s="7">
        <f>C5</f>
        <v/>
      </c>
      <c r="U4" s="7">
        <f>D5</f>
        <v/>
      </c>
      <c r="V4" s="7">
        <f>F5&amp;"/"&amp;F6</f>
        <v/>
      </c>
      <c r="W4" s="7">
        <f>G5&amp;"-"&amp;H5&amp;"-"&amp;G5</f>
        <v/>
      </c>
      <c r="X4" s="7">
        <f>IF(O4="","",O4)</f>
        <v/>
      </c>
      <c r="Y4" s="7">
        <f>Q4</f>
        <v/>
      </c>
      <c r="Z4" s="7">
        <f>C5</f>
        <v/>
      </c>
      <c r="AA4" s="7">
        <f>C6</f>
        <v/>
      </c>
    </row>
    <row r="5">
      <c r="B5" s="7" t="n">
        <v>20</v>
      </c>
      <c r="C5" s="7" t="inlineStr">
        <is>
          <t>01/09/2026</t>
        </is>
      </c>
      <c r="D5" s="7" t="inlineStr">
        <is>
          <t>Sep-2026</t>
        </is>
      </c>
      <c r="E5" s="7" t="inlineStr">
        <is>
          <t>martes</t>
        </is>
      </c>
      <c r="F5" s="7" t="n">
        <v>2480</v>
      </c>
      <c r="G5" s="7" t="inlineStr">
        <is>
          <t>LIM</t>
        </is>
      </c>
      <c r="H5" s="7" t="inlineStr">
        <is>
          <t>MIA</t>
        </is>
      </c>
      <c r="I5" s="7" t="inlineStr">
        <is>
          <t>00:15:00</t>
        </is>
      </c>
      <c r="J5" s="7" t="inlineStr">
        <is>
          <t>06:20:00</t>
        </is>
      </c>
      <c r="K5" s="7" t="inlineStr">
        <is>
          <t>NO</t>
        </is>
      </c>
      <c r="L5" s="7" t="n">
        <v>763</v>
      </c>
      <c r="M5" s="7" t="inlineStr">
        <is>
          <t>06:05:00</t>
        </is>
      </c>
      <c r="N5" s="7" t="n">
        <v>2</v>
      </c>
      <c r="R5">
        <f>"- "&amp;G5&amp;"-"&amp;H5&amp;"   - LA "&amp;F5&amp;" ("&amp;LEFT(I5,5)&amp;"-"&amp;LEFT(J5,5)&amp;" hrs)"</f>
        <v/>
      </c>
    </row>
    <row r="6">
      <c r="B6" s="7" t="n">
        <v>20</v>
      </c>
      <c r="C6" s="7" t="inlineStr">
        <is>
          <t>02/09/2026</t>
        </is>
      </c>
      <c r="D6" s="7" t="inlineStr">
        <is>
          <t>Sep-2026</t>
        </is>
      </c>
      <c r="E6" s="7" t="inlineStr">
        <is>
          <t>miércoles</t>
        </is>
      </c>
      <c r="F6" s="7" t="n">
        <v>2481</v>
      </c>
      <c r="G6" s="7" t="inlineStr">
        <is>
          <t>MIA</t>
        </is>
      </c>
      <c r="H6" s="7" t="inlineStr">
        <is>
          <t>LIM</t>
        </is>
      </c>
      <c r="I6" s="7" t="inlineStr">
        <is>
          <t>15:55:00</t>
        </is>
      </c>
      <c r="J6" s="7" t="inlineStr">
        <is>
          <t>21:40:00</t>
        </is>
      </c>
      <c r="K6" s="7" t="inlineStr">
        <is>
          <t>NO</t>
        </is>
      </c>
      <c r="L6" s="7" t="n">
        <v>763</v>
      </c>
      <c r="M6" s="7" t="inlineStr">
        <is>
          <t>05:45:00</t>
        </is>
      </c>
      <c r="N6" s="7" t="n">
        <v>3</v>
      </c>
      <c r="O6">
        <f>IF(O4="","",O4)</f>
        <v/>
      </c>
      <c r="R6">
        <f>"- "&amp;G6&amp;"-"&amp;H6&amp;"   - LA "&amp;F6&amp;" ("&amp;LEFT(I6,5)&amp;"-"&amp;LEFT(J6,5)&amp;" hrs)"</f>
        <v/>
      </c>
    </row>
    <row r="9">
      <c r="B9" s="3" t="inlineStr">
        <is>
          <t>Pairing ID</t>
        </is>
      </c>
      <c r="C9" s="3" t="inlineStr">
        <is>
          <t>FECHA REAL</t>
        </is>
      </c>
      <c r="D9" s="4" t="inlineStr">
        <is>
          <t>MES</t>
        </is>
      </c>
      <c r="E9" s="3" t="inlineStr">
        <is>
          <t>Day of Week</t>
        </is>
      </c>
      <c r="F9" s="3" t="inlineStr">
        <is>
          <t>Flight No</t>
        </is>
      </c>
      <c r="G9" s="3" t="inlineStr">
        <is>
          <t>Dep Stn</t>
        </is>
      </c>
      <c r="H9" s="3" t="inlineStr">
        <is>
          <t>Arr Stn</t>
        </is>
      </c>
      <c r="I9" s="3" t="inlineStr">
        <is>
          <t>STD</t>
        </is>
      </c>
      <c r="J9" s="3" t="inlineStr">
        <is>
          <t>STA</t>
        </is>
      </c>
      <c r="K9" s="3" t="inlineStr">
        <is>
          <t>DAY</t>
        </is>
      </c>
      <c r="L9" s="3" t="inlineStr">
        <is>
          <t>AC Type</t>
        </is>
      </c>
      <c r="M9" s="3" t="inlineStr">
        <is>
          <t>HBT</t>
        </is>
      </c>
      <c r="N9" s="5" t="inlineStr">
        <is>
          <t>DIA_DUTY</t>
        </is>
      </c>
      <c r="O9" s="6" t="n"/>
      <c r="Q9" s="6" t="inlineStr">
        <is>
          <t>LCK B767</t>
        </is>
      </c>
      <c r="S9" s="7">
        <f>B10</f>
        <v/>
      </c>
      <c r="T9" s="7">
        <f>C10</f>
        <v/>
      </c>
      <c r="U9" s="7">
        <f>D10</f>
        <v/>
      </c>
      <c r="V9" s="7">
        <f>F10&amp;"/"&amp;F11</f>
        <v/>
      </c>
      <c r="W9" s="7">
        <f>G10&amp;"-"&amp;H10&amp;"-"&amp;G10</f>
        <v/>
      </c>
      <c r="X9" s="7">
        <f>IF(O9="","",O9)</f>
        <v/>
      </c>
      <c r="Y9" s="7">
        <f>Q9</f>
        <v/>
      </c>
      <c r="Z9" s="7">
        <f>C10</f>
        <v/>
      </c>
      <c r="AA9" s="7">
        <f>C11</f>
        <v/>
      </c>
    </row>
    <row r="10">
      <c r="B10" s="7" t="n">
        <v>29</v>
      </c>
      <c r="C10" s="7" t="inlineStr">
        <is>
          <t>02/09/2026</t>
        </is>
      </c>
      <c r="D10" s="7" t="inlineStr">
        <is>
          <t>Sep-2026</t>
        </is>
      </c>
      <c r="E10" s="7" t="inlineStr">
        <is>
          <t>miércoles</t>
        </is>
      </c>
      <c r="F10" s="7" t="n">
        <v>2480</v>
      </c>
      <c r="G10" s="7" t="inlineStr">
        <is>
          <t>LIM</t>
        </is>
      </c>
      <c r="H10" s="7" t="inlineStr">
        <is>
          <t>MIA</t>
        </is>
      </c>
      <c r="I10" s="7" t="inlineStr">
        <is>
          <t>00:15:00</t>
        </is>
      </c>
      <c r="J10" s="7" t="inlineStr">
        <is>
          <t>06:20:00</t>
        </is>
      </c>
      <c r="K10" s="7" t="inlineStr">
        <is>
          <t>NO</t>
        </is>
      </c>
      <c r="L10" s="7" t="n">
        <v>763</v>
      </c>
      <c r="M10" s="7" t="inlineStr">
        <is>
          <t>06:05:00</t>
        </is>
      </c>
      <c r="N10" s="7" t="n">
        <v>2</v>
      </c>
      <c r="R10">
        <f>"- "&amp;G10&amp;"-"&amp;H10&amp;"   - LA "&amp;F10&amp;" ("&amp;LEFT(I10,5)&amp;"-"&amp;LEFT(J10,5)&amp;" hrs)"</f>
        <v/>
      </c>
    </row>
    <row r="11">
      <c r="B11" s="7" t="n">
        <v>29</v>
      </c>
      <c r="C11" s="7" t="inlineStr">
        <is>
          <t>03/09/2026</t>
        </is>
      </c>
      <c r="D11" s="7" t="inlineStr">
        <is>
          <t>Sep-2026</t>
        </is>
      </c>
      <c r="E11" s="7" t="inlineStr">
        <is>
          <t>jueves</t>
        </is>
      </c>
      <c r="F11" s="7" t="n">
        <v>2695</v>
      </c>
      <c r="G11" s="7" t="inlineStr">
        <is>
          <t>MIA</t>
        </is>
      </c>
      <c r="H11" s="7" t="inlineStr">
        <is>
          <t>LIM</t>
        </is>
      </c>
      <c r="I11" s="7" t="inlineStr">
        <is>
          <t>16:10:00</t>
        </is>
      </c>
      <c r="J11" s="7" t="inlineStr">
        <is>
          <t>22:00:00</t>
        </is>
      </c>
      <c r="K11" s="7" t="inlineStr">
        <is>
          <t>NO</t>
        </is>
      </c>
      <c r="L11" s="7" t="n">
        <v>763</v>
      </c>
      <c r="M11" s="7" t="inlineStr">
        <is>
          <t>05:50:00</t>
        </is>
      </c>
      <c r="N11" s="7" t="n">
        <v>3</v>
      </c>
      <c r="O11">
        <f>IF(O9="","",O9)</f>
        <v/>
      </c>
      <c r="R11">
        <f>"- "&amp;G11&amp;"-"&amp;H11&amp;"   - LA "&amp;F11&amp;" ("&amp;LEFT(I11,5)&amp;"-"&amp;LEFT(J11,5)&amp;" hrs)"</f>
        <v/>
      </c>
    </row>
    <row r="14">
      <c r="B14" s="3" t="inlineStr">
        <is>
          <t>Pairing ID</t>
        </is>
      </c>
      <c r="C14" s="3" t="inlineStr">
        <is>
          <t>FECHA REAL</t>
        </is>
      </c>
      <c r="D14" s="4" t="inlineStr">
        <is>
          <t>MES</t>
        </is>
      </c>
      <c r="E14" s="3" t="inlineStr">
        <is>
          <t>Day of Week</t>
        </is>
      </c>
      <c r="F14" s="3" t="inlineStr">
        <is>
          <t>Flight No</t>
        </is>
      </c>
      <c r="G14" s="3" t="inlineStr">
        <is>
          <t>Dep Stn</t>
        </is>
      </c>
      <c r="H14" s="3" t="inlineStr">
        <is>
          <t>Arr Stn</t>
        </is>
      </c>
      <c r="I14" s="3" t="inlineStr">
        <is>
          <t>STD</t>
        </is>
      </c>
      <c r="J14" s="3" t="inlineStr">
        <is>
          <t>STA</t>
        </is>
      </c>
      <c r="K14" s="3" t="inlineStr">
        <is>
          <t>DAY</t>
        </is>
      </c>
      <c r="L14" s="3" t="inlineStr">
        <is>
          <t>AC Type</t>
        </is>
      </c>
      <c r="M14" s="3" t="inlineStr">
        <is>
          <t>HBT</t>
        </is>
      </c>
      <c r="N14" s="5" t="inlineStr">
        <is>
          <t>DIA_DUTY</t>
        </is>
      </c>
      <c r="O14" s="6" t="n"/>
      <c r="Q14" s="6" t="inlineStr">
        <is>
          <t>LCK B767</t>
        </is>
      </c>
      <c r="S14" s="7">
        <f>B15</f>
        <v/>
      </c>
      <c r="T14" s="7">
        <f>C15</f>
        <v/>
      </c>
      <c r="U14" s="7">
        <f>D15</f>
        <v/>
      </c>
      <c r="V14" s="7">
        <f>F15&amp;"/"&amp;F16</f>
        <v/>
      </c>
      <c r="W14" s="7">
        <f>G15&amp;"-"&amp;H15&amp;"-"&amp;G15</f>
        <v/>
      </c>
      <c r="X14" s="7">
        <f>IF(O14="","",O14)</f>
        <v/>
      </c>
      <c r="Y14" s="7">
        <f>Q14</f>
        <v/>
      </c>
      <c r="Z14" s="7">
        <f>C15</f>
        <v/>
      </c>
      <c r="AA14" s="7">
        <f>C16</f>
        <v/>
      </c>
    </row>
    <row r="15">
      <c r="B15" s="7" t="n">
        <v>39</v>
      </c>
      <c r="C15" s="7" t="inlineStr">
        <is>
          <t>03/09/2026</t>
        </is>
      </c>
      <c r="D15" s="7" t="inlineStr">
        <is>
          <t>Sep-2026</t>
        </is>
      </c>
      <c r="E15" s="7" t="inlineStr">
        <is>
          <t>jueves</t>
        </is>
      </c>
      <c r="F15" s="7" t="n">
        <v>2480</v>
      </c>
      <c r="G15" s="7" t="inlineStr">
        <is>
          <t>LIM</t>
        </is>
      </c>
      <c r="H15" s="7" t="inlineStr">
        <is>
          <t>MIA</t>
        </is>
      </c>
      <c r="I15" s="7" t="inlineStr">
        <is>
          <t>00:15:00</t>
        </is>
      </c>
      <c r="J15" s="7" t="inlineStr">
        <is>
          <t>06:20:00</t>
        </is>
      </c>
      <c r="K15" s="7" t="inlineStr">
        <is>
          <t>NO</t>
        </is>
      </c>
      <c r="L15" s="7" t="n">
        <v>763</v>
      </c>
      <c r="M15" s="7" t="inlineStr">
        <is>
          <t>06:05:00</t>
        </is>
      </c>
      <c r="N15" s="7" t="n">
        <v>2</v>
      </c>
      <c r="R15">
        <f>"- "&amp;G15&amp;"-"&amp;H15&amp;"   - LA "&amp;F15&amp;" ("&amp;LEFT(I15,5)&amp;"-"&amp;LEFT(J15,5)&amp;" hrs)"</f>
        <v/>
      </c>
    </row>
    <row r="16">
      <c r="B16" s="7" t="n">
        <v>39</v>
      </c>
      <c r="C16" s="7" t="inlineStr">
        <is>
          <t>04/09/2026</t>
        </is>
      </c>
      <c r="D16" s="7" t="inlineStr">
        <is>
          <t>Sep-2026</t>
        </is>
      </c>
      <c r="E16" s="7" t="inlineStr">
        <is>
          <t>viernes</t>
        </is>
      </c>
      <c r="F16" s="7" t="n">
        <v>2481</v>
      </c>
      <c r="G16" s="7" t="inlineStr">
        <is>
          <t>MIA</t>
        </is>
      </c>
      <c r="H16" s="7" t="inlineStr">
        <is>
          <t>LIM</t>
        </is>
      </c>
      <c r="I16" s="7" t="inlineStr">
        <is>
          <t>15:55:00</t>
        </is>
      </c>
      <c r="J16" s="7" t="inlineStr">
        <is>
          <t>21:40:00</t>
        </is>
      </c>
      <c r="K16" s="7" t="inlineStr">
        <is>
          <t>NO</t>
        </is>
      </c>
      <c r="L16" s="7" t="n">
        <v>763</v>
      </c>
      <c r="M16" s="7" t="inlineStr">
        <is>
          <t>05:45:00</t>
        </is>
      </c>
      <c r="N16" s="7" t="n">
        <v>3</v>
      </c>
      <c r="O16">
        <f>IF(O14="","",O14)</f>
        <v/>
      </c>
      <c r="R16">
        <f>"- "&amp;G16&amp;"-"&amp;H16&amp;"   - LA "&amp;F16&amp;" ("&amp;LEFT(I16,5)&amp;"-"&amp;LEFT(J16,5)&amp;" hrs)"</f>
        <v/>
      </c>
    </row>
    <row r="19">
      <c r="B19" s="3" t="inlineStr">
        <is>
          <t>Pairing ID</t>
        </is>
      </c>
      <c r="C19" s="3" t="inlineStr">
        <is>
          <t>FECHA REAL</t>
        </is>
      </c>
      <c r="D19" s="4" t="inlineStr">
        <is>
          <t>MES</t>
        </is>
      </c>
      <c r="E19" s="3" t="inlineStr">
        <is>
          <t>Day of Week</t>
        </is>
      </c>
      <c r="F19" s="3" t="inlineStr">
        <is>
          <t>Flight No</t>
        </is>
      </c>
      <c r="G19" s="3" t="inlineStr">
        <is>
          <t>Dep Stn</t>
        </is>
      </c>
      <c r="H19" s="3" t="inlineStr">
        <is>
          <t>Arr Stn</t>
        </is>
      </c>
      <c r="I19" s="3" t="inlineStr">
        <is>
          <t>STD</t>
        </is>
      </c>
      <c r="J19" s="3" t="inlineStr">
        <is>
          <t>STA</t>
        </is>
      </c>
      <c r="K19" s="3" t="inlineStr">
        <is>
          <t>DAY</t>
        </is>
      </c>
      <c r="L19" s="3" t="inlineStr">
        <is>
          <t>AC Type</t>
        </is>
      </c>
      <c r="M19" s="3" t="inlineStr">
        <is>
          <t>HBT</t>
        </is>
      </c>
      <c r="N19" s="5" t="inlineStr">
        <is>
          <t>DIA_DUTY</t>
        </is>
      </c>
      <c r="O19" s="6" t="n"/>
      <c r="Q19" s="6" t="inlineStr">
        <is>
          <t>LCK B767</t>
        </is>
      </c>
      <c r="S19" s="7">
        <f>B20</f>
        <v/>
      </c>
      <c r="T19" s="7">
        <f>C20</f>
        <v/>
      </c>
      <c r="U19" s="7">
        <f>D20</f>
        <v/>
      </c>
      <c r="V19" s="7">
        <f>F20&amp;"/"&amp;F21</f>
        <v/>
      </c>
      <c r="W19" s="7">
        <f>G20&amp;"-"&amp;H20&amp;"-"&amp;G20</f>
        <v/>
      </c>
      <c r="X19" s="7">
        <f>IF(O19="","",O19)</f>
        <v/>
      </c>
      <c r="Y19" s="7">
        <f>Q19</f>
        <v/>
      </c>
      <c r="Z19" s="7">
        <f>C20</f>
        <v/>
      </c>
      <c r="AA19" s="7">
        <f>C21</f>
        <v/>
      </c>
    </row>
    <row r="20">
      <c r="B20" s="7" t="n">
        <v>44</v>
      </c>
      <c r="C20" s="7" t="inlineStr">
        <is>
          <t>03/09/2026</t>
        </is>
      </c>
      <c r="D20" s="7" t="inlineStr">
        <is>
          <t>Sep-2026</t>
        </is>
      </c>
      <c r="E20" s="7" t="inlineStr">
        <is>
          <t>jueves</t>
        </is>
      </c>
      <c r="F20" s="7" t="n">
        <v>2413</v>
      </c>
      <c r="G20" s="7" t="inlineStr">
        <is>
          <t>LIM</t>
        </is>
      </c>
      <c r="H20" s="7" t="inlineStr">
        <is>
          <t>SCL</t>
        </is>
      </c>
      <c r="I20" s="7" t="inlineStr">
        <is>
          <t>12:05:00</t>
        </is>
      </c>
      <c r="J20" s="7" t="inlineStr">
        <is>
          <t>15:45:00</t>
        </is>
      </c>
      <c r="K20" s="7" t="inlineStr">
        <is>
          <t>NO</t>
        </is>
      </c>
      <c r="L20" s="7" t="n">
        <v>763</v>
      </c>
      <c r="M20" s="7" t="inlineStr">
        <is>
          <t>03:40:00</t>
        </is>
      </c>
      <c r="N20" s="7" t="n">
        <v>1</v>
      </c>
      <c r="R20">
        <f>"- "&amp;G20&amp;"-"&amp;H20&amp;"   - LA "&amp;F20&amp;" ("&amp;LEFT(I20,5)&amp;"-"&amp;LEFT(J20,5)&amp;" hrs)"</f>
        <v/>
      </c>
    </row>
    <row r="21">
      <c r="B21" s="7" t="n">
        <v>44</v>
      </c>
      <c r="C21" s="7" t="inlineStr">
        <is>
          <t>03/09/2026</t>
        </is>
      </c>
      <c r="D21" s="7" t="inlineStr">
        <is>
          <t>Sep-2026</t>
        </is>
      </c>
      <c r="E21" s="7" t="inlineStr">
        <is>
          <t>jueves</t>
        </is>
      </c>
      <c r="F21" s="7" t="n">
        <v>2412</v>
      </c>
      <c r="G21" s="7" t="inlineStr">
        <is>
          <t>SCL</t>
        </is>
      </c>
      <c r="H21" s="7" t="inlineStr">
        <is>
          <t>LIM</t>
        </is>
      </c>
      <c r="I21" s="7" t="inlineStr">
        <is>
          <t>17:10:00</t>
        </is>
      </c>
      <c r="J21" s="7" t="inlineStr">
        <is>
          <t>21:00:00</t>
        </is>
      </c>
      <c r="K21" s="7" t="inlineStr">
        <is>
          <t>NO</t>
        </is>
      </c>
      <c r="L21" s="7" t="n">
        <v>763</v>
      </c>
      <c r="M21" s="7" t="inlineStr">
        <is>
          <t>03:50:00</t>
        </is>
      </c>
      <c r="N21" s="7" t="n">
        <v>1</v>
      </c>
      <c r="O21">
        <f>IF(O19="","",O19)</f>
        <v/>
      </c>
      <c r="R21">
        <f>"- "&amp;G21&amp;"-"&amp;H21&amp;"   - LA "&amp;F21&amp;" ("&amp;LEFT(I21,5)&amp;"-"&amp;LEFT(J21,5)&amp;" hrs)"</f>
        <v/>
      </c>
    </row>
    <row r="24">
      <c r="B24" s="3" t="inlineStr">
        <is>
          <t>Pairing ID</t>
        </is>
      </c>
      <c r="C24" s="3" t="inlineStr">
        <is>
          <t>FECHA REAL</t>
        </is>
      </c>
      <c r="D24" s="4" t="inlineStr">
        <is>
          <t>MES</t>
        </is>
      </c>
      <c r="E24" s="3" t="inlineStr">
        <is>
          <t>Day of Week</t>
        </is>
      </c>
      <c r="F24" s="3" t="inlineStr">
        <is>
          <t>Flight No</t>
        </is>
      </c>
      <c r="G24" s="3" t="inlineStr">
        <is>
          <t>Dep Stn</t>
        </is>
      </c>
      <c r="H24" s="3" t="inlineStr">
        <is>
          <t>Arr Stn</t>
        </is>
      </c>
      <c r="I24" s="3" t="inlineStr">
        <is>
          <t>STD</t>
        </is>
      </c>
      <c r="J24" s="3" t="inlineStr">
        <is>
          <t>STA</t>
        </is>
      </c>
      <c r="K24" s="3" t="inlineStr">
        <is>
          <t>DAY</t>
        </is>
      </c>
      <c r="L24" s="3" t="inlineStr">
        <is>
          <t>AC Type</t>
        </is>
      </c>
      <c r="M24" s="3" t="inlineStr">
        <is>
          <t>HBT</t>
        </is>
      </c>
      <c r="N24" s="5" t="inlineStr">
        <is>
          <t>DIA_DUTY</t>
        </is>
      </c>
      <c r="O24" s="6" t="n"/>
      <c r="Q24" s="6" t="inlineStr">
        <is>
          <t>LCK B767</t>
        </is>
      </c>
      <c r="S24" s="7">
        <f>B25</f>
        <v/>
      </c>
      <c r="T24" s="7">
        <f>C25</f>
        <v/>
      </c>
      <c r="U24" s="7">
        <f>D25</f>
        <v/>
      </c>
      <c r="V24" s="7">
        <f>F25&amp;"/"&amp;F26</f>
        <v/>
      </c>
      <c r="W24" s="7">
        <f>G25&amp;"-"&amp;H25&amp;"-"&amp;G25</f>
        <v/>
      </c>
      <c r="X24" s="7">
        <f>IF(O24="","",O24)</f>
        <v/>
      </c>
      <c r="Y24" s="7">
        <f>Q24</f>
        <v/>
      </c>
      <c r="Z24" s="7">
        <f>C25</f>
        <v/>
      </c>
      <c r="AA24" s="7">
        <f>C26</f>
        <v/>
      </c>
    </row>
    <row r="25">
      <c r="B25" s="7" t="n">
        <v>54</v>
      </c>
      <c r="C25" s="7" t="inlineStr">
        <is>
          <t>04/09/2026</t>
        </is>
      </c>
      <c r="D25" s="7" t="inlineStr">
        <is>
          <t>Sep-2026</t>
        </is>
      </c>
      <c r="E25" s="7" t="inlineStr">
        <is>
          <t>viernes</t>
        </is>
      </c>
      <c r="F25" s="7" t="n">
        <v>2413</v>
      </c>
      <c r="G25" s="7" t="inlineStr">
        <is>
          <t>LIM</t>
        </is>
      </c>
      <c r="H25" s="7" t="inlineStr">
        <is>
          <t>SCL</t>
        </is>
      </c>
      <c r="I25" s="7" t="inlineStr">
        <is>
          <t>12:05:00</t>
        </is>
      </c>
      <c r="J25" s="7" t="inlineStr">
        <is>
          <t>15:45:00</t>
        </is>
      </c>
      <c r="K25" s="7" t="inlineStr">
        <is>
          <t>NO</t>
        </is>
      </c>
      <c r="L25" s="7" t="n">
        <v>763</v>
      </c>
      <c r="M25" s="7" t="inlineStr">
        <is>
          <t>03:40:00</t>
        </is>
      </c>
      <c r="N25" s="7" t="n">
        <v>1</v>
      </c>
      <c r="R25">
        <f>"- "&amp;G25&amp;"-"&amp;H25&amp;"   - LA "&amp;F25&amp;" ("&amp;LEFT(I25,5)&amp;"-"&amp;LEFT(J25,5)&amp;" hrs)"</f>
        <v/>
      </c>
    </row>
    <row r="26">
      <c r="B26" s="7" t="n">
        <v>54</v>
      </c>
      <c r="C26" s="7" t="inlineStr">
        <is>
          <t>04/09/2026</t>
        </is>
      </c>
      <c r="D26" s="7" t="inlineStr">
        <is>
          <t>Sep-2026</t>
        </is>
      </c>
      <c r="E26" s="7" t="inlineStr">
        <is>
          <t>viernes</t>
        </is>
      </c>
      <c r="F26" s="7" t="n">
        <v>2412</v>
      </c>
      <c r="G26" s="7" t="inlineStr">
        <is>
          <t>SCL</t>
        </is>
      </c>
      <c r="H26" s="7" t="inlineStr">
        <is>
          <t>LIM</t>
        </is>
      </c>
      <c r="I26" s="7" t="inlineStr">
        <is>
          <t>17:10:00</t>
        </is>
      </c>
      <c r="J26" s="7" t="inlineStr">
        <is>
          <t>21:00:00</t>
        </is>
      </c>
      <c r="K26" s="7" t="inlineStr">
        <is>
          <t>NO</t>
        </is>
      </c>
      <c r="L26" s="7" t="n">
        <v>763</v>
      </c>
      <c r="M26" s="7" t="inlineStr">
        <is>
          <t>03:50:00</t>
        </is>
      </c>
      <c r="N26" s="7" t="n">
        <v>1</v>
      </c>
      <c r="O26">
        <f>IF(O24="","",O24)</f>
        <v/>
      </c>
      <c r="R26">
        <f>"- "&amp;G26&amp;"-"&amp;H26&amp;"   - LA "&amp;F26&amp;" ("&amp;LEFT(I26,5)&amp;"-"&amp;LEFT(J26,5)&amp;" hrs)"</f>
        <v/>
      </c>
    </row>
    <row r="29">
      <c r="B29" s="3" t="inlineStr">
        <is>
          <t>Pairing ID</t>
        </is>
      </c>
      <c r="C29" s="3" t="inlineStr">
        <is>
          <t>FECHA REAL</t>
        </is>
      </c>
      <c r="D29" s="4" t="inlineStr">
        <is>
          <t>MES</t>
        </is>
      </c>
      <c r="E29" s="3" t="inlineStr">
        <is>
          <t>Day of Week</t>
        </is>
      </c>
      <c r="F29" s="3" t="inlineStr">
        <is>
          <t>Flight No</t>
        </is>
      </c>
      <c r="G29" s="3" t="inlineStr">
        <is>
          <t>Dep Stn</t>
        </is>
      </c>
      <c r="H29" s="3" t="inlineStr">
        <is>
          <t>Arr Stn</t>
        </is>
      </c>
      <c r="I29" s="3" t="inlineStr">
        <is>
          <t>STD</t>
        </is>
      </c>
      <c r="J29" s="3" t="inlineStr">
        <is>
          <t>STA</t>
        </is>
      </c>
      <c r="K29" s="3" t="inlineStr">
        <is>
          <t>DAY</t>
        </is>
      </c>
      <c r="L29" s="3" t="inlineStr">
        <is>
          <t>AC Type</t>
        </is>
      </c>
      <c r="M29" s="3" t="inlineStr">
        <is>
          <t>HBT</t>
        </is>
      </c>
      <c r="N29" s="5" t="inlineStr">
        <is>
          <t>DIA_DUTY</t>
        </is>
      </c>
      <c r="O29" s="6" t="n"/>
      <c r="Q29" s="6" t="inlineStr">
        <is>
          <t>LCK B767</t>
        </is>
      </c>
      <c r="S29" s="7">
        <f>B30</f>
        <v/>
      </c>
      <c r="T29" s="7">
        <f>C30</f>
        <v/>
      </c>
      <c r="U29" s="7">
        <f>D30</f>
        <v/>
      </c>
      <c r="V29" s="7">
        <f>F30&amp;"/"&amp;F31</f>
        <v/>
      </c>
      <c r="W29" s="7">
        <f>G30&amp;"-"&amp;H30&amp;"-"&amp;G30</f>
        <v/>
      </c>
      <c r="X29" s="7">
        <f>IF(O29="","",O29)</f>
        <v/>
      </c>
      <c r="Y29" s="7">
        <f>Q29</f>
        <v/>
      </c>
      <c r="Z29" s="7">
        <f>C30</f>
        <v/>
      </c>
      <c r="AA29" s="7">
        <f>C31</f>
        <v/>
      </c>
    </row>
    <row r="30">
      <c r="B30" s="7" t="n">
        <v>88</v>
      </c>
      <c r="C30" s="7" t="inlineStr">
        <is>
          <t>07/09/2026</t>
        </is>
      </c>
      <c r="D30" s="7" t="inlineStr">
        <is>
          <t>Sep-2026</t>
        </is>
      </c>
      <c r="E30" s="7" t="inlineStr">
        <is>
          <t>lunes</t>
        </is>
      </c>
      <c r="F30" s="7" t="n">
        <v>2694</v>
      </c>
      <c r="G30" s="7" t="inlineStr">
        <is>
          <t>LIM</t>
        </is>
      </c>
      <c r="H30" s="7" t="inlineStr">
        <is>
          <t>MIA</t>
        </is>
      </c>
      <c r="I30" s="7" t="inlineStr">
        <is>
          <t>13:30:00</t>
        </is>
      </c>
      <c r="J30" s="7" t="inlineStr">
        <is>
          <t>19:35:00</t>
        </is>
      </c>
      <c r="K30" s="7" t="inlineStr">
        <is>
          <t>NO</t>
        </is>
      </c>
      <c r="L30" s="7" t="n">
        <v>763</v>
      </c>
      <c r="M30" s="7" t="inlineStr">
        <is>
          <t>06:05:00</t>
        </is>
      </c>
      <c r="N30" s="7" t="n">
        <v>1</v>
      </c>
      <c r="R30">
        <f>"- "&amp;G30&amp;"-"&amp;H30&amp;"   - LA "&amp;F30&amp;" ("&amp;LEFT(I30,5)&amp;"-"&amp;LEFT(J30,5)&amp;" hrs)"</f>
        <v/>
      </c>
    </row>
    <row r="31">
      <c r="B31" s="7" t="n">
        <v>88</v>
      </c>
      <c r="C31" s="7" t="inlineStr">
        <is>
          <t>09/09/2026</t>
        </is>
      </c>
      <c r="D31" s="7" t="inlineStr">
        <is>
          <t>Sep-2026</t>
        </is>
      </c>
      <c r="E31" s="7" t="inlineStr">
        <is>
          <t>miércoles</t>
        </is>
      </c>
      <c r="F31" s="7" t="n">
        <v>2699</v>
      </c>
      <c r="G31" s="7" t="inlineStr">
        <is>
          <t>MIA</t>
        </is>
      </c>
      <c r="H31" s="7" t="inlineStr">
        <is>
          <t>LIM</t>
        </is>
      </c>
      <c r="I31" s="7" t="inlineStr">
        <is>
          <t>23:15:00</t>
        </is>
      </c>
      <c r="J31" s="7" t="inlineStr">
        <is>
          <t>05:00:00</t>
        </is>
      </c>
      <c r="K31" s="7" t="inlineStr">
        <is>
          <t>NO</t>
        </is>
      </c>
      <c r="L31" s="7" t="n">
        <v>763</v>
      </c>
      <c r="M31" s="7" t="inlineStr">
        <is>
          <t>05:45:00</t>
        </is>
      </c>
      <c r="N31" s="7" t="n">
        <v>2</v>
      </c>
      <c r="O31">
        <f>IF(O29="","",O29)</f>
        <v/>
      </c>
      <c r="R31">
        <f>"- "&amp;G31&amp;"-"&amp;H31&amp;"   - LA "&amp;F31&amp;" ("&amp;LEFT(I31,5)&amp;"-"&amp;LEFT(J31,5)&amp;" hrs)"</f>
        <v/>
      </c>
    </row>
    <row r="34">
      <c r="B34" s="3" t="inlineStr">
        <is>
          <t>Pairing ID</t>
        </is>
      </c>
      <c r="C34" s="3" t="inlineStr">
        <is>
          <t>FECHA REAL</t>
        </is>
      </c>
      <c r="D34" s="4" t="inlineStr">
        <is>
          <t>MES</t>
        </is>
      </c>
      <c r="E34" s="3" t="inlineStr">
        <is>
          <t>Day of Week</t>
        </is>
      </c>
      <c r="F34" s="3" t="inlineStr">
        <is>
          <t>Flight No</t>
        </is>
      </c>
      <c r="G34" s="3" t="inlineStr">
        <is>
          <t>Dep Stn</t>
        </is>
      </c>
      <c r="H34" s="3" t="inlineStr">
        <is>
          <t>Arr Stn</t>
        </is>
      </c>
      <c r="I34" s="3" t="inlineStr">
        <is>
          <t>STD</t>
        </is>
      </c>
      <c r="J34" s="3" t="inlineStr">
        <is>
          <t>STA</t>
        </is>
      </c>
      <c r="K34" s="3" t="inlineStr">
        <is>
          <t>DAY</t>
        </is>
      </c>
      <c r="L34" s="3" t="inlineStr">
        <is>
          <t>AC Type</t>
        </is>
      </c>
      <c r="M34" s="3" t="inlineStr">
        <is>
          <t>HBT</t>
        </is>
      </c>
      <c r="N34" s="5" t="inlineStr">
        <is>
          <t>DIA_DUTY</t>
        </is>
      </c>
      <c r="O34" s="6" t="n"/>
      <c r="Q34" s="6" t="inlineStr">
        <is>
          <t>LCK B767</t>
        </is>
      </c>
      <c r="S34" s="7">
        <f>B35</f>
        <v/>
      </c>
      <c r="T34" s="7">
        <f>C35</f>
        <v/>
      </c>
      <c r="U34" s="7">
        <f>D35</f>
        <v/>
      </c>
      <c r="V34" s="7">
        <f>F35&amp;"/"&amp;F36</f>
        <v/>
      </c>
      <c r="W34" s="7">
        <f>G35&amp;"-"&amp;H35&amp;"-"&amp;G35</f>
        <v/>
      </c>
      <c r="X34" s="7">
        <f>IF(O34="","",O34)</f>
        <v/>
      </c>
      <c r="Y34" s="7">
        <f>Q34</f>
        <v/>
      </c>
      <c r="Z34" s="7">
        <f>C35</f>
        <v/>
      </c>
      <c r="AA34" s="7">
        <f>C36</f>
        <v/>
      </c>
    </row>
    <row r="35">
      <c r="B35" s="7" t="n">
        <v>91</v>
      </c>
      <c r="C35" s="7" t="inlineStr">
        <is>
          <t>08/09/2026</t>
        </is>
      </c>
      <c r="D35" s="7" t="inlineStr">
        <is>
          <t>Sep-2026</t>
        </is>
      </c>
      <c r="E35" s="7" t="inlineStr">
        <is>
          <t>martes</t>
        </is>
      </c>
      <c r="F35" s="7" t="n">
        <v>2480</v>
      </c>
      <c r="G35" s="7" t="inlineStr">
        <is>
          <t>LIM</t>
        </is>
      </c>
      <c r="H35" s="7" t="inlineStr">
        <is>
          <t>MIA</t>
        </is>
      </c>
      <c r="I35" s="7" t="inlineStr">
        <is>
          <t>00:15:00</t>
        </is>
      </c>
      <c r="J35" s="7" t="inlineStr">
        <is>
          <t>06:20:00</t>
        </is>
      </c>
      <c r="K35" s="7" t="inlineStr">
        <is>
          <t>NO</t>
        </is>
      </c>
      <c r="L35" s="7" t="n">
        <v>763</v>
      </c>
      <c r="M35" s="7" t="inlineStr">
        <is>
          <t>06:05:00</t>
        </is>
      </c>
      <c r="N35" s="7" t="n">
        <v>2</v>
      </c>
      <c r="R35">
        <f>"- "&amp;G35&amp;"-"&amp;H35&amp;"   - LA "&amp;F35&amp;" ("&amp;LEFT(I35,5)&amp;"-"&amp;LEFT(J35,5)&amp;" hrs)"</f>
        <v/>
      </c>
    </row>
    <row r="36">
      <c r="B36" s="7" t="n">
        <v>91</v>
      </c>
      <c r="C36" s="7" t="inlineStr">
        <is>
          <t>09/09/2026</t>
        </is>
      </c>
      <c r="D36" s="7" t="inlineStr">
        <is>
          <t>Sep-2026</t>
        </is>
      </c>
      <c r="E36" s="7" t="inlineStr">
        <is>
          <t>miércoles</t>
        </is>
      </c>
      <c r="F36" s="7" t="n">
        <v>2481</v>
      </c>
      <c r="G36" s="7" t="inlineStr">
        <is>
          <t>MIA</t>
        </is>
      </c>
      <c r="H36" s="7" t="inlineStr">
        <is>
          <t>LIM</t>
        </is>
      </c>
      <c r="I36" s="7" t="inlineStr">
        <is>
          <t>15:55:00</t>
        </is>
      </c>
      <c r="J36" s="7" t="inlineStr">
        <is>
          <t>21:40:00</t>
        </is>
      </c>
      <c r="K36" s="7" t="inlineStr">
        <is>
          <t>NO</t>
        </is>
      </c>
      <c r="L36" s="7" t="n">
        <v>763</v>
      </c>
      <c r="M36" s="7" t="inlineStr">
        <is>
          <t>05:45:00</t>
        </is>
      </c>
      <c r="N36" s="7" t="n">
        <v>3</v>
      </c>
      <c r="O36">
        <f>IF(O34="","",O34)</f>
        <v/>
      </c>
      <c r="R36">
        <f>"- "&amp;G36&amp;"-"&amp;H36&amp;"   - LA "&amp;F36&amp;" ("&amp;LEFT(I36,5)&amp;"-"&amp;LEFT(J36,5)&amp;" hrs)"</f>
        <v/>
      </c>
    </row>
    <row r="39">
      <c r="B39" s="3" t="inlineStr">
        <is>
          <t>Pairing ID</t>
        </is>
      </c>
      <c r="C39" s="3" t="inlineStr">
        <is>
          <t>FECHA REAL</t>
        </is>
      </c>
      <c r="D39" s="4" t="inlineStr">
        <is>
          <t>MES</t>
        </is>
      </c>
      <c r="E39" s="3" t="inlineStr">
        <is>
          <t>Day of Week</t>
        </is>
      </c>
      <c r="F39" s="3" t="inlineStr">
        <is>
          <t>Flight No</t>
        </is>
      </c>
      <c r="G39" s="3" t="inlineStr">
        <is>
          <t>Dep Stn</t>
        </is>
      </c>
      <c r="H39" s="3" t="inlineStr">
        <is>
          <t>Arr Stn</t>
        </is>
      </c>
      <c r="I39" s="3" t="inlineStr">
        <is>
          <t>STD</t>
        </is>
      </c>
      <c r="J39" s="3" t="inlineStr">
        <is>
          <t>STA</t>
        </is>
      </c>
      <c r="K39" s="3" t="inlineStr">
        <is>
          <t>DAY</t>
        </is>
      </c>
      <c r="L39" s="3" t="inlineStr">
        <is>
          <t>AC Type</t>
        </is>
      </c>
      <c r="M39" s="3" t="inlineStr">
        <is>
          <t>HBT</t>
        </is>
      </c>
      <c r="N39" s="5" t="inlineStr">
        <is>
          <t>DIA_DUTY</t>
        </is>
      </c>
      <c r="O39" s="6" t="n"/>
      <c r="Q39" s="6" t="inlineStr">
        <is>
          <t>LCK B767</t>
        </is>
      </c>
      <c r="S39" s="7">
        <f>B40</f>
        <v/>
      </c>
      <c r="T39" s="7">
        <f>C40</f>
        <v/>
      </c>
      <c r="U39" s="7">
        <f>D40</f>
        <v/>
      </c>
      <c r="V39" s="7">
        <f>F40&amp;"/"&amp;F41</f>
        <v/>
      </c>
      <c r="W39" s="7">
        <f>G40&amp;"-"&amp;H40&amp;"-"&amp;G40</f>
        <v/>
      </c>
      <c r="X39" s="7">
        <f>IF(O39="","",O39)</f>
        <v/>
      </c>
      <c r="Y39" s="7">
        <f>Q39</f>
        <v/>
      </c>
      <c r="Z39" s="7">
        <f>C40</f>
        <v/>
      </c>
      <c r="AA39" s="7">
        <f>C41</f>
        <v/>
      </c>
    </row>
    <row r="40">
      <c r="B40" s="7" t="n">
        <v>100</v>
      </c>
      <c r="C40" s="7" t="inlineStr">
        <is>
          <t>09/09/2026</t>
        </is>
      </c>
      <c r="D40" s="7" t="inlineStr">
        <is>
          <t>Sep-2026</t>
        </is>
      </c>
      <c r="E40" s="7" t="inlineStr">
        <is>
          <t>miércoles</t>
        </is>
      </c>
      <c r="F40" s="7" t="n">
        <v>2480</v>
      </c>
      <c r="G40" s="7" t="inlineStr">
        <is>
          <t>LIM</t>
        </is>
      </c>
      <c r="H40" s="7" t="inlineStr">
        <is>
          <t>MIA</t>
        </is>
      </c>
      <c r="I40" s="7" t="inlineStr">
        <is>
          <t>00:15:00</t>
        </is>
      </c>
      <c r="J40" s="7" t="inlineStr">
        <is>
          <t>06:20:00</t>
        </is>
      </c>
      <c r="K40" s="7" t="inlineStr">
        <is>
          <t>NO</t>
        </is>
      </c>
      <c r="L40" s="7" t="n">
        <v>763</v>
      </c>
      <c r="M40" s="7" t="inlineStr">
        <is>
          <t>06:05:00</t>
        </is>
      </c>
      <c r="N40" s="7" t="n">
        <v>2</v>
      </c>
      <c r="R40">
        <f>"- "&amp;G40&amp;"-"&amp;H40&amp;"   - LA "&amp;F40&amp;" ("&amp;LEFT(I40,5)&amp;"-"&amp;LEFT(J40,5)&amp;" hrs)"</f>
        <v/>
      </c>
    </row>
    <row r="41">
      <c r="B41" s="7" t="n">
        <v>100</v>
      </c>
      <c r="C41" s="7" t="inlineStr">
        <is>
          <t>10/09/2026</t>
        </is>
      </c>
      <c r="D41" s="7" t="inlineStr">
        <is>
          <t>Sep-2026</t>
        </is>
      </c>
      <c r="E41" s="7" t="inlineStr">
        <is>
          <t>jueves</t>
        </is>
      </c>
      <c r="F41" s="7" t="n">
        <v>2695</v>
      </c>
      <c r="G41" s="7" t="inlineStr">
        <is>
          <t>MIA</t>
        </is>
      </c>
      <c r="H41" s="7" t="inlineStr">
        <is>
          <t>LIM</t>
        </is>
      </c>
      <c r="I41" s="7" t="inlineStr">
        <is>
          <t>16:10:00</t>
        </is>
      </c>
      <c r="J41" s="7" t="inlineStr">
        <is>
          <t>22:00:00</t>
        </is>
      </c>
      <c r="K41" s="7" t="inlineStr">
        <is>
          <t>NO</t>
        </is>
      </c>
      <c r="L41" s="7" t="n">
        <v>763</v>
      </c>
      <c r="M41" s="7" t="inlineStr">
        <is>
          <t>05:50:00</t>
        </is>
      </c>
      <c r="N41" s="7" t="n">
        <v>3</v>
      </c>
      <c r="O41">
        <f>IF(O39="","",O39)</f>
        <v/>
      </c>
      <c r="R41">
        <f>"- "&amp;G41&amp;"-"&amp;H41&amp;"   - LA "&amp;F41&amp;" ("&amp;LEFT(I41,5)&amp;"-"&amp;LEFT(J41,5)&amp;" hrs)"</f>
        <v/>
      </c>
    </row>
    <row r="44">
      <c r="B44" s="3" t="inlineStr">
        <is>
          <t>Pairing ID</t>
        </is>
      </c>
      <c r="C44" s="3" t="inlineStr">
        <is>
          <t>FECHA REAL</t>
        </is>
      </c>
      <c r="D44" s="4" t="inlineStr">
        <is>
          <t>MES</t>
        </is>
      </c>
      <c r="E44" s="3" t="inlineStr">
        <is>
          <t>Day of Week</t>
        </is>
      </c>
      <c r="F44" s="3" t="inlineStr">
        <is>
          <t>Flight No</t>
        </is>
      </c>
      <c r="G44" s="3" t="inlineStr">
        <is>
          <t>Dep Stn</t>
        </is>
      </c>
      <c r="H44" s="3" t="inlineStr">
        <is>
          <t>Arr Stn</t>
        </is>
      </c>
      <c r="I44" s="3" t="inlineStr">
        <is>
          <t>STD</t>
        </is>
      </c>
      <c r="J44" s="3" t="inlineStr">
        <is>
          <t>STA</t>
        </is>
      </c>
      <c r="K44" s="3" t="inlineStr">
        <is>
          <t>DAY</t>
        </is>
      </c>
      <c r="L44" s="3" t="inlineStr">
        <is>
          <t>AC Type</t>
        </is>
      </c>
      <c r="M44" s="3" t="inlineStr">
        <is>
          <t>HBT</t>
        </is>
      </c>
      <c r="N44" s="5" t="inlineStr">
        <is>
          <t>DIA_DUTY</t>
        </is>
      </c>
      <c r="O44" s="6" t="n"/>
      <c r="Q44" s="6" t="inlineStr">
        <is>
          <t>LCK B767</t>
        </is>
      </c>
      <c r="S44" s="7">
        <f>B45</f>
        <v/>
      </c>
      <c r="T44" s="7">
        <f>C45</f>
        <v/>
      </c>
      <c r="U44" s="7">
        <f>D45</f>
        <v/>
      </c>
      <c r="V44" s="7">
        <f>F45&amp;"/"&amp;F46</f>
        <v/>
      </c>
      <c r="W44" s="7">
        <f>G45&amp;"-"&amp;H45&amp;"-"&amp;G45</f>
        <v/>
      </c>
      <c r="X44" s="7">
        <f>IF(O44="","",O44)</f>
        <v/>
      </c>
      <c r="Y44" s="7">
        <f>Q44</f>
        <v/>
      </c>
      <c r="Z44" s="7">
        <f>C45</f>
        <v/>
      </c>
      <c r="AA44" s="7">
        <f>C46</f>
        <v/>
      </c>
    </row>
    <row r="45">
      <c r="B45" s="7" t="n">
        <v>110</v>
      </c>
      <c r="C45" s="7" t="inlineStr">
        <is>
          <t>10/09/2026</t>
        </is>
      </c>
      <c r="D45" s="7" t="inlineStr">
        <is>
          <t>Sep-2026</t>
        </is>
      </c>
      <c r="E45" s="7" t="inlineStr">
        <is>
          <t>jueves</t>
        </is>
      </c>
      <c r="F45" s="7" t="n">
        <v>2480</v>
      </c>
      <c r="G45" s="7" t="inlineStr">
        <is>
          <t>LIM</t>
        </is>
      </c>
      <c r="H45" s="7" t="inlineStr">
        <is>
          <t>MIA</t>
        </is>
      </c>
      <c r="I45" s="7" t="inlineStr">
        <is>
          <t>00:15:00</t>
        </is>
      </c>
      <c r="J45" s="7" t="inlineStr">
        <is>
          <t>06:20:00</t>
        </is>
      </c>
      <c r="K45" s="7" t="inlineStr">
        <is>
          <t>NO</t>
        </is>
      </c>
      <c r="L45" s="7" t="n">
        <v>763</v>
      </c>
      <c r="M45" s="7" t="inlineStr">
        <is>
          <t>06:05:00</t>
        </is>
      </c>
      <c r="N45" s="7" t="n">
        <v>2</v>
      </c>
      <c r="R45">
        <f>"- "&amp;G45&amp;"-"&amp;H45&amp;"   - LA "&amp;F45&amp;" ("&amp;LEFT(I45,5)&amp;"-"&amp;LEFT(J45,5)&amp;" hrs)"</f>
        <v/>
      </c>
    </row>
    <row r="46">
      <c r="B46" s="7" t="n">
        <v>110</v>
      </c>
      <c r="C46" s="7" t="inlineStr">
        <is>
          <t>11/09/2026</t>
        </is>
      </c>
      <c r="D46" s="7" t="inlineStr">
        <is>
          <t>Sep-2026</t>
        </is>
      </c>
      <c r="E46" s="7" t="inlineStr">
        <is>
          <t>viernes</t>
        </is>
      </c>
      <c r="F46" s="7" t="n">
        <v>2481</v>
      </c>
      <c r="G46" s="7" t="inlineStr">
        <is>
          <t>MIA</t>
        </is>
      </c>
      <c r="H46" s="7" t="inlineStr">
        <is>
          <t>LIM</t>
        </is>
      </c>
      <c r="I46" s="7" t="inlineStr">
        <is>
          <t>15:55:00</t>
        </is>
      </c>
      <c r="J46" s="7" t="inlineStr">
        <is>
          <t>21:40:00</t>
        </is>
      </c>
      <c r="K46" s="7" t="inlineStr">
        <is>
          <t>NO</t>
        </is>
      </c>
      <c r="L46" s="7" t="n">
        <v>763</v>
      </c>
      <c r="M46" s="7" t="inlineStr">
        <is>
          <t>05:45:00</t>
        </is>
      </c>
      <c r="N46" s="7" t="n">
        <v>3</v>
      </c>
      <c r="O46">
        <f>IF(O44="","",O44)</f>
        <v/>
      </c>
      <c r="R46">
        <f>"- "&amp;G46&amp;"-"&amp;H46&amp;"   - LA "&amp;F46&amp;" ("&amp;LEFT(I46,5)&amp;"-"&amp;LEFT(J46,5)&amp;" hrs)"</f>
        <v/>
      </c>
    </row>
    <row r="49">
      <c r="B49" s="3" t="inlineStr">
        <is>
          <t>Pairing ID</t>
        </is>
      </c>
      <c r="C49" s="3" t="inlineStr">
        <is>
          <t>FECHA REAL</t>
        </is>
      </c>
      <c r="D49" s="4" t="inlineStr">
        <is>
          <t>MES</t>
        </is>
      </c>
      <c r="E49" s="3" t="inlineStr">
        <is>
          <t>Day of Week</t>
        </is>
      </c>
      <c r="F49" s="3" t="inlineStr">
        <is>
          <t>Flight No</t>
        </is>
      </c>
      <c r="G49" s="3" t="inlineStr">
        <is>
          <t>Dep Stn</t>
        </is>
      </c>
      <c r="H49" s="3" t="inlineStr">
        <is>
          <t>Arr Stn</t>
        </is>
      </c>
      <c r="I49" s="3" t="inlineStr">
        <is>
          <t>STD</t>
        </is>
      </c>
      <c r="J49" s="3" t="inlineStr">
        <is>
          <t>STA</t>
        </is>
      </c>
      <c r="K49" s="3" t="inlineStr">
        <is>
          <t>DAY</t>
        </is>
      </c>
      <c r="L49" s="3" t="inlineStr">
        <is>
          <t>AC Type</t>
        </is>
      </c>
      <c r="M49" s="3" t="inlineStr">
        <is>
          <t>HBT</t>
        </is>
      </c>
      <c r="N49" s="5" t="inlineStr">
        <is>
          <t>DIA_DUTY</t>
        </is>
      </c>
      <c r="O49" s="6" t="n"/>
      <c r="Q49" s="6" t="inlineStr">
        <is>
          <t>LCK B767</t>
        </is>
      </c>
      <c r="S49" s="7">
        <f>B50</f>
        <v/>
      </c>
      <c r="T49" s="7">
        <f>C50</f>
        <v/>
      </c>
      <c r="U49" s="7">
        <f>D50</f>
        <v/>
      </c>
      <c r="V49" s="7">
        <f>F50&amp;"/"&amp;F51</f>
        <v/>
      </c>
      <c r="W49" s="7">
        <f>G50&amp;"-"&amp;H50&amp;"-"&amp;G50</f>
        <v/>
      </c>
      <c r="X49" s="7">
        <f>IF(O49="","",O49)</f>
        <v/>
      </c>
      <c r="Y49" s="7">
        <f>Q49</f>
        <v/>
      </c>
      <c r="Z49" s="7">
        <f>C50</f>
        <v/>
      </c>
      <c r="AA49" s="7">
        <f>C51</f>
        <v/>
      </c>
    </row>
    <row r="50">
      <c r="B50" s="7" t="n">
        <v>115</v>
      </c>
      <c r="C50" s="7" t="inlineStr">
        <is>
          <t>10/09/2026</t>
        </is>
      </c>
      <c r="D50" s="7" t="inlineStr">
        <is>
          <t>Sep-2026</t>
        </is>
      </c>
      <c r="E50" s="7" t="inlineStr">
        <is>
          <t>jueves</t>
        </is>
      </c>
      <c r="F50" s="7" t="n">
        <v>2413</v>
      </c>
      <c r="G50" s="7" t="inlineStr">
        <is>
          <t>LIM</t>
        </is>
      </c>
      <c r="H50" s="7" t="inlineStr">
        <is>
          <t>SCL</t>
        </is>
      </c>
      <c r="I50" s="7" t="inlineStr">
        <is>
          <t>12:05:00</t>
        </is>
      </c>
      <c r="J50" s="7" t="inlineStr">
        <is>
          <t>15:45:00</t>
        </is>
      </c>
      <c r="K50" s="7" t="inlineStr">
        <is>
          <t>NO</t>
        </is>
      </c>
      <c r="L50" s="7" t="n">
        <v>763</v>
      </c>
      <c r="M50" s="7" t="inlineStr">
        <is>
          <t>03:40:00</t>
        </is>
      </c>
      <c r="N50" s="7" t="n">
        <v>1</v>
      </c>
      <c r="R50">
        <f>"- "&amp;G50&amp;"-"&amp;H50&amp;"   - LA "&amp;F50&amp;" ("&amp;LEFT(I50,5)&amp;"-"&amp;LEFT(J50,5)&amp;" hrs)"</f>
        <v/>
      </c>
    </row>
    <row r="51">
      <c r="B51" s="7" t="n">
        <v>115</v>
      </c>
      <c r="C51" s="7" t="inlineStr">
        <is>
          <t>10/09/2026</t>
        </is>
      </c>
      <c r="D51" s="7" t="inlineStr">
        <is>
          <t>Sep-2026</t>
        </is>
      </c>
      <c r="E51" s="7" t="inlineStr">
        <is>
          <t>jueves</t>
        </is>
      </c>
      <c r="F51" s="7" t="n">
        <v>2412</v>
      </c>
      <c r="G51" s="7" t="inlineStr">
        <is>
          <t>SCL</t>
        </is>
      </c>
      <c r="H51" s="7" t="inlineStr">
        <is>
          <t>LIM</t>
        </is>
      </c>
      <c r="I51" s="7" t="inlineStr">
        <is>
          <t>17:10:00</t>
        </is>
      </c>
      <c r="J51" s="7" t="inlineStr">
        <is>
          <t>21:00:00</t>
        </is>
      </c>
      <c r="K51" s="7" t="inlineStr">
        <is>
          <t>NO</t>
        </is>
      </c>
      <c r="L51" s="7" t="n">
        <v>763</v>
      </c>
      <c r="M51" s="7" t="inlineStr">
        <is>
          <t>03:50:00</t>
        </is>
      </c>
      <c r="N51" s="7" t="n">
        <v>1</v>
      </c>
      <c r="O51">
        <f>IF(O49="","",O49)</f>
        <v/>
      </c>
      <c r="R51">
        <f>"- "&amp;G51&amp;"-"&amp;H51&amp;"   - LA "&amp;F51&amp;" ("&amp;LEFT(I51,5)&amp;"-"&amp;LEFT(J51,5)&amp;" hrs)"</f>
        <v/>
      </c>
    </row>
    <row r="54">
      <c r="B54" s="3" t="inlineStr">
        <is>
          <t>Pairing ID</t>
        </is>
      </c>
      <c r="C54" s="3" t="inlineStr">
        <is>
          <t>FECHA REAL</t>
        </is>
      </c>
      <c r="D54" s="4" t="inlineStr">
        <is>
          <t>MES</t>
        </is>
      </c>
      <c r="E54" s="3" t="inlineStr">
        <is>
          <t>Day of Week</t>
        </is>
      </c>
      <c r="F54" s="3" t="inlineStr">
        <is>
          <t>Flight No</t>
        </is>
      </c>
      <c r="G54" s="3" t="inlineStr">
        <is>
          <t>Dep Stn</t>
        </is>
      </c>
      <c r="H54" s="3" t="inlineStr">
        <is>
          <t>Arr Stn</t>
        </is>
      </c>
      <c r="I54" s="3" t="inlineStr">
        <is>
          <t>STD</t>
        </is>
      </c>
      <c r="J54" s="3" t="inlineStr">
        <is>
          <t>STA</t>
        </is>
      </c>
      <c r="K54" s="3" t="inlineStr">
        <is>
          <t>DAY</t>
        </is>
      </c>
      <c r="L54" s="3" t="inlineStr">
        <is>
          <t>AC Type</t>
        </is>
      </c>
      <c r="M54" s="3" t="inlineStr">
        <is>
          <t>HBT</t>
        </is>
      </c>
      <c r="N54" s="5" t="inlineStr">
        <is>
          <t>DIA_DUTY</t>
        </is>
      </c>
      <c r="O54" s="6" t="n"/>
      <c r="Q54" s="6" t="inlineStr">
        <is>
          <t>LCK B767</t>
        </is>
      </c>
      <c r="S54" s="7">
        <f>B55</f>
        <v/>
      </c>
      <c r="T54" s="7">
        <f>C55</f>
        <v/>
      </c>
      <c r="U54" s="7">
        <f>D55</f>
        <v/>
      </c>
      <c r="V54" s="7">
        <f>F55&amp;"/"&amp;F56</f>
        <v/>
      </c>
      <c r="W54" s="7">
        <f>G55&amp;"-"&amp;H55&amp;"-"&amp;G55</f>
        <v/>
      </c>
      <c r="X54" s="7">
        <f>IF(O54="","",O54)</f>
        <v/>
      </c>
      <c r="Y54" s="7">
        <f>Q54</f>
        <v/>
      </c>
      <c r="Z54" s="7">
        <f>C55</f>
        <v/>
      </c>
      <c r="AA54" s="7">
        <f>C56</f>
        <v/>
      </c>
    </row>
    <row r="55">
      <c r="B55" s="7" t="n">
        <v>125</v>
      </c>
      <c r="C55" s="7" t="inlineStr">
        <is>
          <t>11/09/2026</t>
        </is>
      </c>
      <c r="D55" s="7" t="inlineStr">
        <is>
          <t>Sep-2026</t>
        </is>
      </c>
      <c r="E55" s="7" t="inlineStr">
        <is>
          <t>viernes</t>
        </is>
      </c>
      <c r="F55" s="7" t="n">
        <v>2413</v>
      </c>
      <c r="G55" s="7" t="inlineStr">
        <is>
          <t>LIM</t>
        </is>
      </c>
      <c r="H55" s="7" t="inlineStr">
        <is>
          <t>SCL</t>
        </is>
      </c>
      <c r="I55" s="7" t="inlineStr">
        <is>
          <t>12:05:00</t>
        </is>
      </c>
      <c r="J55" s="7" t="inlineStr">
        <is>
          <t>15:45:00</t>
        </is>
      </c>
      <c r="K55" s="7" t="inlineStr">
        <is>
          <t>NO</t>
        </is>
      </c>
      <c r="L55" s="7" t="n">
        <v>763</v>
      </c>
      <c r="M55" s="7" t="inlineStr">
        <is>
          <t>03:40:00</t>
        </is>
      </c>
      <c r="N55" s="7" t="n">
        <v>1</v>
      </c>
      <c r="R55">
        <f>"- "&amp;G55&amp;"-"&amp;H55&amp;"   - LA "&amp;F55&amp;" ("&amp;LEFT(I55,5)&amp;"-"&amp;LEFT(J55,5)&amp;" hrs)"</f>
        <v/>
      </c>
    </row>
    <row r="56">
      <c r="B56" s="7" t="n">
        <v>125</v>
      </c>
      <c r="C56" s="7" t="inlineStr">
        <is>
          <t>11/09/2026</t>
        </is>
      </c>
      <c r="D56" s="7" t="inlineStr">
        <is>
          <t>Sep-2026</t>
        </is>
      </c>
      <c r="E56" s="7" t="inlineStr">
        <is>
          <t>viernes</t>
        </is>
      </c>
      <c r="F56" s="7" t="n">
        <v>2412</v>
      </c>
      <c r="G56" s="7" t="inlineStr">
        <is>
          <t>SCL</t>
        </is>
      </c>
      <c r="H56" s="7" t="inlineStr">
        <is>
          <t>LIM</t>
        </is>
      </c>
      <c r="I56" s="7" t="inlineStr">
        <is>
          <t>17:10:00</t>
        </is>
      </c>
      <c r="J56" s="7" t="inlineStr">
        <is>
          <t>21:00:00</t>
        </is>
      </c>
      <c r="K56" s="7" t="inlineStr">
        <is>
          <t>NO</t>
        </is>
      </c>
      <c r="L56" s="7" t="n">
        <v>763</v>
      </c>
      <c r="M56" s="7" t="inlineStr">
        <is>
          <t>03:50:00</t>
        </is>
      </c>
      <c r="N56" s="7" t="n">
        <v>1</v>
      </c>
      <c r="O56">
        <f>IF(O54="","",O54)</f>
        <v/>
      </c>
      <c r="R56">
        <f>"- "&amp;G56&amp;"-"&amp;H56&amp;"   - LA "&amp;F56&amp;" ("&amp;LEFT(I56,5)&amp;"-"&amp;LEFT(J56,5)&amp;" hrs)"</f>
        <v/>
      </c>
    </row>
    <row r="59">
      <c r="B59" s="3" t="inlineStr">
        <is>
          <t>Pairing ID</t>
        </is>
      </c>
      <c r="C59" s="3" t="inlineStr">
        <is>
          <t>FECHA REAL</t>
        </is>
      </c>
      <c r="D59" s="4" t="inlineStr">
        <is>
          <t>MES</t>
        </is>
      </c>
      <c r="E59" s="3" t="inlineStr">
        <is>
          <t>Day of Week</t>
        </is>
      </c>
      <c r="F59" s="3" t="inlineStr">
        <is>
          <t>Flight No</t>
        </is>
      </c>
      <c r="G59" s="3" t="inlineStr">
        <is>
          <t>Dep Stn</t>
        </is>
      </c>
      <c r="H59" s="3" t="inlineStr">
        <is>
          <t>Arr Stn</t>
        </is>
      </c>
      <c r="I59" s="3" t="inlineStr">
        <is>
          <t>STD</t>
        </is>
      </c>
      <c r="J59" s="3" t="inlineStr">
        <is>
          <t>STA</t>
        </is>
      </c>
      <c r="K59" s="3" t="inlineStr">
        <is>
          <t>DAY</t>
        </is>
      </c>
      <c r="L59" s="3" t="inlineStr">
        <is>
          <t>AC Type</t>
        </is>
      </c>
      <c r="M59" s="3" t="inlineStr">
        <is>
          <t>HBT</t>
        </is>
      </c>
      <c r="N59" s="5" t="inlineStr">
        <is>
          <t>DIA_DUTY</t>
        </is>
      </c>
      <c r="O59" s="6" t="n"/>
      <c r="Q59" s="6" t="inlineStr">
        <is>
          <t>LCK B767</t>
        </is>
      </c>
      <c r="S59" s="7">
        <f>B60</f>
        <v/>
      </c>
      <c r="T59" s="7">
        <f>C60</f>
        <v/>
      </c>
      <c r="U59" s="7">
        <f>D60</f>
        <v/>
      </c>
      <c r="V59" s="7">
        <f>F60&amp;"/"&amp;F61</f>
        <v/>
      </c>
      <c r="W59" s="7">
        <f>G60&amp;"-"&amp;H60&amp;"-"&amp;G60</f>
        <v/>
      </c>
      <c r="X59" s="7">
        <f>IF(O59="","",O59)</f>
        <v/>
      </c>
      <c r="Y59" s="7">
        <f>Q59</f>
        <v/>
      </c>
      <c r="Z59" s="7">
        <f>C60</f>
        <v/>
      </c>
      <c r="AA59" s="7">
        <f>C61</f>
        <v/>
      </c>
    </row>
    <row r="60">
      <c r="B60" s="7" t="n">
        <v>159</v>
      </c>
      <c r="C60" s="7" t="inlineStr">
        <is>
          <t>14/09/2026</t>
        </is>
      </c>
      <c r="D60" s="7" t="inlineStr">
        <is>
          <t>Sep-2026</t>
        </is>
      </c>
      <c r="E60" s="7" t="inlineStr">
        <is>
          <t>lunes</t>
        </is>
      </c>
      <c r="F60" s="7" t="n">
        <v>2694</v>
      </c>
      <c r="G60" s="7" t="inlineStr">
        <is>
          <t>LIM</t>
        </is>
      </c>
      <c r="H60" s="7" t="inlineStr">
        <is>
          <t>MIA</t>
        </is>
      </c>
      <c r="I60" s="7" t="inlineStr">
        <is>
          <t>13:30:00</t>
        </is>
      </c>
      <c r="J60" s="7" t="inlineStr">
        <is>
          <t>19:35:00</t>
        </is>
      </c>
      <c r="K60" s="7" t="inlineStr">
        <is>
          <t>NO</t>
        </is>
      </c>
      <c r="L60" s="7" t="n">
        <v>763</v>
      </c>
      <c r="M60" s="7" t="inlineStr">
        <is>
          <t>06:05:00</t>
        </is>
      </c>
      <c r="N60" s="7" t="n">
        <v>1</v>
      </c>
      <c r="R60">
        <f>"- "&amp;G60&amp;"-"&amp;H60&amp;"   - LA "&amp;F60&amp;" ("&amp;LEFT(I60,5)&amp;"-"&amp;LEFT(J60,5)&amp;" hrs)"</f>
        <v/>
      </c>
    </row>
    <row r="61">
      <c r="B61" s="7" t="n">
        <v>159</v>
      </c>
      <c r="C61" s="7" t="inlineStr">
        <is>
          <t>16/09/2026</t>
        </is>
      </c>
      <c r="D61" s="7" t="inlineStr">
        <is>
          <t>Sep-2026</t>
        </is>
      </c>
      <c r="E61" s="7" t="inlineStr">
        <is>
          <t>miércoles</t>
        </is>
      </c>
      <c r="F61" s="7" t="n">
        <v>2699</v>
      </c>
      <c r="G61" s="7" t="inlineStr">
        <is>
          <t>MIA</t>
        </is>
      </c>
      <c r="H61" s="7" t="inlineStr">
        <is>
          <t>LIM</t>
        </is>
      </c>
      <c r="I61" s="7" t="inlineStr">
        <is>
          <t>23:15:00</t>
        </is>
      </c>
      <c r="J61" s="7" t="inlineStr">
        <is>
          <t>05:00:00</t>
        </is>
      </c>
      <c r="K61" s="7" t="inlineStr">
        <is>
          <t>NO</t>
        </is>
      </c>
      <c r="L61" s="7" t="n">
        <v>763</v>
      </c>
      <c r="M61" s="7" t="inlineStr">
        <is>
          <t>05:45:00</t>
        </is>
      </c>
      <c r="N61" s="7" t="n">
        <v>2</v>
      </c>
      <c r="O61">
        <f>IF(O59="","",O59)</f>
        <v/>
      </c>
      <c r="R61">
        <f>"- "&amp;G61&amp;"-"&amp;H61&amp;"   - LA "&amp;F61&amp;" ("&amp;LEFT(I61,5)&amp;"-"&amp;LEFT(J61,5)&amp;" hrs)"</f>
        <v/>
      </c>
    </row>
    <row r="64">
      <c r="B64" s="3" t="inlineStr">
        <is>
          <t>Pairing ID</t>
        </is>
      </c>
      <c r="C64" s="3" t="inlineStr">
        <is>
          <t>FECHA REAL</t>
        </is>
      </c>
      <c r="D64" s="4" t="inlineStr">
        <is>
          <t>MES</t>
        </is>
      </c>
      <c r="E64" s="3" t="inlineStr">
        <is>
          <t>Day of Week</t>
        </is>
      </c>
      <c r="F64" s="3" t="inlineStr">
        <is>
          <t>Flight No</t>
        </is>
      </c>
      <c r="G64" s="3" t="inlineStr">
        <is>
          <t>Dep Stn</t>
        </is>
      </c>
      <c r="H64" s="3" t="inlineStr">
        <is>
          <t>Arr Stn</t>
        </is>
      </c>
      <c r="I64" s="3" t="inlineStr">
        <is>
          <t>STD</t>
        </is>
      </c>
      <c r="J64" s="3" t="inlineStr">
        <is>
          <t>STA</t>
        </is>
      </c>
      <c r="K64" s="3" t="inlineStr">
        <is>
          <t>DAY</t>
        </is>
      </c>
      <c r="L64" s="3" t="inlineStr">
        <is>
          <t>AC Type</t>
        </is>
      </c>
      <c r="M64" s="3" t="inlineStr">
        <is>
          <t>HBT</t>
        </is>
      </c>
      <c r="N64" s="5" t="inlineStr">
        <is>
          <t>DIA_DUTY</t>
        </is>
      </c>
      <c r="O64" s="6" t="n"/>
      <c r="Q64" s="6" t="inlineStr">
        <is>
          <t>LCK B767</t>
        </is>
      </c>
      <c r="S64" s="7">
        <f>B65</f>
        <v/>
      </c>
      <c r="T64" s="7">
        <f>C65</f>
        <v/>
      </c>
      <c r="U64" s="7">
        <f>D65</f>
        <v/>
      </c>
      <c r="V64" s="7">
        <f>F65&amp;"/"&amp;F66</f>
        <v/>
      </c>
      <c r="W64" s="7">
        <f>G65&amp;"-"&amp;H65&amp;"-"&amp;G65</f>
        <v/>
      </c>
      <c r="X64" s="7">
        <f>IF(O64="","",O64)</f>
        <v/>
      </c>
      <c r="Y64" s="7">
        <f>Q64</f>
        <v/>
      </c>
      <c r="Z64" s="7">
        <f>C65</f>
        <v/>
      </c>
      <c r="AA64" s="7">
        <f>C66</f>
        <v/>
      </c>
    </row>
    <row r="65">
      <c r="B65" s="7" t="n">
        <v>162</v>
      </c>
      <c r="C65" s="7" t="inlineStr">
        <is>
          <t>15/09/2026</t>
        </is>
      </c>
      <c r="D65" s="7" t="inlineStr">
        <is>
          <t>Sep-2026</t>
        </is>
      </c>
      <c r="E65" s="7" t="inlineStr">
        <is>
          <t>martes</t>
        </is>
      </c>
      <c r="F65" s="7" t="n">
        <v>2480</v>
      </c>
      <c r="G65" s="7" t="inlineStr">
        <is>
          <t>LIM</t>
        </is>
      </c>
      <c r="H65" s="7" t="inlineStr">
        <is>
          <t>MIA</t>
        </is>
      </c>
      <c r="I65" s="7" t="inlineStr">
        <is>
          <t>00:15:00</t>
        </is>
      </c>
      <c r="J65" s="7" t="inlineStr">
        <is>
          <t>06:20:00</t>
        </is>
      </c>
      <c r="K65" s="7" t="inlineStr">
        <is>
          <t>NO</t>
        </is>
      </c>
      <c r="L65" s="7" t="n">
        <v>763</v>
      </c>
      <c r="M65" s="7" t="inlineStr">
        <is>
          <t>06:05:00</t>
        </is>
      </c>
      <c r="N65" s="7" t="n">
        <v>2</v>
      </c>
      <c r="R65">
        <f>"- "&amp;G65&amp;"-"&amp;H65&amp;"   - LA "&amp;F65&amp;" ("&amp;LEFT(I65,5)&amp;"-"&amp;LEFT(J65,5)&amp;" hrs)"</f>
        <v/>
      </c>
    </row>
    <row r="66">
      <c r="B66" s="7" t="n">
        <v>162</v>
      </c>
      <c r="C66" s="7" t="inlineStr">
        <is>
          <t>16/09/2026</t>
        </is>
      </c>
      <c r="D66" s="7" t="inlineStr">
        <is>
          <t>Sep-2026</t>
        </is>
      </c>
      <c r="E66" s="7" t="inlineStr">
        <is>
          <t>miércoles</t>
        </is>
      </c>
      <c r="F66" s="7" t="n">
        <v>2481</v>
      </c>
      <c r="G66" s="7" t="inlineStr">
        <is>
          <t>MIA</t>
        </is>
      </c>
      <c r="H66" s="7" t="inlineStr">
        <is>
          <t>LIM</t>
        </is>
      </c>
      <c r="I66" s="7" t="inlineStr">
        <is>
          <t>15:55:00</t>
        </is>
      </c>
      <c r="J66" s="7" t="inlineStr">
        <is>
          <t>21:40:00</t>
        </is>
      </c>
      <c r="K66" s="7" t="inlineStr">
        <is>
          <t>NO</t>
        </is>
      </c>
      <c r="L66" s="7" t="n">
        <v>763</v>
      </c>
      <c r="M66" s="7" t="inlineStr">
        <is>
          <t>05:45:00</t>
        </is>
      </c>
      <c r="N66" s="7" t="n">
        <v>3</v>
      </c>
      <c r="O66">
        <f>IF(O64="","",O64)</f>
        <v/>
      </c>
      <c r="R66">
        <f>"- "&amp;G66&amp;"-"&amp;H66&amp;"   - LA "&amp;F66&amp;" ("&amp;LEFT(I66,5)&amp;"-"&amp;LEFT(J66,5)&amp;" hrs)"</f>
        <v/>
      </c>
    </row>
    <row r="69">
      <c r="B69" s="3" t="inlineStr">
        <is>
          <t>Pairing ID</t>
        </is>
      </c>
      <c r="C69" s="3" t="inlineStr">
        <is>
          <t>FECHA REAL</t>
        </is>
      </c>
      <c r="D69" s="4" t="inlineStr">
        <is>
          <t>MES</t>
        </is>
      </c>
      <c r="E69" s="3" t="inlineStr">
        <is>
          <t>Day of Week</t>
        </is>
      </c>
      <c r="F69" s="3" t="inlineStr">
        <is>
          <t>Flight No</t>
        </is>
      </c>
      <c r="G69" s="3" t="inlineStr">
        <is>
          <t>Dep Stn</t>
        </is>
      </c>
      <c r="H69" s="3" t="inlineStr">
        <is>
          <t>Arr Stn</t>
        </is>
      </c>
      <c r="I69" s="3" t="inlineStr">
        <is>
          <t>STD</t>
        </is>
      </c>
      <c r="J69" s="3" t="inlineStr">
        <is>
          <t>STA</t>
        </is>
      </c>
      <c r="K69" s="3" t="inlineStr">
        <is>
          <t>DAY</t>
        </is>
      </c>
      <c r="L69" s="3" t="inlineStr">
        <is>
          <t>AC Type</t>
        </is>
      </c>
      <c r="M69" s="3" t="inlineStr">
        <is>
          <t>HBT</t>
        </is>
      </c>
      <c r="N69" s="5" t="inlineStr">
        <is>
          <t>DIA_DUTY</t>
        </is>
      </c>
      <c r="O69" s="6" t="n"/>
      <c r="Q69" s="6" t="inlineStr">
        <is>
          <t>LCK B767</t>
        </is>
      </c>
      <c r="S69" s="7">
        <f>B70</f>
        <v/>
      </c>
      <c r="T69" s="7">
        <f>C70</f>
        <v/>
      </c>
      <c r="U69" s="7">
        <f>D70</f>
        <v/>
      </c>
      <c r="V69" s="7">
        <f>F70&amp;"/"&amp;F71</f>
        <v/>
      </c>
      <c r="W69" s="7">
        <f>G70&amp;"-"&amp;H70&amp;"-"&amp;G70</f>
        <v/>
      </c>
      <c r="X69" s="7">
        <f>IF(O69="","",O69)</f>
        <v/>
      </c>
      <c r="Y69" s="7">
        <f>Q69</f>
        <v/>
      </c>
      <c r="Z69" s="7">
        <f>C70</f>
        <v/>
      </c>
      <c r="AA69" s="7">
        <f>C71</f>
        <v/>
      </c>
    </row>
    <row r="70">
      <c r="B70" s="7" t="n">
        <v>171</v>
      </c>
      <c r="C70" s="7" t="inlineStr">
        <is>
          <t>16/09/2026</t>
        </is>
      </c>
      <c r="D70" s="7" t="inlineStr">
        <is>
          <t>Sep-2026</t>
        </is>
      </c>
      <c r="E70" s="7" t="inlineStr">
        <is>
          <t>miércoles</t>
        </is>
      </c>
      <c r="F70" s="7" t="n">
        <v>2480</v>
      </c>
      <c r="G70" s="7" t="inlineStr">
        <is>
          <t>LIM</t>
        </is>
      </c>
      <c r="H70" s="7" t="inlineStr">
        <is>
          <t>MIA</t>
        </is>
      </c>
      <c r="I70" s="7" t="inlineStr">
        <is>
          <t>00:15:00</t>
        </is>
      </c>
      <c r="J70" s="7" t="inlineStr">
        <is>
          <t>06:20:00</t>
        </is>
      </c>
      <c r="K70" s="7" t="inlineStr">
        <is>
          <t>NO</t>
        </is>
      </c>
      <c r="L70" s="7" t="n">
        <v>763</v>
      </c>
      <c r="M70" s="7" t="inlineStr">
        <is>
          <t>06:05:00</t>
        </is>
      </c>
      <c r="N70" s="7" t="n">
        <v>2</v>
      </c>
      <c r="R70">
        <f>"- "&amp;G70&amp;"-"&amp;H70&amp;"   - LA "&amp;F70&amp;" ("&amp;LEFT(I70,5)&amp;"-"&amp;LEFT(J70,5)&amp;" hrs)"</f>
        <v/>
      </c>
    </row>
    <row r="71">
      <c r="B71" s="7" t="n">
        <v>171</v>
      </c>
      <c r="C71" s="7" t="inlineStr">
        <is>
          <t>17/09/2026</t>
        </is>
      </c>
      <c r="D71" s="7" t="inlineStr">
        <is>
          <t>Sep-2026</t>
        </is>
      </c>
      <c r="E71" s="7" t="inlineStr">
        <is>
          <t>jueves</t>
        </is>
      </c>
      <c r="F71" s="7" t="n">
        <v>2695</v>
      </c>
      <c r="G71" s="7" t="inlineStr">
        <is>
          <t>MIA</t>
        </is>
      </c>
      <c r="H71" s="7" t="inlineStr">
        <is>
          <t>LIM</t>
        </is>
      </c>
      <c r="I71" s="7" t="inlineStr">
        <is>
          <t>16:10:00</t>
        </is>
      </c>
      <c r="J71" s="7" t="inlineStr">
        <is>
          <t>22:00:00</t>
        </is>
      </c>
      <c r="K71" s="7" t="inlineStr">
        <is>
          <t>NO</t>
        </is>
      </c>
      <c r="L71" s="7" t="n">
        <v>763</v>
      </c>
      <c r="M71" s="7" t="inlineStr">
        <is>
          <t>05:50:00</t>
        </is>
      </c>
      <c r="N71" s="7" t="n">
        <v>3</v>
      </c>
      <c r="O71">
        <f>IF(O69="","",O69)</f>
        <v/>
      </c>
      <c r="R71">
        <f>"- "&amp;G71&amp;"-"&amp;H71&amp;"   - LA "&amp;F71&amp;" ("&amp;LEFT(I71,5)&amp;"-"&amp;LEFT(J71,5)&amp;" hrs)"</f>
        <v/>
      </c>
    </row>
    <row r="74">
      <c r="B74" s="3" t="inlineStr">
        <is>
          <t>Pairing ID</t>
        </is>
      </c>
      <c r="C74" s="3" t="inlineStr">
        <is>
          <t>FECHA REAL</t>
        </is>
      </c>
      <c r="D74" s="4" t="inlineStr">
        <is>
          <t>MES</t>
        </is>
      </c>
      <c r="E74" s="3" t="inlineStr">
        <is>
          <t>Day of Week</t>
        </is>
      </c>
      <c r="F74" s="3" t="inlineStr">
        <is>
          <t>Flight No</t>
        </is>
      </c>
      <c r="G74" s="3" t="inlineStr">
        <is>
          <t>Dep Stn</t>
        </is>
      </c>
      <c r="H74" s="3" t="inlineStr">
        <is>
          <t>Arr Stn</t>
        </is>
      </c>
      <c r="I74" s="3" t="inlineStr">
        <is>
          <t>STD</t>
        </is>
      </c>
      <c r="J74" s="3" t="inlineStr">
        <is>
          <t>STA</t>
        </is>
      </c>
      <c r="K74" s="3" t="inlineStr">
        <is>
          <t>DAY</t>
        </is>
      </c>
      <c r="L74" s="3" t="inlineStr">
        <is>
          <t>AC Type</t>
        </is>
      </c>
      <c r="M74" s="3" t="inlineStr">
        <is>
          <t>HBT</t>
        </is>
      </c>
      <c r="N74" s="5" t="inlineStr">
        <is>
          <t>DIA_DUTY</t>
        </is>
      </c>
      <c r="O74" s="6" t="n"/>
      <c r="Q74" s="6" t="inlineStr">
        <is>
          <t>LCK B767</t>
        </is>
      </c>
      <c r="S74" s="7">
        <f>B75</f>
        <v/>
      </c>
      <c r="T74" s="7">
        <f>C75</f>
        <v/>
      </c>
      <c r="U74" s="7">
        <f>D75</f>
        <v/>
      </c>
      <c r="V74" s="7">
        <f>F75&amp;"/"&amp;F76</f>
        <v/>
      </c>
      <c r="W74" s="7">
        <f>G75&amp;"-"&amp;H75&amp;"-"&amp;G75</f>
        <v/>
      </c>
      <c r="X74" s="7">
        <f>IF(O74="","",O74)</f>
        <v/>
      </c>
      <c r="Y74" s="7">
        <f>Q74</f>
        <v/>
      </c>
      <c r="Z74" s="7">
        <f>C75</f>
        <v/>
      </c>
      <c r="AA74" s="7">
        <f>C76</f>
        <v/>
      </c>
    </row>
    <row r="75">
      <c r="B75" s="7" t="n">
        <v>181</v>
      </c>
      <c r="C75" s="7" t="inlineStr">
        <is>
          <t>17/09/2026</t>
        </is>
      </c>
      <c r="D75" s="7" t="inlineStr">
        <is>
          <t>Sep-2026</t>
        </is>
      </c>
      <c r="E75" s="7" t="inlineStr">
        <is>
          <t>jueves</t>
        </is>
      </c>
      <c r="F75" s="7" t="n">
        <v>2480</v>
      </c>
      <c r="G75" s="7" t="inlineStr">
        <is>
          <t>LIM</t>
        </is>
      </c>
      <c r="H75" s="7" t="inlineStr">
        <is>
          <t>MIA</t>
        </is>
      </c>
      <c r="I75" s="7" t="inlineStr">
        <is>
          <t>00:15:00</t>
        </is>
      </c>
      <c r="J75" s="7" t="inlineStr">
        <is>
          <t>06:20:00</t>
        </is>
      </c>
      <c r="K75" s="7" t="inlineStr">
        <is>
          <t>NO</t>
        </is>
      </c>
      <c r="L75" s="7" t="n">
        <v>763</v>
      </c>
      <c r="M75" s="7" t="inlineStr">
        <is>
          <t>06:05:00</t>
        </is>
      </c>
      <c r="N75" s="7" t="n">
        <v>2</v>
      </c>
      <c r="R75">
        <f>"- "&amp;G75&amp;"-"&amp;H75&amp;"   - LA "&amp;F75&amp;" ("&amp;LEFT(I75,5)&amp;"-"&amp;LEFT(J75,5)&amp;" hrs)"</f>
        <v/>
      </c>
    </row>
    <row r="76">
      <c r="B76" s="7" t="n">
        <v>181</v>
      </c>
      <c r="C76" s="7" t="inlineStr">
        <is>
          <t>18/09/2026</t>
        </is>
      </c>
      <c r="D76" s="7" t="inlineStr">
        <is>
          <t>Sep-2026</t>
        </is>
      </c>
      <c r="E76" s="7" t="inlineStr">
        <is>
          <t>viernes</t>
        </is>
      </c>
      <c r="F76" s="7" t="n">
        <v>2481</v>
      </c>
      <c r="G76" s="7" t="inlineStr">
        <is>
          <t>MIA</t>
        </is>
      </c>
      <c r="H76" s="7" t="inlineStr">
        <is>
          <t>LIM</t>
        </is>
      </c>
      <c r="I76" s="7" t="inlineStr">
        <is>
          <t>15:55:00</t>
        </is>
      </c>
      <c r="J76" s="7" t="inlineStr">
        <is>
          <t>21:40:00</t>
        </is>
      </c>
      <c r="K76" s="7" t="inlineStr">
        <is>
          <t>NO</t>
        </is>
      </c>
      <c r="L76" s="7" t="n">
        <v>763</v>
      </c>
      <c r="M76" s="7" t="inlineStr">
        <is>
          <t>05:45:00</t>
        </is>
      </c>
      <c r="N76" s="7" t="n">
        <v>3</v>
      </c>
      <c r="O76">
        <f>IF(O74="","",O74)</f>
        <v/>
      </c>
      <c r="R76">
        <f>"- "&amp;G76&amp;"-"&amp;H76&amp;"   - LA "&amp;F76&amp;" ("&amp;LEFT(I76,5)&amp;"-"&amp;LEFT(J76,5)&amp;" hrs)"</f>
        <v/>
      </c>
    </row>
    <row r="79">
      <c r="B79" s="3" t="inlineStr">
        <is>
          <t>Pairing ID</t>
        </is>
      </c>
      <c r="C79" s="3" t="inlineStr">
        <is>
          <t>FECHA REAL</t>
        </is>
      </c>
      <c r="D79" s="4" t="inlineStr">
        <is>
          <t>MES</t>
        </is>
      </c>
      <c r="E79" s="3" t="inlineStr">
        <is>
          <t>Day of Week</t>
        </is>
      </c>
      <c r="F79" s="3" t="inlineStr">
        <is>
          <t>Flight No</t>
        </is>
      </c>
      <c r="G79" s="3" t="inlineStr">
        <is>
          <t>Dep Stn</t>
        </is>
      </c>
      <c r="H79" s="3" t="inlineStr">
        <is>
          <t>Arr Stn</t>
        </is>
      </c>
      <c r="I79" s="3" t="inlineStr">
        <is>
          <t>STD</t>
        </is>
      </c>
      <c r="J79" s="3" t="inlineStr">
        <is>
          <t>STA</t>
        </is>
      </c>
      <c r="K79" s="3" t="inlineStr">
        <is>
          <t>DAY</t>
        </is>
      </c>
      <c r="L79" s="3" t="inlineStr">
        <is>
          <t>AC Type</t>
        </is>
      </c>
      <c r="M79" s="3" t="inlineStr">
        <is>
          <t>HBT</t>
        </is>
      </c>
      <c r="N79" s="5" t="inlineStr">
        <is>
          <t>DIA_DUTY</t>
        </is>
      </c>
      <c r="O79" s="6" t="n"/>
      <c r="Q79" s="6" t="inlineStr">
        <is>
          <t>LCK B767</t>
        </is>
      </c>
      <c r="S79" s="7">
        <f>B80</f>
        <v/>
      </c>
      <c r="T79" s="7">
        <f>C80</f>
        <v/>
      </c>
      <c r="U79" s="7">
        <f>D80</f>
        <v/>
      </c>
      <c r="V79" s="7">
        <f>F80&amp;"/"&amp;F81</f>
        <v/>
      </c>
      <c r="W79" s="7">
        <f>G80&amp;"-"&amp;H80&amp;"-"&amp;G80</f>
        <v/>
      </c>
      <c r="X79" s="7">
        <f>IF(O79="","",O79)</f>
        <v/>
      </c>
      <c r="Y79" s="7">
        <f>Q79</f>
        <v/>
      </c>
      <c r="Z79" s="7">
        <f>C80</f>
        <v/>
      </c>
      <c r="AA79" s="7">
        <f>C81</f>
        <v/>
      </c>
    </row>
    <row r="80">
      <c r="B80" s="7" t="n">
        <v>186</v>
      </c>
      <c r="C80" s="7" t="inlineStr">
        <is>
          <t>17/09/2026</t>
        </is>
      </c>
      <c r="D80" s="7" t="inlineStr">
        <is>
          <t>Sep-2026</t>
        </is>
      </c>
      <c r="E80" s="7" t="inlineStr">
        <is>
          <t>jueves</t>
        </is>
      </c>
      <c r="F80" s="7" t="n">
        <v>2413</v>
      </c>
      <c r="G80" s="7" t="inlineStr">
        <is>
          <t>LIM</t>
        </is>
      </c>
      <c r="H80" s="7" t="inlineStr">
        <is>
          <t>SCL</t>
        </is>
      </c>
      <c r="I80" s="7" t="inlineStr">
        <is>
          <t>12:05:00</t>
        </is>
      </c>
      <c r="J80" s="7" t="inlineStr">
        <is>
          <t>15:45:00</t>
        </is>
      </c>
      <c r="K80" s="7" t="inlineStr">
        <is>
          <t>NO</t>
        </is>
      </c>
      <c r="L80" s="7" t="n">
        <v>763</v>
      </c>
      <c r="M80" s="7" t="inlineStr">
        <is>
          <t>03:40:00</t>
        </is>
      </c>
      <c r="N80" s="7" t="n">
        <v>1</v>
      </c>
      <c r="R80">
        <f>"- "&amp;G80&amp;"-"&amp;H80&amp;"   - LA "&amp;F80&amp;" ("&amp;LEFT(I80,5)&amp;"-"&amp;LEFT(J80,5)&amp;" hrs)"</f>
        <v/>
      </c>
    </row>
    <row r="81">
      <c r="B81" s="7" t="n">
        <v>186</v>
      </c>
      <c r="C81" s="7" t="inlineStr">
        <is>
          <t>17/09/2026</t>
        </is>
      </c>
      <c r="D81" s="7" t="inlineStr">
        <is>
          <t>Sep-2026</t>
        </is>
      </c>
      <c r="E81" s="7" t="inlineStr">
        <is>
          <t>jueves</t>
        </is>
      </c>
      <c r="F81" s="7" t="n">
        <v>2412</v>
      </c>
      <c r="G81" s="7" t="inlineStr">
        <is>
          <t>SCL</t>
        </is>
      </c>
      <c r="H81" s="7" t="inlineStr">
        <is>
          <t>LIM</t>
        </is>
      </c>
      <c r="I81" s="7" t="inlineStr">
        <is>
          <t>17:10:00</t>
        </is>
      </c>
      <c r="J81" s="7" t="inlineStr">
        <is>
          <t>21:00:00</t>
        </is>
      </c>
      <c r="K81" s="7" t="inlineStr">
        <is>
          <t>NO</t>
        </is>
      </c>
      <c r="L81" s="7" t="n">
        <v>763</v>
      </c>
      <c r="M81" s="7" t="inlineStr">
        <is>
          <t>03:50:00</t>
        </is>
      </c>
      <c r="N81" s="7" t="n">
        <v>1</v>
      </c>
      <c r="O81">
        <f>IF(O79="","",O79)</f>
        <v/>
      </c>
      <c r="R81">
        <f>"- "&amp;G81&amp;"-"&amp;H81&amp;"   - LA "&amp;F81&amp;" ("&amp;LEFT(I81,5)&amp;"-"&amp;LEFT(J81,5)&amp;" hrs)"</f>
        <v/>
      </c>
    </row>
    <row r="84">
      <c r="B84" s="3" t="inlineStr">
        <is>
          <t>Pairing ID</t>
        </is>
      </c>
      <c r="C84" s="3" t="inlineStr">
        <is>
          <t>FECHA REAL</t>
        </is>
      </c>
      <c r="D84" s="4" t="inlineStr">
        <is>
          <t>MES</t>
        </is>
      </c>
      <c r="E84" s="3" t="inlineStr">
        <is>
          <t>Day of Week</t>
        </is>
      </c>
      <c r="F84" s="3" t="inlineStr">
        <is>
          <t>Flight No</t>
        </is>
      </c>
      <c r="G84" s="3" t="inlineStr">
        <is>
          <t>Dep Stn</t>
        </is>
      </c>
      <c r="H84" s="3" t="inlineStr">
        <is>
          <t>Arr Stn</t>
        </is>
      </c>
      <c r="I84" s="3" t="inlineStr">
        <is>
          <t>STD</t>
        </is>
      </c>
      <c r="J84" s="3" t="inlineStr">
        <is>
          <t>STA</t>
        </is>
      </c>
      <c r="K84" s="3" t="inlineStr">
        <is>
          <t>DAY</t>
        </is>
      </c>
      <c r="L84" s="3" t="inlineStr">
        <is>
          <t>AC Type</t>
        </is>
      </c>
      <c r="M84" s="3" t="inlineStr">
        <is>
          <t>HBT</t>
        </is>
      </c>
      <c r="N84" s="5" t="inlineStr">
        <is>
          <t>DIA_DUTY</t>
        </is>
      </c>
      <c r="O84" s="6" t="n"/>
      <c r="Q84" s="6" t="inlineStr">
        <is>
          <t>LCK B767</t>
        </is>
      </c>
      <c r="S84" s="7">
        <f>B85</f>
        <v/>
      </c>
      <c r="T84" s="7">
        <f>C85</f>
        <v/>
      </c>
      <c r="U84" s="7">
        <f>D85</f>
        <v/>
      </c>
      <c r="V84" s="7">
        <f>F85&amp;"/"&amp;F86</f>
        <v/>
      </c>
      <c r="W84" s="7">
        <f>G85&amp;"-"&amp;H85&amp;"-"&amp;G85</f>
        <v/>
      </c>
      <c r="X84" s="7">
        <f>IF(O84="","",O84)</f>
        <v/>
      </c>
      <c r="Y84" s="7">
        <f>Q84</f>
        <v/>
      </c>
      <c r="Z84" s="7">
        <f>C85</f>
        <v/>
      </c>
      <c r="AA84" s="7">
        <f>C86</f>
        <v/>
      </c>
    </row>
    <row r="85">
      <c r="B85" s="7" t="n">
        <v>196</v>
      </c>
      <c r="C85" s="7" t="inlineStr">
        <is>
          <t>18/09/2026</t>
        </is>
      </c>
      <c r="D85" s="7" t="inlineStr">
        <is>
          <t>Sep-2026</t>
        </is>
      </c>
      <c r="E85" s="7" t="inlineStr">
        <is>
          <t>viernes</t>
        </is>
      </c>
      <c r="F85" s="7" t="n">
        <v>2413</v>
      </c>
      <c r="G85" s="7" t="inlineStr">
        <is>
          <t>LIM</t>
        </is>
      </c>
      <c r="H85" s="7" t="inlineStr">
        <is>
          <t>SCL</t>
        </is>
      </c>
      <c r="I85" s="7" t="inlineStr">
        <is>
          <t>12:05:00</t>
        </is>
      </c>
      <c r="J85" s="7" t="inlineStr">
        <is>
          <t>15:45:00</t>
        </is>
      </c>
      <c r="K85" s="7" t="inlineStr">
        <is>
          <t>NO</t>
        </is>
      </c>
      <c r="L85" s="7" t="n">
        <v>763</v>
      </c>
      <c r="M85" s="7" t="inlineStr">
        <is>
          <t>03:40:00</t>
        </is>
      </c>
      <c r="N85" s="7" t="n">
        <v>1</v>
      </c>
      <c r="R85">
        <f>"- "&amp;G85&amp;"-"&amp;H85&amp;"   - LA "&amp;F85&amp;" ("&amp;LEFT(I85,5)&amp;"-"&amp;LEFT(J85,5)&amp;" hrs)"</f>
        <v/>
      </c>
    </row>
    <row r="86">
      <c r="B86" s="7" t="n">
        <v>196</v>
      </c>
      <c r="C86" s="7" t="inlineStr">
        <is>
          <t>18/09/2026</t>
        </is>
      </c>
      <c r="D86" s="7" t="inlineStr">
        <is>
          <t>Sep-2026</t>
        </is>
      </c>
      <c r="E86" s="7" t="inlineStr">
        <is>
          <t>viernes</t>
        </is>
      </c>
      <c r="F86" s="7" t="n">
        <v>2412</v>
      </c>
      <c r="G86" s="7" t="inlineStr">
        <is>
          <t>SCL</t>
        </is>
      </c>
      <c r="H86" s="7" t="inlineStr">
        <is>
          <t>LIM</t>
        </is>
      </c>
      <c r="I86" s="7" t="inlineStr">
        <is>
          <t>17:10:00</t>
        </is>
      </c>
      <c r="J86" s="7" t="inlineStr">
        <is>
          <t>21:00:00</t>
        </is>
      </c>
      <c r="K86" s="7" t="inlineStr">
        <is>
          <t>NO</t>
        </is>
      </c>
      <c r="L86" s="7" t="n">
        <v>763</v>
      </c>
      <c r="M86" s="7" t="inlineStr">
        <is>
          <t>03:50:00</t>
        </is>
      </c>
      <c r="N86" s="7" t="n">
        <v>1</v>
      </c>
      <c r="O86">
        <f>IF(O84="","",O84)</f>
        <v/>
      </c>
      <c r="R86">
        <f>"- "&amp;G86&amp;"-"&amp;H86&amp;"   - LA "&amp;F86&amp;" ("&amp;LEFT(I86,5)&amp;"-"&amp;LEFT(J86,5)&amp;" hrs)"</f>
        <v/>
      </c>
    </row>
    <row r="89">
      <c r="B89" s="3" t="inlineStr">
        <is>
          <t>Pairing ID</t>
        </is>
      </c>
      <c r="C89" s="3" t="inlineStr">
        <is>
          <t>FECHA REAL</t>
        </is>
      </c>
      <c r="D89" s="4" t="inlineStr">
        <is>
          <t>MES</t>
        </is>
      </c>
      <c r="E89" s="3" t="inlineStr">
        <is>
          <t>Day of Week</t>
        </is>
      </c>
      <c r="F89" s="3" t="inlineStr">
        <is>
          <t>Flight No</t>
        </is>
      </c>
      <c r="G89" s="3" t="inlineStr">
        <is>
          <t>Dep Stn</t>
        </is>
      </c>
      <c r="H89" s="3" t="inlineStr">
        <is>
          <t>Arr Stn</t>
        </is>
      </c>
      <c r="I89" s="3" t="inlineStr">
        <is>
          <t>STD</t>
        </is>
      </c>
      <c r="J89" s="3" t="inlineStr">
        <is>
          <t>STA</t>
        </is>
      </c>
      <c r="K89" s="3" t="inlineStr">
        <is>
          <t>DAY</t>
        </is>
      </c>
      <c r="L89" s="3" t="inlineStr">
        <is>
          <t>AC Type</t>
        </is>
      </c>
      <c r="M89" s="3" t="inlineStr">
        <is>
          <t>HBT</t>
        </is>
      </c>
      <c r="N89" s="5" t="inlineStr">
        <is>
          <t>DIA_DUTY</t>
        </is>
      </c>
      <c r="O89" s="6" t="n"/>
      <c r="Q89" s="6" t="inlineStr">
        <is>
          <t>LCK B767</t>
        </is>
      </c>
      <c r="S89" s="7">
        <f>B90</f>
        <v/>
      </c>
      <c r="T89" s="7">
        <f>C90</f>
        <v/>
      </c>
      <c r="U89" s="7">
        <f>D90</f>
        <v/>
      </c>
      <c r="V89" s="7">
        <f>F90&amp;"/"&amp;F91</f>
        <v/>
      </c>
      <c r="W89" s="7">
        <f>G90&amp;"-"&amp;H90&amp;"-"&amp;G90</f>
        <v/>
      </c>
      <c r="X89" s="7">
        <f>IF(O89="","",O89)</f>
        <v/>
      </c>
      <c r="Y89" s="7">
        <f>Q89</f>
        <v/>
      </c>
      <c r="Z89" s="7">
        <f>C90</f>
        <v/>
      </c>
      <c r="AA89" s="7">
        <f>C91</f>
        <v/>
      </c>
    </row>
    <row r="90">
      <c r="B90" s="7" t="n">
        <v>230</v>
      </c>
      <c r="C90" s="7" t="inlineStr">
        <is>
          <t>21/09/2026</t>
        </is>
      </c>
      <c r="D90" s="7" t="inlineStr">
        <is>
          <t>Sep-2026</t>
        </is>
      </c>
      <c r="E90" s="7" t="inlineStr">
        <is>
          <t>lunes</t>
        </is>
      </c>
      <c r="F90" s="7" t="n">
        <v>2694</v>
      </c>
      <c r="G90" s="7" t="inlineStr">
        <is>
          <t>LIM</t>
        </is>
      </c>
      <c r="H90" s="7" t="inlineStr">
        <is>
          <t>MIA</t>
        </is>
      </c>
      <c r="I90" s="7" t="inlineStr">
        <is>
          <t>13:30:00</t>
        </is>
      </c>
      <c r="J90" s="7" t="inlineStr">
        <is>
          <t>19:35:00</t>
        </is>
      </c>
      <c r="K90" s="7" t="inlineStr">
        <is>
          <t>NO</t>
        </is>
      </c>
      <c r="L90" s="7" t="n">
        <v>763</v>
      </c>
      <c r="M90" s="7" t="inlineStr">
        <is>
          <t>06:05:00</t>
        </is>
      </c>
      <c r="N90" s="7" t="n">
        <v>1</v>
      </c>
      <c r="R90">
        <f>"- "&amp;G90&amp;"-"&amp;H90&amp;"   - LA "&amp;F90&amp;" ("&amp;LEFT(I90,5)&amp;"-"&amp;LEFT(J90,5)&amp;" hrs)"</f>
        <v/>
      </c>
    </row>
    <row r="91">
      <c r="B91" s="7" t="n">
        <v>230</v>
      </c>
      <c r="C91" s="7" t="inlineStr">
        <is>
          <t>23/09/2026</t>
        </is>
      </c>
      <c r="D91" s="7" t="inlineStr">
        <is>
          <t>Sep-2026</t>
        </is>
      </c>
      <c r="E91" s="7" t="inlineStr">
        <is>
          <t>miércoles</t>
        </is>
      </c>
      <c r="F91" s="7" t="n">
        <v>2699</v>
      </c>
      <c r="G91" s="7" t="inlineStr">
        <is>
          <t>MIA</t>
        </is>
      </c>
      <c r="H91" s="7" t="inlineStr">
        <is>
          <t>LIM</t>
        </is>
      </c>
      <c r="I91" s="7" t="inlineStr">
        <is>
          <t>23:15:00</t>
        </is>
      </c>
      <c r="J91" s="7" t="inlineStr">
        <is>
          <t>05:00:00</t>
        </is>
      </c>
      <c r="K91" s="7" t="inlineStr">
        <is>
          <t>NO</t>
        </is>
      </c>
      <c r="L91" s="7" t="n">
        <v>763</v>
      </c>
      <c r="M91" s="7" t="inlineStr">
        <is>
          <t>05:45:00</t>
        </is>
      </c>
      <c r="N91" s="7" t="n">
        <v>2</v>
      </c>
      <c r="O91">
        <f>IF(O89="","",O89)</f>
        <v/>
      </c>
      <c r="R91">
        <f>"- "&amp;G91&amp;"-"&amp;H91&amp;"   - LA "&amp;F91&amp;" ("&amp;LEFT(I91,5)&amp;"-"&amp;LEFT(J91,5)&amp;" hrs)"</f>
        <v/>
      </c>
    </row>
    <row r="94">
      <c r="B94" s="3" t="inlineStr">
        <is>
          <t>Pairing ID</t>
        </is>
      </c>
      <c r="C94" s="3" t="inlineStr">
        <is>
          <t>FECHA REAL</t>
        </is>
      </c>
      <c r="D94" s="4" t="inlineStr">
        <is>
          <t>MES</t>
        </is>
      </c>
      <c r="E94" s="3" t="inlineStr">
        <is>
          <t>Day of Week</t>
        </is>
      </c>
      <c r="F94" s="3" t="inlineStr">
        <is>
          <t>Flight No</t>
        </is>
      </c>
      <c r="G94" s="3" t="inlineStr">
        <is>
          <t>Dep Stn</t>
        </is>
      </c>
      <c r="H94" s="3" t="inlineStr">
        <is>
          <t>Arr Stn</t>
        </is>
      </c>
      <c r="I94" s="3" t="inlineStr">
        <is>
          <t>STD</t>
        </is>
      </c>
      <c r="J94" s="3" t="inlineStr">
        <is>
          <t>STA</t>
        </is>
      </c>
      <c r="K94" s="3" t="inlineStr">
        <is>
          <t>DAY</t>
        </is>
      </c>
      <c r="L94" s="3" t="inlineStr">
        <is>
          <t>AC Type</t>
        </is>
      </c>
      <c r="M94" s="3" t="inlineStr">
        <is>
          <t>HBT</t>
        </is>
      </c>
      <c r="N94" s="5" t="inlineStr">
        <is>
          <t>DIA_DUTY</t>
        </is>
      </c>
      <c r="O94" s="6" t="n"/>
      <c r="Q94" s="6" t="inlineStr">
        <is>
          <t>LCK B767</t>
        </is>
      </c>
      <c r="S94" s="7">
        <f>B95</f>
        <v/>
      </c>
      <c r="T94" s="7">
        <f>C95</f>
        <v/>
      </c>
      <c r="U94" s="7">
        <f>D95</f>
        <v/>
      </c>
      <c r="V94" s="7">
        <f>F95&amp;"/"&amp;F96</f>
        <v/>
      </c>
      <c r="W94" s="7">
        <f>G95&amp;"-"&amp;H95&amp;"-"&amp;G95</f>
        <v/>
      </c>
      <c r="X94" s="7">
        <f>IF(O94="","",O94)</f>
        <v/>
      </c>
      <c r="Y94" s="7">
        <f>Q94</f>
        <v/>
      </c>
      <c r="Z94" s="7">
        <f>C95</f>
        <v/>
      </c>
      <c r="AA94" s="7">
        <f>C96</f>
        <v/>
      </c>
    </row>
    <row r="95">
      <c r="B95" s="7" t="n">
        <v>233</v>
      </c>
      <c r="C95" s="7" t="inlineStr">
        <is>
          <t>22/09/2026</t>
        </is>
      </c>
      <c r="D95" s="7" t="inlineStr">
        <is>
          <t>Sep-2026</t>
        </is>
      </c>
      <c r="E95" s="7" t="inlineStr">
        <is>
          <t>martes</t>
        </is>
      </c>
      <c r="F95" s="7" t="n">
        <v>2480</v>
      </c>
      <c r="G95" s="7" t="inlineStr">
        <is>
          <t>LIM</t>
        </is>
      </c>
      <c r="H95" s="7" t="inlineStr">
        <is>
          <t>MIA</t>
        </is>
      </c>
      <c r="I95" s="7" t="inlineStr">
        <is>
          <t>00:15:00</t>
        </is>
      </c>
      <c r="J95" s="7" t="inlineStr">
        <is>
          <t>06:20:00</t>
        </is>
      </c>
      <c r="K95" s="7" t="inlineStr">
        <is>
          <t>NO</t>
        </is>
      </c>
      <c r="L95" s="7" t="n">
        <v>763</v>
      </c>
      <c r="M95" s="7" t="inlineStr">
        <is>
          <t>06:05:00</t>
        </is>
      </c>
      <c r="N95" s="7" t="n">
        <v>2</v>
      </c>
      <c r="R95">
        <f>"- "&amp;G95&amp;"-"&amp;H95&amp;"   - LA "&amp;F95&amp;" ("&amp;LEFT(I95,5)&amp;"-"&amp;LEFT(J95,5)&amp;" hrs)"</f>
        <v/>
      </c>
    </row>
    <row r="96">
      <c r="B96" s="7" t="n">
        <v>233</v>
      </c>
      <c r="C96" s="7" t="inlineStr">
        <is>
          <t>23/09/2026</t>
        </is>
      </c>
      <c r="D96" s="7" t="inlineStr">
        <is>
          <t>Sep-2026</t>
        </is>
      </c>
      <c r="E96" s="7" t="inlineStr">
        <is>
          <t>miércoles</t>
        </is>
      </c>
      <c r="F96" s="7" t="n">
        <v>2481</v>
      </c>
      <c r="G96" s="7" t="inlineStr">
        <is>
          <t>MIA</t>
        </is>
      </c>
      <c r="H96" s="7" t="inlineStr">
        <is>
          <t>LIM</t>
        </is>
      </c>
      <c r="I96" s="7" t="inlineStr">
        <is>
          <t>15:55:00</t>
        </is>
      </c>
      <c r="J96" s="7" t="inlineStr">
        <is>
          <t>21:40:00</t>
        </is>
      </c>
      <c r="K96" s="7" t="inlineStr">
        <is>
          <t>NO</t>
        </is>
      </c>
      <c r="L96" s="7" t="n">
        <v>763</v>
      </c>
      <c r="M96" s="7" t="inlineStr">
        <is>
          <t>05:45:00</t>
        </is>
      </c>
      <c r="N96" s="7" t="n">
        <v>3</v>
      </c>
      <c r="O96">
        <f>IF(O94="","",O94)</f>
        <v/>
      </c>
      <c r="R96">
        <f>"- "&amp;G96&amp;"-"&amp;H96&amp;"   - LA "&amp;F96&amp;" ("&amp;LEFT(I96,5)&amp;"-"&amp;LEFT(J96,5)&amp;" hrs)"</f>
        <v/>
      </c>
    </row>
    <row r="99">
      <c r="B99" s="3" t="inlineStr">
        <is>
          <t>Pairing ID</t>
        </is>
      </c>
      <c r="C99" s="3" t="inlineStr">
        <is>
          <t>FECHA REAL</t>
        </is>
      </c>
      <c r="D99" s="4" t="inlineStr">
        <is>
          <t>MES</t>
        </is>
      </c>
      <c r="E99" s="3" t="inlineStr">
        <is>
          <t>Day of Week</t>
        </is>
      </c>
      <c r="F99" s="3" t="inlineStr">
        <is>
          <t>Flight No</t>
        </is>
      </c>
      <c r="G99" s="3" t="inlineStr">
        <is>
          <t>Dep Stn</t>
        </is>
      </c>
      <c r="H99" s="3" t="inlineStr">
        <is>
          <t>Arr Stn</t>
        </is>
      </c>
      <c r="I99" s="3" t="inlineStr">
        <is>
          <t>STD</t>
        </is>
      </c>
      <c r="J99" s="3" t="inlineStr">
        <is>
          <t>STA</t>
        </is>
      </c>
      <c r="K99" s="3" t="inlineStr">
        <is>
          <t>DAY</t>
        </is>
      </c>
      <c r="L99" s="3" t="inlineStr">
        <is>
          <t>AC Type</t>
        </is>
      </c>
      <c r="M99" s="3" t="inlineStr">
        <is>
          <t>HBT</t>
        </is>
      </c>
      <c r="N99" s="5" t="inlineStr">
        <is>
          <t>DIA_DUTY</t>
        </is>
      </c>
      <c r="O99" s="6" t="n"/>
      <c r="Q99" s="6" t="inlineStr">
        <is>
          <t>LCK B767</t>
        </is>
      </c>
      <c r="S99" s="7">
        <f>B100</f>
        <v/>
      </c>
      <c r="T99" s="7">
        <f>C100</f>
        <v/>
      </c>
      <c r="U99" s="7">
        <f>D100</f>
        <v/>
      </c>
      <c r="V99" s="7">
        <f>F100&amp;"/"&amp;F101</f>
        <v/>
      </c>
      <c r="W99" s="7">
        <f>G100&amp;"-"&amp;H100&amp;"-"&amp;G100</f>
        <v/>
      </c>
      <c r="X99" s="7">
        <f>IF(O99="","",O99)</f>
        <v/>
      </c>
      <c r="Y99" s="7">
        <f>Q99</f>
        <v/>
      </c>
      <c r="Z99" s="7">
        <f>C100</f>
        <v/>
      </c>
      <c r="AA99" s="7">
        <f>C101</f>
        <v/>
      </c>
    </row>
    <row r="100">
      <c r="B100" s="7" t="n">
        <v>242</v>
      </c>
      <c r="C100" s="7" t="inlineStr">
        <is>
          <t>23/09/2026</t>
        </is>
      </c>
      <c r="D100" s="7" t="inlineStr">
        <is>
          <t>Sep-2026</t>
        </is>
      </c>
      <c r="E100" s="7" t="inlineStr">
        <is>
          <t>miércoles</t>
        </is>
      </c>
      <c r="F100" s="7" t="n">
        <v>2480</v>
      </c>
      <c r="G100" s="7" t="inlineStr">
        <is>
          <t>LIM</t>
        </is>
      </c>
      <c r="H100" s="7" t="inlineStr">
        <is>
          <t>MIA</t>
        </is>
      </c>
      <c r="I100" s="7" t="inlineStr">
        <is>
          <t>00:15:00</t>
        </is>
      </c>
      <c r="J100" s="7" t="inlineStr">
        <is>
          <t>06:20:00</t>
        </is>
      </c>
      <c r="K100" s="7" t="inlineStr">
        <is>
          <t>NO</t>
        </is>
      </c>
      <c r="L100" s="7" t="n">
        <v>763</v>
      </c>
      <c r="M100" s="7" t="inlineStr">
        <is>
          <t>06:05:00</t>
        </is>
      </c>
      <c r="N100" s="7" t="n">
        <v>2</v>
      </c>
      <c r="R100">
        <f>"- "&amp;G100&amp;"-"&amp;H100&amp;"   - LA "&amp;F100&amp;" ("&amp;LEFT(I100,5)&amp;"-"&amp;LEFT(J100,5)&amp;" hrs)"</f>
        <v/>
      </c>
    </row>
    <row r="101">
      <c r="B101" s="7" t="n">
        <v>242</v>
      </c>
      <c r="C101" s="7" t="inlineStr">
        <is>
          <t>24/09/2026</t>
        </is>
      </c>
      <c r="D101" s="7" t="inlineStr">
        <is>
          <t>Sep-2026</t>
        </is>
      </c>
      <c r="E101" s="7" t="inlineStr">
        <is>
          <t>jueves</t>
        </is>
      </c>
      <c r="F101" s="7" t="n">
        <v>2695</v>
      </c>
      <c r="G101" s="7" t="inlineStr">
        <is>
          <t>MIA</t>
        </is>
      </c>
      <c r="H101" s="7" t="inlineStr">
        <is>
          <t>LIM</t>
        </is>
      </c>
      <c r="I101" s="7" t="inlineStr">
        <is>
          <t>16:10:00</t>
        </is>
      </c>
      <c r="J101" s="7" t="inlineStr">
        <is>
          <t>22:00:00</t>
        </is>
      </c>
      <c r="K101" s="7" t="inlineStr">
        <is>
          <t>NO</t>
        </is>
      </c>
      <c r="L101" s="7" t="n">
        <v>763</v>
      </c>
      <c r="M101" s="7" t="inlineStr">
        <is>
          <t>05:50:00</t>
        </is>
      </c>
      <c r="N101" s="7" t="n">
        <v>3</v>
      </c>
      <c r="O101">
        <f>IF(O99="","",O99)</f>
        <v/>
      </c>
      <c r="R101">
        <f>"- "&amp;G101&amp;"-"&amp;H101&amp;"   - LA "&amp;F101&amp;" ("&amp;LEFT(I101,5)&amp;"-"&amp;LEFT(J101,5)&amp;" hrs)"</f>
        <v/>
      </c>
    </row>
    <row r="104">
      <c r="B104" s="3" t="inlineStr">
        <is>
          <t>Pairing ID</t>
        </is>
      </c>
      <c r="C104" s="3" t="inlineStr">
        <is>
          <t>FECHA REAL</t>
        </is>
      </c>
      <c r="D104" s="4" t="inlineStr">
        <is>
          <t>MES</t>
        </is>
      </c>
      <c r="E104" s="3" t="inlineStr">
        <is>
          <t>Day of Week</t>
        </is>
      </c>
      <c r="F104" s="3" t="inlineStr">
        <is>
          <t>Flight No</t>
        </is>
      </c>
      <c r="G104" s="3" t="inlineStr">
        <is>
          <t>Dep Stn</t>
        </is>
      </c>
      <c r="H104" s="3" t="inlineStr">
        <is>
          <t>Arr Stn</t>
        </is>
      </c>
      <c r="I104" s="3" t="inlineStr">
        <is>
          <t>STD</t>
        </is>
      </c>
      <c r="J104" s="3" t="inlineStr">
        <is>
          <t>STA</t>
        </is>
      </c>
      <c r="K104" s="3" t="inlineStr">
        <is>
          <t>DAY</t>
        </is>
      </c>
      <c r="L104" s="3" t="inlineStr">
        <is>
          <t>AC Type</t>
        </is>
      </c>
      <c r="M104" s="3" t="inlineStr">
        <is>
          <t>HBT</t>
        </is>
      </c>
      <c r="N104" s="5" t="inlineStr">
        <is>
          <t>DIA_DUTY</t>
        </is>
      </c>
      <c r="O104" s="6" t="n"/>
      <c r="Q104" s="6" t="inlineStr">
        <is>
          <t>LCK B767</t>
        </is>
      </c>
      <c r="S104" s="7">
        <f>B105</f>
        <v/>
      </c>
      <c r="T104" s="7">
        <f>C105</f>
        <v/>
      </c>
      <c r="U104" s="7">
        <f>D105</f>
        <v/>
      </c>
      <c r="V104" s="7">
        <f>F105&amp;"/"&amp;F106</f>
        <v/>
      </c>
      <c r="W104" s="7">
        <f>G105&amp;"-"&amp;H105&amp;"-"&amp;G105</f>
        <v/>
      </c>
      <c r="X104" s="7">
        <f>IF(O104="","",O104)</f>
        <v/>
      </c>
      <c r="Y104" s="7">
        <f>Q104</f>
        <v/>
      </c>
      <c r="Z104" s="7">
        <f>C105</f>
        <v/>
      </c>
      <c r="AA104" s="7">
        <f>C106</f>
        <v/>
      </c>
    </row>
    <row r="105">
      <c r="B105" s="7" t="n">
        <v>252</v>
      </c>
      <c r="C105" s="7" t="inlineStr">
        <is>
          <t>24/09/2026</t>
        </is>
      </c>
      <c r="D105" s="7" t="inlineStr">
        <is>
          <t>Sep-2026</t>
        </is>
      </c>
      <c r="E105" s="7" t="inlineStr">
        <is>
          <t>jueves</t>
        </is>
      </c>
      <c r="F105" s="7" t="n">
        <v>2480</v>
      </c>
      <c r="G105" s="7" t="inlineStr">
        <is>
          <t>LIM</t>
        </is>
      </c>
      <c r="H105" s="7" t="inlineStr">
        <is>
          <t>MIA</t>
        </is>
      </c>
      <c r="I105" s="7" t="inlineStr">
        <is>
          <t>00:15:00</t>
        </is>
      </c>
      <c r="J105" s="7" t="inlineStr">
        <is>
          <t>06:20:00</t>
        </is>
      </c>
      <c r="K105" s="7" t="inlineStr">
        <is>
          <t>NO</t>
        </is>
      </c>
      <c r="L105" s="7" t="n">
        <v>763</v>
      </c>
      <c r="M105" s="7" t="inlineStr">
        <is>
          <t>06:05:00</t>
        </is>
      </c>
      <c r="N105" s="7" t="n">
        <v>2</v>
      </c>
      <c r="R105">
        <f>"- "&amp;G105&amp;"-"&amp;H105&amp;"   - LA "&amp;F105&amp;" ("&amp;LEFT(I105,5)&amp;"-"&amp;LEFT(J105,5)&amp;" hrs)"</f>
        <v/>
      </c>
    </row>
    <row r="106">
      <c r="B106" s="7" t="n">
        <v>252</v>
      </c>
      <c r="C106" s="7" t="inlineStr">
        <is>
          <t>25/09/2026</t>
        </is>
      </c>
      <c r="D106" s="7" t="inlineStr">
        <is>
          <t>Sep-2026</t>
        </is>
      </c>
      <c r="E106" s="7" t="inlineStr">
        <is>
          <t>viernes</t>
        </is>
      </c>
      <c r="F106" s="7" t="n">
        <v>2481</v>
      </c>
      <c r="G106" s="7" t="inlineStr">
        <is>
          <t>MIA</t>
        </is>
      </c>
      <c r="H106" s="7" t="inlineStr">
        <is>
          <t>LIM</t>
        </is>
      </c>
      <c r="I106" s="7" t="inlineStr">
        <is>
          <t>15:55:00</t>
        </is>
      </c>
      <c r="J106" s="7" t="inlineStr">
        <is>
          <t>21:40:00</t>
        </is>
      </c>
      <c r="K106" s="7" t="inlineStr">
        <is>
          <t>NO</t>
        </is>
      </c>
      <c r="L106" s="7" t="n">
        <v>763</v>
      </c>
      <c r="M106" s="7" t="inlineStr">
        <is>
          <t>05:45:00</t>
        </is>
      </c>
      <c r="N106" s="7" t="n">
        <v>3</v>
      </c>
      <c r="O106">
        <f>IF(O104="","",O104)</f>
        <v/>
      </c>
      <c r="R106">
        <f>"- "&amp;G106&amp;"-"&amp;H106&amp;"   - LA "&amp;F106&amp;" ("&amp;LEFT(I106,5)&amp;"-"&amp;LEFT(J106,5)&amp;" hrs)"</f>
        <v/>
      </c>
    </row>
    <row r="109">
      <c r="B109" s="3" t="inlineStr">
        <is>
          <t>Pairing ID</t>
        </is>
      </c>
      <c r="C109" s="3" t="inlineStr">
        <is>
          <t>FECHA REAL</t>
        </is>
      </c>
      <c r="D109" s="4" t="inlineStr">
        <is>
          <t>MES</t>
        </is>
      </c>
      <c r="E109" s="3" t="inlineStr">
        <is>
          <t>Day of Week</t>
        </is>
      </c>
      <c r="F109" s="3" t="inlineStr">
        <is>
          <t>Flight No</t>
        </is>
      </c>
      <c r="G109" s="3" t="inlineStr">
        <is>
          <t>Dep Stn</t>
        </is>
      </c>
      <c r="H109" s="3" t="inlineStr">
        <is>
          <t>Arr Stn</t>
        </is>
      </c>
      <c r="I109" s="3" t="inlineStr">
        <is>
          <t>STD</t>
        </is>
      </c>
      <c r="J109" s="3" t="inlineStr">
        <is>
          <t>STA</t>
        </is>
      </c>
      <c r="K109" s="3" t="inlineStr">
        <is>
          <t>DAY</t>
        </is>
      </c>
      <c r="L109" s="3" t="inlineStr">
        <is>
          <t>AC Type</t>
        </is>
      </c>
      <c r="M109" s="3" t="inlineStr">
        <is>
          <t>HBT</t>
        </is>
      </c>
      <c r="N109" s="5" t="inlineStr">
        <is>
          <t>DIA_DUTY</t>
        </is>
      </c>
      <c r="O109" s="6" t="n"/>
      <c r="Q109" s="6" t="inlineStr">
        <is>
          <t>LCK B767</t>
        </is>
      </c>
      <c r="S109" s="7">
        <f>B110</f>
        <v/>
      </c>
      <c r="T109" s="7">
        <f>C110</f>
        <v/>
      </c>
      <c r="U109" s="7">
        <f>D110</f>
        <v/>
      </c>
      <c r="V109" s="7">
        <f>F110&amp;"/"&amp;F111</f>
        <v/>
      </c>
      <c r="W109" s="7">
        <f>G110&amp;"-"&amp;H110&amp;"-"&amp;G110</f>
        <v/>
      </c>
      <c r="X109" s="7">
        <f>IF(O109="","",O109)</f>
        <v/>
      </c>
      <c r="Y109" s="7">
        <f>Q109</f>
        <v/>
      </c>
      <c r="Z109" s="7">
        <f>C110</f>
        <v/>
      </c>
      <c r="AA109" s="7">
        <f>C111</f>
        <v/>
      </c>
    </row>
    <row r="110">
      <c r="B110" s="7" t="n">
        <v>257</v>
      </c>
      <c r="C110" s="7" t="inlineStr">
        <is>
          <t>24/09/2026</t>
        </is>
      </c>
      <c r="D110" s="7" t="inlineStr">
        <is>
          <t>Sep-2026</t>
        </is>
      </c>
      <c r="E110" s="7" t="inlineStr">
        <is>
          <t>jueves</t>
        </is>
      </c>
      <c r="F110" s="7" t="n">
        <v>2413</v>
      </c>
      <c r="G110" s="7" t="inlineStr">
        <is>
          <t>LIM</t>
        </is>
      </c>
      <c r="H110" s="7" t="inlineStr">
        <is>
          <t>SCL</t>
        </is>
      </c>
      <c r="I110" s="7" t="inlineStr">
        <is>
          <t>12:05:00</t>
        </is>
      </c>
      <c r="J110" s="7" t="inlineStr">
        <is>
          <t>15:45:00</t>
        </is>
      </c>
      <c r="K110" s="7" t="inlineStr">
        <is>
          <t>NO</t>
        </is>
      </c>
      <c r="L110" s="7" t="n">
        <v>763</v>
      </c>
      <c r="M110" s="7" t="inlineStr">
        <is>
          <t>03:40:00</t>
        </is>
      </c>
      <c r="N110" s="7" t="n">
        <v>1</v>
      </c>
      <c r="R110">
        <f>"- "&amp;G110&amp;"-"&amp;H110&amp;"   - LA "&amp;F110&amp;" ("&amp;LEFT(I110,5)&amp;"-"&amp;LEFT(J110,5)&amp;" hrs)"</f>
        <v/>
      </c>
    </row>
    <row r="111">
      <c r="B111" s="7" t="n">
        <v>257</v>
      </c>
      <c r="C111" s="7" t="inlineStr">
        <is>
          <t>24/09/2026</t>
        </is>
      </c>
      <c r="D111" s="7" t="inlineStr">
        <is>
          <t>Sep-2026</t>
        </is>
      </c>
      <c r="E111" s="7" t="inlineStr">
        <is>
          <t>jueves</t>
        </is>
      </c>
      <c r="F111" s="7" t="n">
        <v>2412</v>
      </c>
      <c r="G111" s="7" t="inlineStr">
        <is>
          <t>SCL</t>
        </is>
      </c>
      <c r="H111" s="7" t="inlineStr">
        <is>
          <t>LIM</t>
        </is>
      </c>
      <c r="I111" s="7" t="inlineStr">
        <is>
          <t>17:10:00</t>
        </is>
      </c>
      <c r="J111" s="7" t="inlineStr">
        <is>
          <t>21:00:00</t>
        </is>
      </c>
      <c r="K111" s="7" t="inlineStr">
        <is>
          <t>NO</t>
        </is>
      </c>
      <c r="L111" s="7" t="n">
        <v>763</v>
      </c>
      <c r="M111" s="7" t="inlineStr">
        <is>
          <t>03:50:00</t>
        </is>
      </c>
      <c r="N111" s="7" t="n">
        <v>1</v>
      </c>
      <c r="O111">
        <f>IF(O109="","",O109)</f>
        <v/>
      </c>
      <c r="R111">
        <f>"- "&amp;G111&amp;"-"&amp;H111&amp;"   - LA "&amp;F111&amp;" ("&amp;LEFT(I111,5)&amp;"-"&amp;LEFT(J111,5)&amp;" hrs)"</f>
        <v/>
      </c>
    </row>
    <row r="114">
      <c r="B114" s="3" t="inlineStr">
        <is>
          <t>Pairing ID</t>
        </is>
      </c>
      <c r="C114" s="3" t="inlineStr">
        <is>
          <t>FECHA REAL</t>
        </is>
      </c>
      <c r="D114" s="4" t="inlineStr">
        <is>
          <t>MES</t>
        </is>
      </c>
      <c r="E114" s="3" t="inlineStr">
        <is>
          <t>Day of Week</t>
        </is>
      </c>
      <c r="F114" s="3" t="inlineStr">
        <is>
          <t>Flight No</t>
        </is>
      </c>
      <c r="G114" s="3" t="inlineStr">
        <is>
          <t>Dep Stn</t>
        </is>
      </c>
      <c r="H114" s="3" t="inlineStr">
        <is>
          <t>Arr Stn</t>
        </is>
      </c>
      <c r="I114" s="3" t="inlineStr">
        <is>
          <t>STD</t>
        </is>
      </c>
      <c r="J114" s="3" t="inlineStr">
        <is>
          <t>STA</t>
        </is>
      </c>
      <c r="K114" s="3" t="inlineStr">
        <is>
          <t>DAY</t>
        </is>
      </c>
      <c r="L114" s="3" t="inlineStr">
        <is>
          <t>AC Type</t>
        </is>
      </c>
      <c r="M114" s="3" t="inlineStr">
        <is>
          <t>HBT</t>
        </is>
      </c>
      <c r="N114" s="5" t="inlineStr">
        <is>
          <t>DIA_DUTY</t>
        </is>
      </c>
      <c r="O114" s="6" t="n"/>
      <c r="Q114" s="6" t="inlineStr">
        <is>
          <t>LCK B767</t>
        </is>
      </c>
      <c r="S114" s="7">
        <f>B115</f>
        <v/>
      </c>
      <c r="T114" s="7">
        <f>C115</f>
        <v/>
      </c>
      <c r="U114" s="7">
        <f>D115</f>
        <v/>
      </c>
      <c r="V114" s="7">
        <f>F115&amp;"/"&amp;F116</f>
        <v/>
      </c>
      <c r="W114" s="7">
        <f>G115&amp;"-"&amp;H115&amp;"-"&amp;G115</f>
        <v/>
      </c>
      <c r="X114" s="7">
        <f>IF(O114="","",O114)</f>
        <v/>
      </c>
      <c r="Y114" s="7">
        <f>Q114</f>
        <v/>
      </c>
      <c r="Z114" s="7">
        <f>C115</f>
        <v/>
      </c>
      <c r="AA114" s="7">
        <f>C116</f>
        <v/>
      </c>
    </row>
    <row r="115">
      <c r="B115" s="7" t="n">
        <v>267</v>
      </c>
      <c r="C115" s="7" t="inlineStr">
        <is>
          <t>25/09/2026</t>
        </is>
      </c>
      <c r="D115" s="7" t="inlineStr">
        <is>
          <t>Sep-2026</t>
        </is>
      </c>
      <c r="E115" s="7" t="inlineStr">
        <is>
          <t>viernes</t>
        </is>
      </c>
      <c r="F115" s="7" t="n">
        <v>2413</v>
      </c>
      <c r="G115" s="7" t="inlineStr">
        <is>
          <t>LIM</t>
        </is>
      </c>
      <c r="H115" s="7" t="inlineStr">
        <is>
          <t>SCL</t>
        </is>
      </c>
      <c r="I115" s="7" t="inlineStr">
        <is>
          <t>12:05:00</t>
        </is>
      </c>
      <c r="J115" s="7" t="inlineStr">
        <is>
          <t>15:45:00</t>
        </is>
      </c>
      <c r="K115" s="7" t="inlineStr">
        <is>
          <t>NO</t>
        </is>
      </c>
      <c r="L115" s="7" t="n">
        <v>763</v>
      </c>
      <c r="M115" s="7" t="inlineStr">
        <is>
          <t>03:40:00</t>
        </is>
      </c>
      <c r="N115" s="7" t="n">
        <v>1</v>
      </c>
      <c r="R115">
        <f>"- "&amp;G115&amp;"-"&amp;H115&amp;"   - LA "&amp;F115&amp;" ("&amp;LEFT(I115,5)&amp;"-"&amp;LEFT(J115,5)&amp;" hrs)"</f>
        <v/>
      </c>
    </row>
    <row r="116">
      <c r="B116" s="7" t="n">
        <v>267</v>
      </c>
      <c r="C116" s="7" t="inlineStr">
        <is>
          <t>25/09/2026</t>
        </is>
      </c>
      <c r="D116" s="7" t="inlineStr">
        <is>
          <t>Sep-2026</t>
        </is>
      </c>
      <c r="E116" s="7" t="inlineStr">
        <is>
          <t>viernes</t>
        </is>
      </c>
      <c r="F116" s="7" t="n">
        <v>2412</v>
      </c>
      <c r="G116" s="7" t="inlineStr">
        <is>
          <t>SCL</t>
        </is>
      </c>
      <c r="H116" s="7" t="inlineStr">
        <is>
          <t>LIM</t>
        </is>
      </c>
      <c r="I116" s="7" t="inlineStr">
        <is>
          <t>17:10:00</t>
        </is>
      </c>
      <c r="J116" s="7" t="inlineStr">
        <is>
          <t>21:00:00</t>
        </is>
      </c>
      <c r="K116" s="7" t="inlineStr">
        <is>
          <t>NO</t>
        </is>
      </c>
      <c r="L116" s="7" t="n">
        <v>763</v>
      </c>
      <c r="M116" s="7" t="inlineStr">
        <is>
          <t>03:50:00</t>
        </is>
      </c>
      <c r="N116" s="7" t="n">
        <v>1</v>
      </c>
      <c r="O116">
        <f>IF(O114="","",O114)</f>
        <v/>
      </c>
      <c r="R116">
        <f>"- "&amp;G116&amp;"-"&amp;H116&amp;"   - LA "&amp;F116&amp;" ("&amp;LEFT(I116,5)&amp;"-"&amp;LEFT(J116,5)&amp;" hrs)"</f>
        <v/>
      </c>
    </row>
    <row r="119">
      <c r="B119" s="3" t="inlineStr">
        <is>
          <t>Pairing ID</t>
        </is>
      </c>
      <c r="C119" s="3" t="inlineStr">
        <is>
          <t>FECHA REAL</t>
        </is>
      </c>
      <c r="D119" s="4" t="inlineStr">
        <is>
          <t>MES</t>
        </is>
      </c>
      <c r="E119" s="3" t="inlineStr">
        <is>
          <t>Day of Week</t>
        </is>
      </c>
      <c r="F119" s="3" t="inlineStr">
        <is>
          <t>Flight No</t>
        </is>
      </c>
      <c r="G119" s="3" t="inlineStr">
        <is>
          <t>Dep Stn</t>
        </is>
      </c>
      <c r="H119" s="3" t="inlineStr">
        <is>
          <t>Arr Stn</t>
        </is>
      </c>
      <c r="I119" s="3" t="inlineStr">
        <is>
          <t>STD</t>
        </is>
      </c>
      <c r="J119" s="3" t="inlineStr">
        <is>
          <t>STA</t>
        </is>
      </c>
      <c r="K119" s="3" t="inlineStr">
        <is>
          <t>DAY</t>
        </is>
      </c>
      <c r="L119" s="3" t="inlineStr">
        <is>
          <t>AC Type</t>
        </is>
      </c>
      <c r="M119" s="3" t="inlineStr">
        <is>
          <t>HBT</t>
        </is>
      </c>
      <c r="N119" s="5" t="inlineStr">
        <is>
          <t>DIA_DUTY</t>
        </is>
      </c>
      <c r="O119" s="6" t="n"/>
      <c r="Q119" s="6" t="inlineStr">
        <is>
          <t>LCK B767</t>
        </is>
      </c>
      <c r="S119" s="7">
        <f>B120</f>
        <v/>
      </c>
      <c r="T119" s="7">
        <f>C120</f>
        <v/>
      </c>
      <c r="U119" s="7">
        <f>D120</f>
        <v/>
      </c>
      <c r="V119" s="7">
        <f>F120&amp;"/"&amp;F121</f>
        <v/>
      </c>
      <c r="W119" s="7">
        <f>G120&amp;"-"&amp;H120&amp;"-"&amp;G120</f>
        <v/>
      </c>
      <c r="X119" s="7">
        <f>IF(O119="","",O119)</f>
        <v/>
      </c>
      <c r="Y119" s="7">
        <f>Q119</f>
        <v/>
      </c>
      <c r="Z119" s="7">
        <f>C120</f>
        <v/>
      </c>
      <c r="AA119" s="7">
        <f>C121</f>
        <v/>
      </c>
    </row>
    <row r="120">
      <c r="B120" s="7" t="n">
        <v>297</v>
      </c>
      <c r="C120" s="7" t="inlineStr">
        <is>
          <t>28/09/2026</t>
        </is>
      </c>
      <c r="D120" s="7" t="inlineStr">
        <is>
          <t>Sep-2026</t>
        </is>
      </c>
      <c r="E120" s="7" t="inlineStr">
        <is>
          <t>lunes</t>
        </is>
      </c>
      <c r="F120" s="7" t="n">
        <v>2698</v>
      </c>
      <c r="G120" s="7" t="inlineStr">
        <is>
          <t>LIM</t>
        </is>
      </c>
      <c r="H120" s="7" t="inlineStr">
        <is>
          <t>MIA</t>
        </is>
      </c>
      <c r="I120" s="7" t="inlineStr">
        <is>
          <t>08:15:00</t>
        </is>
      </c>
      <c r="J120" s="7" t="inlineStr">
        <is>
          <t>14:20:00</t>
        </is>
      </c>
      <c r="K120" s="7" t="inlineStr">
        <is>
          <t>NO</t>
        </is>
      </c>
      <c r="L120" s="7" t="n">
        <v>763</v>
      </c>
      <c r="M120" s="7" t="inlineStr">
        <is>
          <t>06:05:00</t>
        </is>
      </c>
      <c r="N120" s="7" t="n">
        <v>1</v>
      </c>
      <c r="R120">
        <f>"- "&amp;G120&amp;"-"&amp;H120&amp;"   - LA "&amp;F120&amp;" ("&amp;LEFT(I120,5)&amp;"-"&amp;LEFT(J120,5)&amp;" hrs)"</f>
        <v/>
      </c>
    </row>
    <row r="121">
      <c r="B121" s="7" t="n">
        <v>297</v>
      </c>
      <c r="C121" s="7" t="inlineStr">
        <is>
          <t>30/09/2026</t>
        </is>
      </c>
      <c r="D121" s="7" t="inlineStr">
        <is>
          <t>Sep-2026</t>
        </is>
      </c>
      <c r="E121" s="7" t="inlineStr">
        <is>
          <t>miércoles</t>
        </is>
      </c>
      <c r="F121" s="7" t="n">
        <v>2699</v>
      </c>
      <c r="G121" s="7" t="inlineStr">
        <is>
          <t>MIA</t>
        </is>
      </c>
      <c r="H121" s="7" t="inlineStr">
        <is>
          <t>LIM</t>
        </is>
      </c>
      <c r="I121" s="7" t="inlineStr">
        <is>
          <t>23:15:00</t>
        </is>
      </c>
      <c r="J121" s="7" t="inlineStr">
        <is>
          <t>05:00:00</t>
        </is>
      </c>
      <c r="K121" s="7" t="inlineStr">
        <is>
          <t>NO</t>
        </is>
      </c>
      <c r="L121" s="7" t="n">
        <v>763</v>
      </c>
      <c r="M121" s="7" t="inlineStr">
        <is>
          <t>05:45:00</t>
        </is>
      </c>
      <c r="N121" s="7" t="n">
        <v>2</v>
      </c>
      <c r="O121">
        <f>IF(O119="","",O119)</f>
        <v/>
      </c>
      <c r="R121">
        <f>"- "&amp;G121&amp;"-"&amp;H121&amp;"   - LA "&amp;F121&amp;" ("&amp;LEFT(I121,5)&amp;"-"&amp;LEFT(J121,5)&amp;" hrs)"</f>
        <v/>
      </c>
    </row>
    <row r="124">
      <c r="B124" s="3" t="inlineStr">
        <is>
          <t>Pairing ID</t>
        </is>
      </c>
      <c r="C124" s="3" t="inlineStr">
        <is>
          <t>FECHA REAL</t>
        </is>
      </c>
      <c r="D124" s="4" t="inlineStr">
        <is>
          <t>MES</t>
        </is>
      </c>
      <c r="E124" s="3" t="inlineStr">
        <is>
          <t>Day of Week</t>
        </is>
      </c>
      <c r="F124" s="3" t="inlineStr">
        <is>
          <t>Flight No</t>
        </is>
      </c>
      <c r="G124" s="3" t="inlineStr">
        <is>
          <t>Dep Stn</t>
        </is>
      </c>
      <c r="H124" s="3" t="inlineStr">
        <is>
          <t>Arr Stn</t>
        </is>
      </c>
      <c r="I124" s="3" t="inlineStr">
        <is>
          <t>STD</t>
        </is>
      </c>
      <c r="J124" s="3" t="inlineStr">
        <is>
          <t>STA</t>
        </is>
      </c>
      <c r="K124" s="3" t="inlineStr">
        <is>
          <t>DAY</t>
        </is>
      </c>
      <c r="L124" s="3" t="inlineStr">
        <is>
          <t>AC Type</t>
        </is>
      </c>
      <c r="M124" s="3" t="inlineStr">
        <is>
          <t>HBT</t>
        </is>
      </c>
      <c r="N124" s="5" t="inlineStr">
        <is>
          <t>DIA_DUTY</t>
        </is>
      </c>
      <c r="O124" s="6" t="n"/>
      <c r="Q124" s="6" t="inlineStr">
        <is>
          <t>LCK B767</t>
        </is>
      </c>
      <c r="S124" s="7">
        <f>B125</f>
        <v/>
      </c>
      <c r="T124" s="7">
        <f>C125</f>
        <v/>
      </c>
      <c r="U124" s="7">
        <f>D125</f>
        <v/>
      </c>
      <c r="V124" s="7">
        <f>F125&amp;"/"&amp;F126</f>
        <v/>
      </c>
      <c r="W124" s="7">
        <f>G125&amp;"-"&amp;H125&amp;"-"&amp;G125</f>
        <v/>
      </c>
      <c r="X124" s="7">
        <f>IF(O124="","",O124)</f>
        <v/>
      </c>
      <c r="Y124" s="7">
        <f>Q124</f>
        <v/>
      </c>
      <c r="Z124" s="7">
        <f>C125</f>
        <v/>
      </c>
      <c r="AA124" s="7">
        <f>C126</f>
        <v/>
      </c>
    </row>
    <row r="125">
      <c r="B125" s="7" t="n">
        <v>304</v>
      </c>
      <c r="C125" s="7" t="inlineStr">
        <is>
          <t>29/09/2026</t>
        </is>
      </c>
      <c r="D125" s="7" t="inlineStr">
        <is>
          <t>Sep-2026</t>
        </is>
      </c>
      <c r="E125" s="7" t="inlineStr">
        <is>
          <t>martes</t>
        </is>
      </c>
      <c r="F125" s="7" t="n">
        <v>2480</v>
      </c>
      <c r="G125" s="7" t="inlineStr">
        <is>
          <t>LIM</t>
        </is>
      </c>
      <c r="H125" s="7" t="inlineStr">
        <is>
          <t>MIA</t>
        </is>
      </c>
      <c r="I125" s="7" t="inlineStr">
        <is>
          <t>00:15:00</t>
        </is>
      </c>
      <c r="J125" s="7" t="inlineStr">
        <is>
          <t>06:20:00</t>
        </is>
      </c>
      <c r="K125" s="7" t="inlineStr">
        <is>
          <t>NO</t>
        </is>
      </c>
      <c r="L125" s="7" t="n">
        <v>763</v>
      </c>
      <c r="M125" s="7" t="inlineStr">
        <is>
          <t>06:05:00</t>
        </is>
      </c>
      <c r="N125" s="7" t="n">
        <v>2</v>
      </c>
      <c r="R125">
        <f>"- "&amp;G125&amp;"-"&amp;H125&amp;"   - LA "&amp;F125&amp;" ("&amp;LEFT(I125,5)&amp;"-"&amp;LEFT(J125,5)&amp;" hrs)"</f>
        <v/>
      </c>
    </row>
    <row r="126">
      <c r="B126" s="7" t="n">
        <v>304</v>
      </c>
      <c r="C126" s="7" t="inlineStr">
        <is>
          <t>30/09/2026</t>
        </is>
      </c>
      <c r="D126" s="7" t="inlineStr">
        <is>
          <t>Sep-2026</t>
        </is>
      </c>
      <c r="E126" s="7" t="inlineStr">
        <is>
          <t>miércoles</t>
        </is>
      </c>
      <c r="F126" s="7" t="n">
        <v>2481</v>
      </c>
      <c r="G126" s="7" t="inlineStr">
        <is>
          <t>MIA</t>
        </is>
      </c>
      <c r="H126" s="7" t="inlineStr">
        <is>
          <t>LIM</t>
        </is>
      </c>
      <c r="I126" s="7" t="inlineStr">
        <is>
          <t>15:55:00</t>
        </is>
      </c>
      <c r="J126" s="7" t="inlineStr">
        <is>
          <t>21:40:00</t>
        </is>
      </c>
      <c r="K126" s="7" t="inlineStr">
        <is>
          <t>NO</t>
        </is>
      </c>
      <c r="L126" s="7" t="n">
        <v>763</v>
      </c>
      <c r="M126" s="7" t="inlineStr">
        <is>
          <t>05:45:00</t>
        </is>
      </c>
      <c r="N126" s="7" t="n">
        <v>3</v>
      </c>
      <c r="O126">
        <f>IF(O124="","",O124)</f>
        <v/>
      </c>
      <c r="R126">
        <f>"- "&amp;G126&amp;"-"&amp;H126&amp;"   - LA "&amp;F126&amp;" ("&amp;LEFT(I126,5)&amp;"-"&amp;LEFT(J126,5)&amp;" hrs)"</f>
        <v/>
      </c>
    </row>
    <row r="129">
      <c r="B129" s="3" t="inlineStr">
        <is>
          <t>Pairing ID</t>
        </is>
      </c>
      <c r="C129" s="3" t="inlineStr">
        <is>
          <t>FECHA REAL</t>
        </is>
      </c>
      <c r="D129" s="4" t="inlineStr">
        <is>
          <t>MES</t>
        </is>
      </c>
      <c r="E129" s="3" t="inlineStr">
        <is>
          <t>Day of Week</t>
        </is>
      </c>
      <c r="F129" s="3" t="inlineStr">
        <is>
          <t>Flight No</t>
        </is>
      </c>
      <c r="G129" s="3" t="inlineStr">
        <is>
          <t>Dep Stn</t>
        </is>
      </c>
      <c r="H129" s="3" t="inlineStr">
        <is>
          <t>Arr Stn</t>
        </is>
      </c>
      <c r="I129" s="3" t="inlineStr">
        <is>
          <t>STD</t>
        </is>
      </c>
      <c r="J129" s="3" t="inlineStr">
        <is>
          <t>STA</t>
        </is>
      </c>
      <c r="K129" s="3" t="inlineStr">
        <is>
          <t>DAY</t>
        </is>
      </c>
      <c r="L129" s="3" t="inlineStr">
        <is>
          <t>AC Type</t>
        </is>
      </c>
      <c r="M129" s="3" t="inlineStr">
        <is>
          <t>HBT</t>
        </is>
      </c>
      <c r="N129" s="5" t="inlineStr">
        <is>
          <t>DIA_DUTY</t>
        </is>
      </c>
      <c r="O129" s="6" t="n"/>
      <c r="Q129" s="6" t="inlineStr">
        <is>
          <t>LCK B767</t>
        </is>
      </c>
      <c r="S129" s="7">
        <f>B130</f>
        <v/>
      </c>
      <c r="T129" s="7">
        <f>C130</f>
        <v/>
      </c>
      <c r="U129" s="7">
        <f>D130</f>
        <v/>
      </c>
      <c r="V129" s="7">
        <f>F130&amp;"/"&amp;F131</f>
        <v/>
      </c>
      <c r="W129" s="7">
        <f>G130&amp;"-"&amp;H130&amp;"-"&amp;G130</f>
        <v/>
      </c>
      <c r="X129" s="7">
        <f>IF(O129="","",O129)</f>
        <v/>
      </c>
      <c r="Y129" s="7">
        <f>Q129</f>
        <v/>
      </c>
      <c r="Z129" s="7">
        <f>C130</f>
        <v/>
      </c>
      <c r="AA129" s="7">
        <f>C131</f>
        <v/>
      </c>
    </row>
    <row r="130">
      <c r="B130" s="7" t="n">
        <v>313</v>
      </c>
      <c r="C130" s="7" t="inlineStr">
        <is>
          <t>30/09/2026</t>
        </is>
      </c>
      <c r="D130" s="7" t="inlineStr">
        <is>
          <t>Sep-2026</t>
        </is>
      </c>
      <c r="E130" s="7" t="inlineStr">
        <is>
          <t>miércoles</t>
        </is>
      </c>
      <c r="F130" s="7" t="n">
        <v>2480</v>
      </c>
      <c r="G130" s="7" t="inlineStr">
        <is>
          <t>LIM</t>
        </is>
      </c>
      <c r="H130" s="7" t="inlineStr">
        <is>
          <t>MIA</t>
        </is>
      </c>
      <c r="I130" s="7" t="inlineStr">
        <is>
          <t>00:15:00</t>
        </is>
      </c>
      <c r="J130" s="7" t="inlineStr">
        <is>
          <t>06:20:00</t>
        </is>
      </c>
      <c r="K130" s="7" t="inlineStr">
        <is>
          <t>NO</t>
        </is>
      </c>
      <c r="L130" s="7" t="n">
        <v>763</v>
      </c>
      <c r="M130" s="7" t="inlineStr">
        <is>
          <t>06:05:00</t>
        </is>
      </c>
      <c r="N130" s="7" t="n">
        <v>2</v>
      </c>
      <c r="R130">
        <f>"- "&amp;G130&amp;"-"&amp;H130&amp;"   - LA "&amp;F130&amp;" ("&amp;LEFT(I130,5)&amp;"-"&amp;LEFT(J130,5)&amp;" hrs)"</f>
        <v/>
      </c>
    </row>
    <row r="131">
      <c r="B131" s="7" t="n">
        <v>313</v>
      </c>
      <c r="C131" s="7" t="inlineStr">
        <is>
          <t>01/10/2026</t>
        </is>
      </c>
      <c r="D131" s="7" t="inlineStr">
        <is>
          <t>Oct-2026</t>
        </is>
      </c>
      <c r="E131" s="7" t="inlineStr">
        <is>
          <t>jueves</t>
        </is>
      </c>
      <c r="F131" s="7" t="n">
        <v>2695</v>
      </c>
      <c r="G131" s="7" t="inlineStr">
        <is>
          <t>MIA</t>
        </is>
      </c>
      <c r="H131" s="7" t="inlineStr">
        <is>
          <t>LIM</t>
        </is>
      </c>
      <c r="I131" s="7" t="inlineStr">
        <is>
          <t>16:10:00</t>
        </is>
      </c>
      <c r="J131" s="7" t="inlineStr">
        <is>
          <t>22:00:00</t>
        </is>
      </c>
      <c r="K131" s="7" t="inlineStr">
        <is>
          <t>NO</t>
        </is>
      </c>
      <c r="L131" s="7" t="n">
        <v>763</v>
      </c>
      <c r="M131" s="7" t="inlineStr">
        <is>
          <t>05:50:00</t>
        </is>
      </c>
      <c r="N131" s="7" t="n">
        <v>3</v>
      </c>
      <c r="O131">
        <f>IF(O129="","",O129)</f>
        <v/>
      </c>
      <c r="R131">
        <f>"- "&amp;G131&amp;"-"&amp;H131&amp;"   - LA "&amp;F131&amp;" ("&amp;LEFT(I131,5)&amp;"-"&amp;LEFT(J131,5)&amp;" hrs)"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2026-09-03T00:52:15Z</dcterms:created>
  <dcterms:modified xsi:type="dcterms:W3CDTF">2026-09-03T00:52:15Z</dcterms:modified>
</cp:coreProperties>
</file>